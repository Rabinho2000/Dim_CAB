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queryTables/queryTable5.xml" ContentType="application/vnd.openxmlformats-officedocument.spreadsheetml.queryTable+xml"/>
  <Override PartName="/xl/tables/table8.xml" ContentType="application/vnd.openxmlformats-officedocument.spreadsheetml.table+xml"/>
  <Override PartName="/xl/queryTables/queryTable6.xml" ContentType="application/vnd.openxmlformats-officedocument.spreadsheetml.query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queryTables/queryTable7.xml" ContentType="application/vnd.openxmlformats-officedocument.spreadsheetml.queryTable+xml"/>
  <Override PartName="/xl/tables/table11.xml" ContentType="application/vnd.openxmlformats-officedocument.spreadsheetml.table+xml"/>
  <Override PartName="/xl/queryTables/queryTable8.xml" ContentType="application/vnd.openxmlformats-officedocument.spreadsheetml.queryTable+xml"/>
  <Override PartName="/xl/tables/table12.xml" ContentType="application/vnd.openxmlformats-officedocument.spreadsheetml.table+xml"/>
  <Override PartName="/xl/queryTables/queryTable9.xml" ContentType="application/vnd.openxmlformats-officedocument.spreadsheetml.queryTable+xml"/>
  <Override PartName="/xl/tables/table13.xml" ContentType="application/vnd.openxmlformats-officedocument.spreadsheetml.table+xml"/>
  <Override PartName="/xl/queryTables/queryTable10.xml" ContentType="application/vnd.openxmlformats-officedocument.spreadsheetml.queryTable+xml"/>
  <Override PartName="/xl/tables/table14.xml" ContentType="application/vnd.openxmlformats-officedocument.spreadsheetml.table+xml"/>
  <Override PartName="/xl/queryTables/queryTable11.xml" ContentType="application/vnd.openxmlformats-officedocument.spreadsheetml.queryTable+xml"/>
  <Override PartName="/xl/tables/table15.xml" ContentType="application/vnd.openxmlformats-officedocument.spreadsheetml.table+xml"/>
  <Override PartName="/xl/queryTables/queryTable12.xml" ContentType="application/vnd.openxmlformats-officedocument.spreadsheetml.queryTable+xml"/>
  <Override PartName="/xl/tables/table16.xml" ContentType="application/vnd.openxmlformats-officedocument.spreadsheetml.table+xml"/>
  <Override PartName="/xl/queryTables/queryTable13.xml" ContentType="application/vnd.openxmlformats-officedocument.spreadsheetml.queryTable+xml"/>
  <Override PartName="/xl/tables/table17.xml" ContentType="application/vnd.openxmlformats-officedocument.spreadsheetml.table+xml"/>
  <Override PartName="/xl/queryTables/queryTable14.xml" ContentType="application/vnd.openxmlformats-officedocument.spreadsheetml.queryTable+xml"/>
  <Override PartName="/xl/tables/table18.xml" ContentType="application/vnd.openxmlformats-officedocument.spreadsheetml.table+xml"/>
  <Override PartName="/xl/queryTables/queryTable1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mc:AlternateContent xmlns:mc="http://schemas.openxmlformats.org/markup-compatibility/2006">
    <mc:Choice Requires="x15">
      <x15ac:absPath xmlns:x15ac="http://schemas.microsoft.com/office/spreadsheetml/2010/11/ac" url="https://solcorptm365.sharepoint.com/sites/Departamentos/Verde Milenar/03 - Financeiro/Faturas/"/>
    </mc:Choice>
  </mc:AlternateContent>
  <xr:revisionPtr revIDLastSave="799" documentId="13_ncr:1_{507966CB-F0E1-4ECC-AC8B-E0746E83513A}" xr6:coauthVersionLast="47" xr6:coauthVersionMax="47" xr10:uidLastSave="{394E17B3-119F-46AA-A67A-019C28280904}"/>
  <bookViews>
    <workbookView minimized="1" xWindow="780" yWindow="780" windowWidth="21600" windowHeight="11295" firstSheet="11" activeTab="11" xr2:uid="{00000000-000D-0000-FFFF-FFFF00000000}"/>
  </bookViews>
  <sheets>
    <sheet name="Indusmelec FT" sheetId="47" r:id="rId1"/>
    <sheet name="Indusmelec FT G" sheetId="48" r:id="rId2"/>
    <sheet name="Indusmelec Comb" sheetId="49" r:id="rId3"/>
    <sheet name="Indusmelec FT Data" sheetId="27" state="hidden" r:id="rId4"/>
    <sheet name="Indusmelec Fatura Guia" sheetId="15" state="hidden" r:id="rId5"/>
    <sheet name="Indusmelec Fatura" sheetId="17" state="hidden" r:id="rId6"/>
    <sheet name="Indusmelec  FT G Data" sheetId="28" state="hidden" r:id="rId7"/>
    <sheet name="Indusmelec Data" sheetId="29" state="hidden" r:id="rId8"/>
    <sheet name="Append2 (2)" sheetId="21" state="hidden" r:id="rId9"/>
    <sheet name="Indusmelec Total" sheetId="50" r:id="rId10"/>
    <sheet name="Indusmelec Preços" sheetId="51" r:id="rId11"/>
    <sheet name="JMM" sheetId="54" r:id="rId12"/>
    <sheet name="JMM Preços" sheetId="55" r:id="rId13"/>
    <sheet name="JMM Fatura" sheetId="25" state="hidden" r:id="rId14"/>
    <sheet name="JMM Fatura Recibo" sheetId="39" state="hidden" r:id="rId15"/>
    <sheet name="JMM Total" sheetId="40" state="hidden" r:id="rId16"/>
    <sheet name="JMM F Data" sheetId="33" state="hidden" r:id="rId17"/>
    <sheet name="JMM FR Data" sheetId="43" state="hidden" r:id="rId18"/>
    <sheet name="JMM Data" sheetId="44" state="hidden" r:id="rId19"/>
    <sheet name="JMM Final" sheetId="45" state="hidden" r:id="rId20"/>
  </sheets>
  <definedNames>
    <definedName name="_xlnm._FilterDatabase" localSheetId="10" hidden="1">'Indusmelec Preços'!$A$1:$E$213</definedName>
    <definedName name="_xlnm._FilterDatabase" localSheetId="12" hidden="1">'JMM Preços'!$A$1:$C$77</definedName>
    <definedName name="ExternalData_1" localSheetId="8" hidden="1">'Append2 (2)'!$A$1:$F$94</definedName>
    <definedName name="ExternalData_1" localSheetId="5" hidden="1">'Indusmelec Fatura'!$A$1:$I$57</definedName>
    <definedName name="ExternalData_1" localSheetId="4" hidden="1">'Indusmelec Fatura Guia'!$A$1:$I$97</definedName>
    <definedName name="ExternalData_1" localSheetId="0" hidden="1">'Indusmelec FT'!$A$1:$I$211</definedName>
    <definedName name="ExternalData_1" localSheetId="3" hidden="1">'Indusmelec FT Data'!$A$1:$B$81</definedName>
    <definedName name="ExternalData_1" localSheetId="11" hidden="1">JMM!$A$1:$E$129</definedName>
    <definedName name="ExternalData_1" localSheetId="16" hidden="1">'JMM F Data'!$A$1:$B$24</definedName>
    <definedName name="ExternalData_1" localSheetId="13" hidden="1">'JMM Fatura'!$A$1:$F$117</definedName>
    <definedName name="ExternalData_1" localSheetId="14" hidden="1">'JMM Fatura Recibo'!$A$1:$I$34</definedName>
    <definedName name="ExternalData_1" localSheetId="17" hidden="1">'JMM FR Data'!$A$1:$B$14</definedName>
    <definedName name="ExternalData_2" localSheetId="6" hidden="1">'Indusmelec  FT G Data'!$A$1:$B$166</definedName>
    <definedName name="ExternalData_2" localSheetId="2" hidden="1">'Indusmelec Comb'!$A$1:$I$408</definedName>
    <definedName name="ExternalData_2" localSheetId="1" hidden="1">'Indusmelec FT G'!$A$1:$I$198</definedName>
    <definedName name="ExternalData_2" localSheetId="18" hidden="1">'JMM Data'!$A$1:$B$37</definedName>
    <definedName name="ExternalData_2" localSheetId="15" hidden="1">'JMM Total'!$A$1:$I$150</definedName>
    <definedName name="ExternalData_3" localSheetId="7" hidden="1">'Indusmelec Data'!$A$1:$B$246</definedName>
    <definedName name="ExternalData_3" localSheetId="9" hidden="1">'Indusmelec Total'!$A$1:$J$439</definedName>
    <definedName name="ExternalData_3" localSheetId="19" hidden="1">'JMM Final'!$A$1:$K$153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9" i="50" l="1"/>
  <c r="K284" i="50"/>
  <c r="K391" i="50"/>
  <c r="K149" i="50"/>
  <c r="K285" i="50"/>
  <c r="K142" i="50"/>
  <c r="K252" i="50"/>
  <c r="K187" i="50"/>
  <c r="K192" i="50"/>
  <c r="K175" i="50"/>
  <c r="K234" i="50"/>
  <c r="K214" i="50"/>
  <c r="K435" i="50"/>
  <c r="K119" i="50"/>
  <c r="K143" i="50"/>
  <c r="K253" i="50"/>
  <c r="K235" i="50"/>
  <c r="K195" i="50"/>
  <c r="K163" i="50"/>
  <c r="K176" i="50"/>
  <c r="K188" i="50"/>
  <c r="K375" i="50"/>
  <c r="K371" i="50"/>
  <c r="K120" i="50"/>
  <c r="K254" i="50"/>
  <c r="K196" i="50"/>
  <c r="K236" i="50"/>
  <c r="K301" i="50"/>
  <c r="K286" i="50"/>
  <c r="K61" i="50"/>
  <c r="K62" i="50"/>
  <c r="K15" i="50"/>
  <c r="K16" i="50"/>
  <c r="K35" i="50"/>
  <c r="K215" i="50"/>
  <c r="K121" i="50"/>
  <c r="K255" i="50"/>
  <c r="K197" i="50"/>
  <c r="K216" i="50"/>
  <c r="K256" i="50"/>
  <c r="K76" i="50"/>
  <c r="K152" i="50"/>
  <c r="K177" i="50"/>
  <c r="K257" i="50"/>
  <c r="K17" i="50"/>
  <c r="K390" i="50"/>
  <c r="K394" i="50"/>
  <c r="K344" i="50"/>
  <c r="K347" i="50"/>
  <c r="K427" i="50"/>
  <c r="K421" i="50"/>
  <c r="K18" i="50"/>
  <c r="K122" i="50"/>
  <c r="K258" i="50"/>
  <c r="K198" i="50"/>
  <c r="K237" i="50"/>
  <c r="K217" i="50"/>
  <c r="K422" i="50"/>
  <c r="K428" i="50"/>
  <c r="K98" i="50"/>
  <c r="K97" i="50"/>
  <c r="K19" i="50"/>
  <c r="K178" i="50"/>
  <c r="K123" i="50"/>
  <c r="K259" i="50"/>
  <c r="K199" i="50"/>
  <c r="K10" i="50"/>
  <c r="K153" i="50"/>
  <c r="K290" i="50"/>
  <c r="K179" i="50"/>
  <c r="K180" i="50"/>
  <c r="K144" i="50"/>
  <c r="K260" i="50"/>
  <c r="K332" i="50"/>
  <c r="K164" i="50"/>
  <c r="K374" i="50"/>
  <c r="K238" i="50"/>
  <c r="K36" i="50"/>
  <c r="K9" i="50"/>
  <c r="K306" i="50"/>
  <c r="K379" i="50"/>
  <c r="K154" i="50"/>
  <c r="K160" i="50"/>
  <c r="K291" i="50"/>
  <c r="K298" i="50"/>
  <c r="K181" i="50"/>
  <c r="K189" i="50"/>
  <c r="K304" i="50"/>
  <c r="K161" i="50"/>
  <c r="K305" i="50"/>
  <c r="K239" i="50"/>
  <c r="K299" i="50"/>
  <c r="K436" i="50"/>
  <c r="K124" i="50"/>
  <c r="K145" i="50"/>
  <c r="K261" i="50"/>
  <c r="K193" i="50"/>
  <c r="K262" i="50"/>
  <c r="K165" i="50"/>
  <c r="K218" i="50"/>
  <c r="K125" i="50"/>
  <c r="K263" i="50"/>
  <c r="K200" i="50"/>
  <c r="K219" i="50"/>
  <c r="K240" i="50"/>
  <c r="K166" i="50"/>
  <c r="K313" i="50"/>
  <c r="K63" i="50"/>
  <c r="K66" i="50"/>
  <c r="K68" i="50"/>
  <c r="K65" i="50"/>
  <c r="K69" i="50"/>
  <c r="K399" i="50"/>
  <c r="K438" i="50"/>
  <c r="K378" i="50"/>
  <c r="K376" i="50"/>
  <c r="K372" i="50"/>
  <c r="K310" i="50"/>
  <c r="K220" i="50"/>
  <c r="K335" i="50"/>
  <c r="K334" i="50"/>
  <c r="K150" i="50"/>
  <c r="K287" i="50"/>
  <c r="K423" i="50"/>
  <c r="K90" i="50"/>
  <c r="K91" i="50"/>
  <c r="K89" i="50"/>
  <c r="K151" i="50"/>
  <c r="K94" i="50"/>
  <c r="K64" i="50"/>
  <c r="K67" i="50"/>
  <c r="K350" i="50"/>
  <c r="K338" i="50"/>
  <c r="K80" i="50"/>
  <c r="K84" i="50"/>
  <c r="K79" i="50"/>
  <c r="K85" i="50"/>
  <c r="K126" i="50"/>
  <c r="K264" i="50"/>
  <c r="K57" i="50"/>
  <c r="K167" i="50"/>
  <c r="K201" i="50"/>
  <c r="K265" i="50"/>
  <c r="K303" i="50"/>
  <c r="K221" i="50"/>
  <c r="K351" i="50"/>
  <c r="K127" i="50"/>
  <c r="K266" i="50"/>
  <c r="K384" i="50"/>
  <c r="K75" i="50"/>
  <c r="K389" i="50"/>
  <c r="K20" i="50"/>
  <c r="K377" i="50"/>
  <c r="K373" i="50"/>
  <c r="K292" i="50"/>
  <c r="K352" i="50"/>
  <c r="K293" i="50"/>
  <c r="K168" i="50"/>
  <c r="K128" i="50"/>
  <c r="K267" i="50"/>
  <c r="K222" i="50"/>
  <c r="K202" i="50"/>
  <c r="K241" i="50"/>
  <c r="K58" i="50"/>
  <c r="K60" i="50"/>
  <c r="K59" i="50"/>
  <c r="K29" i="50"/>
  <c r="K30" i="50"/>
  <c r="K31" i="50"/>
  <c r="K4" i="50"/>
  <c r="K7" i="50"/>
  <c r="K21" i="50"/>
  <c r="K315" i="50"/>
  <c r="K129" i="50"/>
  <c r="K268" i="50"/>
  <c r="K223" i="50"/>
  <c r="K203" i="50"/>
  <c r="K242" i="50"/>
  <c r="K169" i="50"/>
  <c r="K77" i="50"/>
  <c r="K130" i="50"/>
  <c r="K146" i="50"/>
  <c r="K155" i="50"/>
  <c r="K269" i="50"/>
  <c r="K294" i="50"/>
  <c r="K162" i="50"/>
  <c r="K300" i="50"/>
  <c r="K243" i="50"/>
  <c r="K224" i="50"/>
  <c r="K204" i="50"/>
  <c r="K170" i="50"/>
  <c r="K182" i="50"/>
  <c r="K190" i="50"/>
  <c r="K131" i="50"/>
  <c r="K270" i="50"/>
  <c r="K244" i="50"/>
  <c r="K225" i="50"/>
  <c r="K205" i="50"/>
  <c r="K171" i="50"/>
  <c r="K41" i="50"/>
  <c r="K42" i="50"/>
  <c r="K43" i="50"/>
  <c r="K44" i="50"/>
  <c r="K45" i="50"/>
  <c r="K46" i="50"/>
  <c r="K48" i="50"/>
  <c r="K47" i="50"/>
  <c r="K56" i="50"/>
  <c r="K320" i="50"/>
  <c r="K321" i="50"/>
  <c r="K322" i="50"/>
  <c r="K323" i="50"/>
  <c r="K324" i="50"/>
  <c r="K6" i="50"/>
  <c r="K325" i="50"/>
  <c r="K326" i="50"/>
  <c r="K327" i="50"/>
  <c r="K328" i="50"/>
  <c r="K194" i="50"/>
  <c r="K206" i="50"/>
  <c r="K156" i="50"/>
  <c r="K132" i="50"/>
  <c r="K271" i="50"/>
  <c r="K207" i="50"/>
  <c r="K232" i="50"/>
  <c r="K245" i="50"/>
  <c r="K133" i="50"/>
  <c r="K272" i="50"/>
  <c r="K208" i="50"/>
  <c r="K233" i="50"/>
  <c r="K246" i="50"/>
  <c r="K55" i="50"/>
  <c r="K83" i="50"/>
  <c r="K288" i="50"/>
  <c r="K81" i="50"/>
  <c r="K22" i="50"/>
  <c r="K429" i="50"/>
  <c r="K424" i="50"/>
  <c r="K432" i="50"/>
  <c r="K437" i="50"/>
  <c r="K100" i="50"/>
  <c r="K430" i="50"/>
  <c r="K425" i="50"/>
  <c r="K340" i="50"/>
  <c r="K420" i="50"/>
  <c r="K339" i="50"/>
  <c r="K341" i="50"/>
  <c r="K439" i="50"/>
  <c r="K93" i="50"/>
  <c r="K96" i="50"/>
  <c r="K71" i="50"/>
  <c r="K103" i="50"/>
  <c r="K73" i="50"/>
  <c r="K330" i="50"/>
  <c r="K331" i="50"/>
  <c r="K50" i="50"/>
  <c r="K388" i="50"/>
  <c r="K368" i="50"/>
  <c r="K23" i="50"/>
  <c r="K107" i="50"/>
  <c r="K5" i="50"/>
  <c r="K183" i="50"/>
  <c r="K106" i="50"/>
  <c r="K108" i="50"/>
  <c r="K109" i="50"/>
  <c r="K110" i="50"/>
  <c r="K111" i="50"/>
  <c r="K134" i="50"/>
  <c r="K157" i="50"/>
  <c r="K184" i="50"/>
  <c r="K273" i="50"/>
  <c r="K295" i="50"/>
  <c r="K317" i="50"/>
  <c r="K318" i="50"/>
  <c r="K319" i="50"/>
  <c r="K226" i="50"/>
  <c r="K209" i="50"/>
  <c r="K135" i="50"/>
  <c r="K147" i="50"/>
  <c r="K274" i="50"/>
  <c r="K210" i="50"/>
  <c r="K247" i="50"/>
  <c r="K227" i="50"/>
  <c r="K172" i="50"/>
  <c r="K185" i="50"/>
  <c r="K275" i="50"/>
  <c r="K136" i="50"/>
  <c r="K276" i="50"/>
  <c r="K277" i="50"/>
  <c r="K174" i="50"/>
  <c r="K86" i="50"/>
  <c r="K87" i="50"/>
  <c r="K24" i="50"/>
  <c r="K102" i="50"/>
  <c r="K302" i="50"/>
  <c r="K289" i="50"/>
  <c r="K112" i="50"/>
  <c r="K113" i="50"/>
  <c r="K114" i="50"/>
  <c r="K115" i="50"/>
  <c r="K116" i="50"/>
  <c r="K117" i="50"/>
  <c r="K25" i="50"/>
  <c r="K26" i="50"/>
  <c r="K72" i="50"/>
  <c r="K104" i="50"/>
  <c r="K78" i="50"/>
  <c r="K353" i="50"/>
  <c r="K3" i="50"/>
  <c r="K70" i="50"/>
  <c r="K307" i="50"/>
  <c r="K380" i="50"/>
  <c r="K369" i="50"/>
  <c r="K370" i="50"/>
  <c r="K329" i="50"/>
  <c r="K14" i="50"/>
  <c r="K137" i="50"/>
  <c r="K278" i="50"/>
  <c r="K431" i="50"/>
  <c r="K426" i="50"/>
  <c r="K346" i="50"/>
  <c r="K348" i="50"/>
  <c r="K342" i="50"/>
  <c r="K343" i="50"/>
  <c r="K385" i="50"/>
  <c r="K396" i="50"/>
  <c r="K381" i="50"/>
  <c r="K32" i="50"/>
  <c r="K386" i="50"/>
  <c r="K397" i="50"/>
  <c r="K382" i="50"/>
  <c r="K309" i="50"/>
  <c r="K118" i="50"/>
  <c r="K349" i="50"/>
  <c r="K37" i="50"/>
  <c r="K95" i="50"/>
  <c r="K211" i="50"/>
  <c r="K248" i="50"/>
  <c r="K228" i="50"/>
  <c r="K158" i="50"/>
  <c r="K296" i="50"/>
  <c r="K105" i="50"/>
  <c r="K88" i="50"/>
  <c r="K392" i="50"/>
  <c r="K393" i="50"/>
  <c r="K387" i="50"/>
  <c r="K364" i="50"/>
  <c r="K365" i="50"/>
  <c r="K366" i="50"/>
  <c r="K367" i="50"/>
  <c r="K363" i="50"/>
  <c r="K312" i="50"/>
  <c r="K314" i="50"/>
  <c r="K316" i="50"/>
  <c r="K311" i="50"/>
  <c r="K398" i="50"/>
  <c r="K383" i="50"/>
  <c r="K333" i="50"/>
  <c r="K308" i="50"/>
  <c r="K74" i="50"/>
  <c r="K51" i="50"/>
  <c r="K433" i="50"/>
  <c r="K434" i="50"/>
  <c r="K34" i="50"/>
  <c r="K38" i="50"/>
  <c r="K39" i="50"/>
  <c r="K279" i="50"/>
  <c r="K138" i="50"/>
  <c r="K280" i="50"/>
  <c r="K159" i="50"/>
  <c r="K297" i="50"/>
  <c r="K249" i="50"/>
  <c r="K229" i="50"/>
  <c r="K8" i="50"/>
  <c r="K40" i="50"/>
  <c r="K82" i="50"/>
  <c r="K395" i="50"/>
  <c r="K345" i="50"/>
  <c r="K13" i="50"/>
  <c r="K33" i="50"/>
  <c r="K2" i="50"/>
  <c r="K92" i="50"/>
  <c r="K27" i="50"/>
  <c r="K354" i="50"/>
  <c r="K355" i="50"/>
  <c r="K356" i="50"/>
  <c r="K358" i="50"/>
  <c r="K360" i="50"/>
  <c r="K362" i="50"/>
  <c r="K11" i="50"/>
  <c r="K12" i="50"/>
  <c r="K141" i="50"/>
  <c r="K139" i="50"/>
  <c r="K281" i="50"/>
  <c r="K212" i="50"/>
  <c r="K250" i="50"/>
  <c r="K230" i="50"/>
  <c r="K101" i="50"/>
  <c r="K282" i="50"/>
  <c r="K49" i="50"/>
  <c r="K337" i="50"/>
  <c r="K336" i="50"/>
  <c r="K52" i="50"/>
  <c r="K54" i="50"/>
  <c r="K53" i="50"/>
  <c r="K28" i="50"/>
  <c r="K416" i="50"/>
  <c r="K412" i="50"/>
  <c r="K414" i="50"/>
  <c r="K418" i="50"/>
  <c r="K410" i="50"/>
  <c r="K406" i="50"/>
  <c r="K400" i="50"/>
  <c r="K140" i="50"/>
  <c r="K148" i="50"/>
  <c r="K283" i="50"/>
  <c r="K213" i="50"/>
  <c r="K231" i="50"/>
  <c r="K173" i="50"/>
  <c r="K186" i="50"/>
  <c r="K191" i="50"/>
  <c r="K251" i="50"/>
  <c r="K357" i="50"/>
  <c r="K359" i="50"/>
  <c r="K361" i="50"/>
  <c r="K401" i="50"/>
  <c r="K402" i="50"/>
  <c r="K403" i="50"/>
  <c r="K404" i="50"/>
  <c r="K405" i="50"/>
  <c r="K417" i="50"/>
  <c r="K413" i="50"/>
  <c r="K415" i="50"/>
  <c r="K419" i="50"/>
  <c r="K411" i="50"/>
  <c r="K409" i="50"/>
  <c r="K407" i="50"/>
  <c r="K408" i="50"/>
  <c r="F2" i="54"/>
  <c r="F3" i="54"/>
  <c r="F4" i="54"/>
  <c r="F5" i="54"/>
  <c r="F6" i="54"/>
  <c r="F7" i="54"/>
  <c r="F8" i="54"/>
  <c r="F9" i="54"/>
  <c r="F10" i="54"/>
  <c r="F11" i="54"/>
  <c r="F12" i="54"/>
  <c r="F13" i="54"/>
  <c r="F14" i="54"/>
  <c r="F15" i="54"/>
  <c r="F16" i="54"/>
  <c r="F17" i="54"/>
  <c r="F18" i="54"/>
  <c r="F19" i="54"/>
  <c r="F20" i="54"/>
  <c r="F21" i="54"/>
  <c r="F22" i="54"/>
  <c r="F23" i="54"/>
  <c r="F24" i="54"/>
  <c r="F25" i="54"/>
  <c r="F26" i="54"/>
  <c r="F27" i="54"/>
  <c r="F28" i="54"/>
  <c r="F29" i="54"/>
  <c r="F30" i="54"/>
  <c r="F31" i="54"/>
  <c r="F32" i="54"/>
  <c r="F33" i="54"/>
  <c r="F34" i="54"/>
  <c r="F35" i="54"/>
  <c r="F36" i="54"/>
  <c r="F37" i="54"/>
  <c r="F38" i="54"/>
  <c r="F39" i="54"/>
  <c r="F40" i="54"/>
  <c r="F41" i="54"/>
  <c r="F42" i="54"/>
  <c r="F43" i="54"/>
  <c r="F44" i="54"/>
  <c r="F45" i="54"/>
  <c r="F46" i="54"/>
  <c r="F47" i="54"/>
  <c r="F48" i="54"/>
  <c r="F49" i="54"/>
  <c r="F50" i="54"/>
  <c r="F51" i="54"/>
  <c r="F52" i="54"/>
  <c r="F53" i="54"/>
  <c r="F54" i="54"/>
  <c r="F55" i="54"/>
  <c r="F56" i="54"/>
  <c r="F57" i="54"/>
  <c r="F58" i="54"/>
  <c r="F59" i="54"/>
  <c r="F60" i="54"/>
  <c r="F61" i="54"/>
  <c r="F62" i="54"/>
  <c r="F63" i="54"/>
  <c r="F64" i="54"/>
  <c r="F65" i="54"/>
  <c r="F66" i="54"/>
  <c r="F67" i="54"/>
  <c r="F68" i="54"/>
  <c r="F69" i="54"/>
  <c r="F70" i="54"/>
  <c r="F71" i="54"/>
  <c r="F72" i="54"/>
  <c r="F73" i="54"/>
  <c r="F74" i="54"/>
  <c r="F75" i="54"/>
  <c r="F76" i="54"/>
  <c r="F77" i="54"/>
  <c r="F78" i="54"/>
  <c r="F79" i="54"/>
  <c r="F80" i="54"/>
  <c r="F81" i="54"/>
  <c r="F82" i="54"/>
  <c r="F83" i="54"/>
  <c r="F84" i="54"/>
  <c r="F85" i="54"/>
  <c r="F86" i="54"/>
  <c r="F87" i="54"/>
  <c r="F88" i="54"/>
  <c r="F89" i="54"/>
  <c r="F90" i="54"/>
  <c r="F91" i="54"/>
  <c r="F92" i="54"/>
  <c r="F93" i="54"/>
  <c r="F94" i="54"/>
  <c r="F95" i="54"/>
  <c r="F96" i="54"/>
  <c r="F97" i="54"/>
  <c r="F98" i="54"/>
  <c r="F99" i="54"/>
  <c r="F100" i="54"/>
  <c r="F101" i="54"/>
  <c r="F102" i="54"/>
  <c r="F103" i="54"/>
  <c r="F104" i="54"/>
  <c r="F105" i="54"/>
  <c r="F106" i="54"/>
  <c r="F107" i="54"/>
  <c r="F108" i="54"/>
  <c r="F109" i="54"/>
  <c r="F110" i="54"/>
  <c r="F111" i="54"/>
  <c r="F112" i="54"/>
  <c r="F113" i="54"/>
  <c r="F114" i="54"/>
  <c r="F115" i="54"/>
  <c r="F116" i="54"/>
  <c r="F117" i="54"/>
  <c r="F118" i="54"/>
  <c r="F119" i="54"/>
  <c r="F120" i="54"/>
  <c r="F121" i="54"/>
  <c r="F122" i="54"/>
  <c r="F123" i="54"/>
  <c r="F124" i="54"/>
  <c r="F125" i="54"/>
  <c r="F126" i="54"/>
  <c r="F127" i="54"/>
  <c r="F128" i="54"/>
  <c r="F129" i="54"/>
  <c r="J2" i="40"/>
  <c r="J3" i="40"/>
  <c r="J4" i="40"/>
  <c r="J5" i="40"/>
  <c r="J6" i="40"/>
  <c r="J7" i="40"/>
  <c r="J8" i="40"/>
  <c r="J9" i="40"/>
  <c r="J10" i="40"/>
  <c r="J11" i="40"/>
  <c r="J12" i="40"/>
  <c r="J13" i="40"/>
  <c r="J14" i="40"/>
  <c r="J15" i="40"/>
  <c r="J16" i="40"/>
  <c r="J17" i="40"/>
  <c r="J18" i="40"/>
  <c r="J19" i="40"/>
  <c r="J20" i="40"/>
  <c r="J21" i="40"/>
  <c r="J22" i="40"/>
  <c r="J23" i="40"/>
  <c r="J24" i="40"/>
  <c r="J25" i="40"/>
  <c r="J26" i="40"/>
  <c r="J27" i="40"/>
  <c r="J28" i="40"/>
  <c r="J29" i="40"/>
  <c r="J30" i="40"/>
  <c r="J31" i="40"/>
  <c r="J32" i="40"/>
  <c r="J33" i="40"/>
  <c r="J34" i="40"/>
  <c r="J35" i="40"/>
  <c r="J36" i="40"/>
  <c r="J37" i="40"/>
  <c r="J38" i="40"/>
  <c r="J39" i="40"/>
  <c r="J40" i="40"/>
  <c r="J41" i="40"/>
  <c r="J42" i="40"/>
  <c r="J43" i="40"/>
  <c r="J44" i="40"/>
  <c r="J45" i="40"/>
  <c r="J46" i="40"/>
  <c r="J47" i="40"/>
  <c r="J48" i="40"/>
  <c r="J49" i="40"/>
  <c r="J50" i="40"/>
  <c r="J51" i="40"/>
  <c r="J52" i="40"/>
  <c r="J53" i="40"/>
  <c r="J54" i="40"/>
  <c r="J55" i="40"/>
  <c r="J56" i="40"/>
  <c r="J57" i="40"/>
  <c r="J58" i="40"/>
  <c r="J59" i="40"/>
  <c r="J60" i="40"/>
  <c r="J61" i="40"/>
  <c r="J62" i="40"/>
  <c r="J63" i="40"/>
  <c r="J64" i="40"/>
  <c r="J65" i="40"/>
  <c r="J66" i="40"/>
  <c r="J67" i="40"/>
  <c r="J68" i="40"/>
  <c r="J69" i="40"/>
  <c r="J70" i="40"/>
  <c r="J71" i="40"/>
  <c r="J72" i="40"/>
  <c r="J73" i="40"/>
  <c r="J74" i="40"/>
  <c r="J75" i="40"/>
  <c r="J76" i="40"/>
  <c r="J77" i="40"/>
  <c r="J78" i="40"/>
  <c r="J79" i="40"/>
  <c r="J80" i="40"/>
  <c r="J81" i="40"/>
  <c r="J82" i="40"/>
  <c r="J83" i="40"/>
  <c r="J84" i="40"/>
  <c r="J85" i="40"/>
  <c r="J86" i="40"/>
  <c r="J87" i="40"/>
  <c r="J88" i="40"/>
  <c r="J89" i="40"/>
  <c r="J90" i="40"/>
  <c r="J91" i="40"/>
  <c r="J92" i="40"/>
  <c r="J93" i="40"/>
  <c r="J94" i="40"/>
  <c r="J95" i="40"/>
  <c r="J96" i="40"/>
  <c r="J97" i="40"/>
  <c r="J98" i="40"/>
  <c r="J99" i="40"/>
  <c r="J100" i="40"/>
  <c r="J101" i="40"/>
  <c r="J102" i="40"/>
  <c r="J103" i="40"/>
  <c r="J104" i="40"/>
  <c r="J105" i="40"/>
  <c r="J106" i="40"/>
  <c r="J107" i="40"/>
  <c r="J108" i="40"/>
  <c r="J109" i="40"/>
  <c r="J110" i="40"/>
  <c r="J111" i="40"/>
  <c r="J112" i="40"/>
  <c r="J113" i="40"/>
  <c r="J114" i="40"/>
  <c r="J115" i="40"/>
  <c r="J116" i="40"/>
  <c r="J117" i="40"/>
  <c r="J118" i="40"/>
  <c r="J119" i="40"/>
  <c r="J120" i="40"/>
  <c r="J121" i="40"/>
  <c r="J122" i="40"/>
  <c r="J123" i="40"/>
  <c r="J124" i="40"/>
  <c r="J125" i="40"/>
  <c r="J126" i="40"/>
  <c r="J127" i="40"/>
  <c r="J128" i="40"/>
  <c r="J129" i="40"/>
  <c r="J130" i="40"/>
  <c r="J131" i="40"/>
  <c r="J132" i="40"/>
  <c r="J133" i="40"/>
  <c r="J134" i="40"/>
  <c r="J135" i="40"/>
  <c r="J136" i="40"/>
  <c r="J137" i="40"/>
  <c r="J138" i="40"/>
  <c r="J139" i="40"/>
  <c r="J140" i="40"/>
  <c r="J141" i="40"/>
  <c r="J142" i="40"/>
  <c r="J143" i="40"/>
  <c r="J144" i="40"/>
  <c r="J145" i="40"/>
  <c r="J146" i="40"/>
  <c r="J147" i="40"/>
  <c r="J148" i="40"/>
  <c r="J149" i="40"/>
  <c r="J150" i="40"/>
  <c r="J2" i="39"/>
  <c r="J3" i="39"/>
  <c r="J4" i="39"/>
  <c r="J5" i="39"/>
  <c r="J6" i="39"/>
  <c r="J7" i="39"/>
  <c r="J8" i="39"/>
  <c r="J9" i="39"/>
  <c r="J10" i="39"/>
  <c r="J11" i="39"/>
  <c r="J12" i="39"/>
  <c r="J13" i="39"/>
  <c r="J14" i="39"/>
  <c r="J15" i="39"/>
  <c r="J16" i="39"/>
  <c r="J17" i="39"/>
  <c r="J18" i="39"/>
  <c r="J19" i="39"/>
  <c r="J20" i="39"/>
  <c r="J21" i="39"/>
  <c r="J22" i="39"/>
  <c r="J23" i="39"/>
  <c r="J24" i="39"/>
  <c r="J25" i="39"/>
  <c r="J26" i="39"/>
  <c r="J27" i="39"/>
  <c r="J28" i="39"/>
  <c r="J29" i="39"/>
  <c r="J30" i="39"/>
  <c r="J31" i="39"/>
  <c r="J32" i="39"/>
  <c r="J33" i="39"/>
  <c r="J34" i="39"/>
  <c r="G2" i="25"/>
  <c r="G3" i="25"/>
  <c r="G4" i="25"/>
  <c r="G5" i="25"/>
  <c r="G6" i="25"/>
  <c r="G7" i="25"/>
  <c r="G8" i="25"/>
  <c r="G9" i="25"/>
  <c r="G10" i="25"/>
  <c r="G11" i="25"/>
  <c r="G12" i="25"/>
  <c r="G13" i="25"/>
  <c r="G14" i="25"/>
  <c r="G15" i="25"/>
  <c r="G16" i="25"/>
  <c r="G17" i="25"/>
  <c r="G18" i="25"/>
  <c r="G19" i="25"/>
  <c r="G20" i="25"/>
  <c r="G21" i="25"/>
  <c r="G22" i="25"/>
  <c r="G23" i="25"/>
  <c r="G24" i="25"/>
  <c r="G25" i="25"/>
  <c r="G26" i="25"/>
  <c r="G27" i="25"/>
  <c r="G28" i="25"/>
  <c r="G29" i="25"/>
  <c r="G30" i="25"/>
  <c r="G31" i="25"/>
  <c r="G32" i="25"/>
  <c r="G33" i="25"/>
  <c r="G34" i="25"/>
  <c r="G35" i="25"/>
  <c r="G36" i="25"/>
  <c r="G37" i="25"/>
  <c r="G38" i="25"/>
  <c r="G39" i="25"/>
  <c r="G40" i="25"/>
  <c r="G41" i="25"/>
  <c r="G42" i="25"/>
  <c r="G43" i="25"/>
  <c r="G44" i="25"/>
  <c r="G45" i="25"/>
  <c r="G46" i="25"/>
  <c r="G47" i="25"/>
  <c r="G48" i="25"/>
  <c r="G49" i="25"/>
  <c r="G50" i="25"/>
  <c r="G51" i="25"/>
  <c r="G52" i="25"/>
  <c r="G53" i="25"/>
  <c r="G54" i="25"/>
  <c r="G55" i="25"/>
  <c r="G56" i="25"/>
  <c r="G57" i="25"/>
  <c r="G58" i="25"/>
  <c r="G59" i="25"/>
  <c r="G60" i="25"/>
  <c r="G61" i="25"/>
  <c r="G62" i="25"/>
  <c r="G63" i="25"/>
  <c r="G64" i="25"/>
  <c r="G65" i="25"/>
  <c r="G66" i="25"/>
  <c r="G67" i="25"/>
  <c r="G68" i="25"/>
  <c r="G69" i="25"/>
  <c r="G70" i="25"/>
  <c r="G71" i="25"/>
  <c r="G72" i="25"/>
  <c r="G73" i="25"/>
  <c r="G74" i="25"/>
  <c r="G75" i="25"/>
  <c r="G76" i="25"/>
  <c r="G77" i="25"/>
  <c r="G78" i="25"/>
  <c r="G79" i="25"/>
  <c r="G80" i="25"/>
  <c r="G81" i="25"/>
  <c r="G82" i="25"/>
  <c r="G83" i="25"/>
  <c r="G84" i="25"/>
  <c r="G85" i="25"/>
  <c r="G86" i="25"/>
  <c r="G87" i="25"/>
  <c r="G88" i="25"/>
  <c r="G89" i="25"/>
  <c r="G90" i="25"/>
  <c r="G91" i="25"/>
  <c r="G92" i="25"/>
  <c r="G93" i="25"/>
  <c r="G94" i="25"/>
  <c r="G95" i="25"/>
  <c r="G96" i="25"/>
  <c r="G97" i="25"/>
  <c r="G98" i="25"/>
  <c r="G99" i="25"/>
  <c r="G100" i="25"/>
  <c r="G101" i="25"/>
  <c r="G102" i="25"/>
  <c r="G103" i="25"/>
  <c r="G104" i="25"/>
  <c r="G105" i="25"/>
  <c r="G106" i="25"/>
  <c r="G107" i="25"/>
  <c r="G108" i="25"/>
  <c r="G109" i="25"/>
  <c r="G110" i="25"/>
  <c r="G111" i="25"/>
  <c r="G112" i="25"/>
  <c r="G113" i="25"/>
  <c r="G114" i="25"/>
  <c r="G115" i="25"/>
  <c r="G116" i="25"/>
  <c r="G117" i="25"/>
  <c r="A2" i="55" a="1"/>
  <c r="A2" i="51" a="1"/>
  <c r="C60" i="55" l="1"/>
  <c r="C63" i="55"/>
  <c r="C65" i="55"/>
  <c r="C67" i="55"/>
  <c r="C69" i="55"/>
  <c r="C71" i="55"/>
  <c r="C73" i="55"/>
  <c r="C75" i="55"/>
  <c r="C76" i="55"/>
  <c r="B59" i="55"/>
  <c r="B62" i="55"/>
  <c r="B64" i="55"/>
  <c r="B65" i="55"/>
  <c r="B67" i="55"/>
  <c r="B68" i="55"/>
  <c r="B71" i="55"/>
  <c r="B73" i="55"/>
  <c r="B76" i="55"/>
  <c r="C59" i="55"/>
  <c r="C61" i="55"/>
  <c r="C62" i="55"/>
  <c r="C64" i="55"/>
  <c r="C66" i="55"/>
  <c r="C68" i="55"/>
  <c r="C70" i="55"/>
  <c r="C72" i="55"/>
  <c r="C74" i="55"/>
  <c r="C77" i="55"/>
  <c r="B60" i="55"/>
  <c r="B61" i="55"/>
  <c r="B63" i="55"/>
  <c r="B66" i="55"/>
  <c r="B69" i="55"/>
  <c r="B70" i="55"/>
  <c r="B72" i="55"/>
  <c r="B74" i="55"/>
  <c r="B75" i="55"/>
  <c r="B77" i="55"/>
  <c r="B2" i="55"/>
  <c r="C35" i="55"/>
  <c r="C46" i="55"/>
  <c r="C10" i="55"/>
  <c r="C33" i="55"/>
  <c r="C56" i="55"/>
  <c r="C20" i="55"/>
  <c r="C8" i="55"/>
  <c r="C48" i="55"/>
  <c r="C24" i="55"/>
  <c r="C47" i="55"/>
  <c r="C11" i="55"/>
  <c r="C58" i="55"/>
  <c r="C22" i="55"/>
  <c r="C45" i="55"/>
  <c r="C21" i="55"/>
  <c r="C44" i="55"/>
  <c r="C55" i="55"/>
  <c r="C31" i="55"/>
  <c r="C7" i="55"/>
  <c r="C54" i="55"/>
  <c r="C30" i="55"/>
  <c r="C6" i="55"/>
  <c r="C41" i="55"/>
  <c r="C17" i="55"/>
  <c r="C52" i="55"/>
  <c r="C28" i="55"/>
  <c r="C4" i="55"/>
  <c r="C39" i="55"/>
  <c r="C15" i="55"/>
  <c r="C3" i="55"/>
  <c r="C50" i="55"/>
  <c r="C38" i="55"/>
  <c r="C26" i="55"/>
  <c r="C14" i="55"/>
  <c r="C36" i="55"/>
  <c r="C12" i="55"/>
  <c r="C23" i="55"/>
  <c r="C34" i="55"/>
  <c r="C57" i="55"/>
  <c r="C9" i="55"/>
  <c r="C32" i="55"/>
  <c r="C43" i="55"/>
  <c r="C19" i="55"/>
  <c r="C42" i="55"/>
  <c r="C18" i="55"/>
  <c r="C53" i="55"/>
  <c r="C29" i="55"/>
  <c r="C5" i="55"/>
  <c r="C40" i="55"/>
  <c r="C16" i="55"/>
  <c r="C51" i="55"/>
  <c r="C27" i="55"/>
  <c r="C49" i="55"/>
  <c r="C37" i="55"/>
  <c r="C25" i="55"/>
  <c r="C13" i="55"/>
  <c r="C2" i="55"/>
  <c r="B39" i="55"/>
  <c r="B50" i="55"/>
  <c r="B49" i="55"/>
  <c r="B35" i="55"/>
  <c r="B46" i="55"/>
  <c r="B22" i="55"/>
  <c r="B33" i="55"/>
  <c r="B56" i="55"/>
  <c r="B43" i="55"/>
  <c r="B31" i="55"/>
  <c r="B19" i="55"/>
  <c r="B7" i="55"/>
  <c r="B12" i="55"/>
  <c r="B47" i="55"/>
  <c r="B34" i="55"/>
  <c r="B10" i="55"/>
  <c r="B57" i="55"/>
  <c r="B21" i="55"/>
  <c r="B9" i="55"/>
  <c r="B44" i="55"/>
  <c r="B8" i="55"/>
  <c r="B54" i="55"/>
  <c r="B42" i="55"/>
  <c r="B30" i="55"/>
  <c r="B18" i="55"/>
  <c r="B6" i="55"/>
  <c r="B51" i="55"/>
  <c r="B15" i="55"/>
  <c r="B26" i="55"/>
  <c r="B37" i="55"/>
  <c r="B13" i="55"/>
  <c r="B36" i="55"/>
  <c r="B11" i="55"/>
  <c r="B45" i="55"/>
  <c r="B20" i="55"/>
  <c r="B55" i="55"/>
  <c r="B41" i="55"/>
  <c r="B29" i="55"/>
  <c r="B17" i="55"/>
  <c r="B5" i="55"/>
  <c r="B27" i="55"/>
  <c r="B3" i="55"/>
  <c r="B38" i="55"/>
  <c r="B14" i="55"/>
  <c r="B25" i="55"/>
  <c r="B48" i="55"/>
  <c r="B24" i="55"/>
  <c r="B23" i="55"/>
  <c r="B58" i="55"/>
  <c r="B32" i="55"/>
  <c r="B52" i="55"/>
  <c r="B40" i="55"/>
  <c r="B28" i="55"/>
  <c r="B16" i="55"/>
  <c r="B4" i="55"/>
  <c r="D121" i="51"/>
  <c r="B148" i="51"/>
  <c r="B136" i="51"/>
  <c r="B124" i="51"/>
  <c r="B112" i="51"/>
  <c r="D146" i="51"/>
  <c r="D134" i="51"/>
  <c r="D122" i="51"/>
  <c r="D110" i="51"/>
  <c r="D98" i="51"/>
  <c r="D86" i="51"/>
  <c r="D74" i="51"/>
  <c r="D62" i="51"/>
  <c r="D50" i="51"/>
  <c r="D38" i="51"/>
  <c r="D26" i="51"/>
  <c r="D14" i="51"/>
  <c r="D109" i="51"/>
  <c r="D144" i="51"/>
  <c r="D132" i="51"/>
  <c r="D120" i="51"/>
  <c r="D108" i="51"/>
  <c r="D96" i="51"/>
  <c r="D84" i="51"/>
  <c r="D72" i="51"/>
  <c r="D60" i="51"/>
  <c r="D48" i="51"/>
  <c r="D36" i="51"/>
  <c r="D24" i="51"/>
  <c r="D12" i="51"/>
  <c r="B123" i="51"/>
  <c r="D49" i="51"/>
  <c r="B122" i="51"/>
  <c r="B133" i="51"/>
  <c r="D143" i="51"/>
  <c r="D131" i="51"/>
  <c r="D119" i="51"/>
  <c r="D107" i="51"/>
  <c r="D95" i="51"/>
  <c r="D83" i="51"/>
  <c r="D71" i="51"/>
  <c r="D59" i="51"/>
  <c r="D47" i="51"/>
  <c r="D35" i="51"/>
  <c r="D23" i="51"/>
  <c r="D11" i="51"/>
  <c r="B147" i="51"/>
  <c r="D133" i="51"/>
  <c r="D37" i="51"/>
  <c r="B110" i="51"/>
  <c r="B145" i="51"/>
  <c r="B121" i="51"/>
  <c r="B132" i="51"/>
  <c r="B120" i="51"/>
  <c r="D142" i="51"/>
  <c r="D130" i="51"/>
  <c r="D118" i="51"/>
  <c r="D106" i="51"/>
  <c r="D94" i="51"/>
  <c r="D82" i="51"/>
  <c r="D70" i="51"/>
  <c r="D58" i="51"/>
  <c r="D46" i="51"/>
  <c r="D34" i="51"/>
  <c r="D22" i="51"/>
  <c r="D10" i="51"/>
  <c r="B135" i="51"/>
  <c r="D13" i="51"/>
  <c r="B146" i="51"/>
  <c r="B134" i="51"/>
  <c r="B109" i="51"/>
  <c r="B144" i="51"/>
  <c r="B108" i="51"/>
  <c r="B143" i="51"/>
  <c r="B131" i="51"/>
  <c r="B119" i="51"/>
  <c r="D141" i="51"/>
  <c r="D129" i="51"/>
  <c r="D117" i="51"/>
  <c r="D105" i="51"/>
  <c r="D93" i="51"/>
  <c r="D81" i="51"/>
  <c r="D69" i="51"/>
  <c r="D57" i="51"/>
  <c r="D45" i="51"/>
  <c r="D33" i="51"/>
  <c r="D21" i="51"/>
  <c r="D9" i="51"/>
  <c r="D85" i="51"/>
  <c r="D140" i="51"/>
  <c r="D128" i="51"/>
  <c r="D116" i="51"/>
  <c r="D104" i="51"/>
  <c r="D92" i="51"/>
  <c r="D80" i="51"/>
  <c r="D68" i="51"/>
  <c r="D56" i="51"/>
  <c r="D44" i="51"/>
  <c r="D32" i="51"/>
  <c r="D20" i="51"/>
  <c r="D8" i="51"/>
  <c r="D97" i="51"/>
  <c r="B141" i="51"/>
  <c r="B129" i="51"/>
  <c r="B117" i="51"/>
  <c r="D139" i="51"/>
  <c r="D127" i="51"/>
  <c r="D115" i="51"/>
  <c r="D103" i="51"/>
  <c r="D91" i="51"/>
  <c r="D79" i="51"/>
  <c r="D67" i="51"/>
  <c r="D55" i="51"/>
  <c r="D43" i="51"/>
  <c r="D31" i="51"/>
  <c r="D19" i="51"/>
  <c r="D7" i="51"/>
  <c r="D145" i="51"/>
  <c r="D73" i="51"/>
  <c r="B142" i="51"/>
  <c r="B140" i="51"/>
  <c r="B128" i="51"/>
  <c r="D138" i="51"/>
  <c r="D126" i="51"/>
  <c r="D114" i="51"/>
  <c r="D102" i="51"/>
  <c r="D90" i="51"/>
  <c r="D78" i="51"/>
  <c r="D66" i="51"/>
  <c r="D54" i="51"/>
  <c r="D42" i="51"/>
  <c r="D30" i="51"/>
  <c r="D18" i="51"/>
  <c r="D6" i="51"/>
  <c r="D61" i="51"/>
  <c r="B130" i="51"/>
  <c r="B139" i="51"/>
  <c r="B127" i="51"/>
  <c r="B115" i="51"/>
  <c r="D137" i="51"/>
  <c r="D125" i="51"/>
  <c r="D113" i="51"/>
  <c r="D101" i="51"/>
  <c r="D89" i="51"/>
  <c r="D77" i="51"/>
  <c r="D65" i="51"/>
  <c r="D53" i="51"/>
  <c r="D41" i="51"/>
  <c r="D29" i="51"/>
  <c r="D17" i="51"/>
  <c r="D5" i="51"/>
  <c r="B111" i="51"/>
  <c r="D25" i="51"/>
  <c r="B118" i="51"/>
  <c r="B116" i="51"/>
  <c r="B138" i="51"/>
  <c r="B126" i="51"/>
  <c r="B114" i="51"/>
  <c r="D148" i="51"/>
  <c r="D136" i="51"/>
  <c r="D124" i="51"/>
  <c r="D112" i="51"/>
  <c r="D100" i="51"/>
  <c r="D88" i="51"/>
  <c r="D76" i="51"/>
  <c r="D64" i="51"/>
  <c r="D52" i="51"/>
  <c r="D40" i="51"/>
  <c r="D28" i="51"/>
  <c r="D16" i="51"/>
  <c r="D4" i="51"/>
  <c r="B137" i="51"/>
  <c r="B125" i="51"/>
  <c r="B113" i="51"/>
  <c r="D147" i="51"/>
  <c r="D135" i="51"/>
  <c r="D123" i="51"/>
  <c r="D111" i="51"/>
  <c r="D99" i="51"/>
  <c r="D87" i="51"/>
  <c r="D75" i="51"/>
  <c r="D63" i="51"/>
  <c r="D51" i="51"/>
  <c r="D39" i="51"/>
  <c r="D27" i="51"/>
  <c r="D15" i="51"/>
  <c r="D3" i="51"/>
  <c r="B107" i="51"/>
  <c r="B95" i="51"/>
  <c r="B83" i="51"/>
  <c r="B71" i="51"/>
  <c r="B59" i="51"/>
  <c r="B47" i="51"/>
  <c r="B35" i="51"/>
  <c r="B23" i="51"/>
  <c r="B11" i="51"/>
  <c r="B8" i="51"/>
  <c r="B106" i="51"/>
  <c r="B46" i="51"/>
  <c r="B45" i="51"/>
  <c r="B104" i="51"/>
  <c r="B80" i="51"/>
  <c r="B20" i="51"/>
  <c r="B103" i="51"/>
  <c r="B91" i="51"/>
  <c r="B79" i="51"/>
  <c r="B67" i="51"/>
  <c r="B55" i="51"/>
  <c r="B43" i="51"/>
  <c r="B31" i="51"/>
  <c r="B19" i="51"/>
  <c r="B7" i="51"/>
  <c r="B82" i="51"/>
  <c r="B57" i="51"/>
  <c r="B6" i="51"/>
  <c r="B58" i="51"/>
  <c r="B81" i="51"/>
  <c r="B56" i="51"/>
  <c r="B102" i="51"/>
  <c r="B54" i="51"/>
  <c r="B5" i="51"/>
  <c r="B22" i="51"/>
  <c r="B33" i="51"/>
  <c r="B68" i="51"/>
  <c r="B78" i="51"/>
  <c r="B18" i="51"/>
  <c r="B77" i="51"/>
  <c r="B29" i="51"/>
  <c r="B76" i="51"/>
  <c r="B40" i="51"/>
  <c r="B28" i="51"/>
  <c r="B16" i="51"/>
  <c r="B4" i="51"/>
  <c r="B10" i="51"/>
  <c r="B93" i="51"/>
  <c r="B69" i="51"/>
  <c r="B32" i="51"/>
  <c r="B42" i="51"/>
  <c r="B101" i="51"/>
  <c r="B65" i="51"/>
  <c r="B41" i="51"/>
  <c r="B100" i="51"/>
  <c r="B52" i="51"/>
  <c r="B99" i="51"/>
  <c r="B87" i="51"/>
  <c r="B75" i="51"/>
  <c r="B63" i="51"/>
  <c r="B51" i="51"/>
  <c r="B39" i="51"/>
  <c r="B27" i="51"/>
  <c r="B15" i="51"/>
  <c r="B3" i="51"/>
  <c r="B34" i="51"/>
  <c r="B21" i="51"/>
  <c r="B92" i="51"/>
  <c r="B90" i="51"/>
  <c r="B30" i="51"/>
  <c r="B89" i="51"/>
  <c r="B53" i="51"/>
  <c r="B17" i="51"/>
  <c r="B88" i="51"/>
  <c r="B64" i="51"/>
  <c r="B98" i="51"/>
  <c r="B86" i="51"/>
  <c r="B74" i="51"/>
  <c r="B62" i="51"/>
  <c r="B50" i="51"/>
  <c r="B38" i="51"/>
  <c r="B26" i="51"/>
  <c r="B14" i="51"/>
  <c r="B94" i="51"/>
  <c r="B70" i="51"/>
  <c r="B105" i="51"/>
  <c r="B9" i="51"/>
  <c r="B44" i="51"/>
  <c r="B66" i="51"/>
  <c r="B97" i="51"/>
  <c r="B85" i="51"/>
  <c r="B73" i="51"/>
  <c r="B61" i="51"/>
  <c r="B49" i="51"/>
  <c r="B37" i="51"/>
  <c r="B25" i="51"/>
  <c r="B13" i="51"/>
  <c r="B96" i="51"/>
  <c r="B84" i="51"/>
  <c r="B72" i="51"/>
  <c r="B60" i="51"/>
  <c r="B48" i="51"/>
  <c r="B36" i="51"/>
  <c r="B24" i="51"/>
  <c r="B12" i="51"/>
  <c r="I8" i="21"/>
  <c r="I9" i="21"/>
  <c r="I10" i="21"/>
  <c r="I11" i="21"/>
  <c r="I12" i="21"/>
  <c r="I13" i="21"/>
  <c r="I14" i="21"/>
  <c r="I15" i="21"/>
  <c r="I16" i="21"/>
  <c r="I17" i="21"/>
  <c r="I18" i="21"/>
  <c r="I19" i="21"/>
  <c r="I20" i="21"/>
  <c r="I21" i="21"/>
  <c r="I22" i="21"/>
  <c r="I23" i="21"/>
  <c r="I24" i="21"/>
  <c r="I25" i="21"/>
  <c r="I26" i="21"/>
  <c r="I27" i="21"/>
  <c r="I28" i="21"/>
  <c r="I29" i="21"/>
  <c r="I30" i="21"/>
  <c r="I31" i="21"/>
  <c r="I32" i="21"/>
  <c r="I33" i="21"/>
  <c r="I34" i="21"/>
  <c r="I35" i="21"/>
  <c r="I36" i="21"/>
  <c r="I37" i="21"/>
  <c r="I38" i="21"/>
  <c r="I39" i="21"/>
  <c r="I40" i="21"/>
  <c r="I41" i="21"/>
  <c r="I42" i="21"/>
  <c r="I43" i="21"/>
  <c r="I44" i="21"/>
  <c r="I45" i="21"/>
  <c r="I46" i="21"/>
  <c r="I47" i="21"/>
  <c r="I48" i="21"/>
  <c r="I49" i="21"/>
  <c r="I50" i="21"/>
  <c r="I51" i="21"/>
  <c r="I52" i="21"/>
  <c r="I53" i="21"/>
  <c r="I54" i="21"/>
  <c r="I55" i="21"/>
  <c r="I56" i="21"/>
  <c r="I57" i="21"/>
  <c r="I58" i="21"/>
  <c r="I59" i="21"/>
  <c r="I60" i="21"/>
  <c r="I61" i="21"/>
  <c r="I62" i="21"/>
  <c r="I63" i="21"/>
  <c r="I64" i="21"/>
  <c r="I65" i="21"/>
  <c r="I66" i="21"/>
  <c r="I67" i="21"/>
  <c r="I68" i="21"/>
  <c r="I69" i="21"/>
  <c r="I70" i="21"/>
  <c r="I71" i="21"/>
  <c r="I72" i="21"/>
  <c r="I73" i="21"/>
  <c r="I74" i="21"/>
  <c r="I75" i="21"/>
  <c r="I76" i="21"/>
  <c r="I77" i="21"/>
  <c r="I78" i="21"/>
  <c r="I79" i="21"/>
  <c r="I80" i="21"/>
  <c r="I81" i="21"/>
  <c r="I82" i="21"/>
  <c r="I83" i="21"/>
  <c r="I84" i="21"/>
  <c r="I85" i="21"/>
  <c r="I86" i="21"/>
  <c r="I87" i="21"/>
  <c r="I88" i="21"/>
  <c r="I89" i="21"/>
  <c r="I90" i="21"/>
  <c r="I91" i="21"/>
  <c r="I92" i="21"/>
  <c r="I93" i="21"/>
  <c r="I94" i="21"/>
  <c r="I3" i="21"/>
  <c r="I4" i="21"/>
  <c r="I5" i="21"/>
  <c r="I6" i="21"/>
  <c r="I7" i="21"/>
  <c r="I2" i="21"/>
  <c r="D2" i="51" l="1"/>
  <c r="C2" i="51" a="1"/>
  <c r="B2" i="51"/>
  <c r="E39" i="51" l="1"/>
  <c r="E104" i="51"/>
  <c r="E15" i="51"/>
  <c r="E120" i="51"/>
  <c r="E53" i="51"/>
  <c r="E126" i="51"/>
  <c r="E97" i="51"/>
  <c r="E35" i="51"/>
  <c r="E108" i="51"/>
  <c r="E93" i="51"/>
  <c r="E60" i="51"/>
  <c r="E131" i="51"/>
  <c r="E112" i="51"/>
  <c r="E46" i="51"/>
  <c r="E62" i="51"/>
  <c r="E65" i="51"/>
  <c r="E19" i="51"/>
  <c r="E95" i="51"/>
  <c r="E61" i="51"/>
  <c r="E105" i="51"/>
  <c r="E132" i="51"/>
  <c r="E84" i="51"/>
  <c r="E87" i="51"/>
  <c r="E51" i="51"/>
  <c r="E16" i="51"/>
  <c r="E91" i="51"/>
  <c r="E73" i="51"/>
  <c r="E133" i="51"/>
  <c r="E109" i="51"/>
  <c r="E36" i="51"/>
  <c r="E89" i="51"/>
  <c r="E96" i="51"/>
  <c r="E129" i="51"/>
  <c r="E86" i="51"/>
  <c r="E123" i="51"/>
  <c r="E52" i="51"/>
  <c r="E20" i="51"/>
  <c r="E25" i="51"/>
  <c r="E141" i="51"/>
  <c r="E13" i="51"/>
  <c r="E146" i="51"/>
  <c r="E100" i="51"/>
  <c r="E113" i="51"/>
  <c r="E67" i="51"/>
  <c r="E22" i="51"/>
  <c r="E98" i="51"/>
  <c r="E66" i="51"/>
  <c r="E18" i="51"/>
  <c r="E125" i="51"/>
  <c r="E14" i="51"/>
  <c r="E83" i="51"/>
  <c r="E88" i="51"/>
  <c r="E42" i="51"/>
  <c r="E82" i="51"/>
  <c r="E33" i="51"/>
  <c r="E70" i="51"/>
  <c r="E124" i="51"/>
  <c r="E59" i="51"/>
  <c r="E45" i="51"/>
  <c r="E119" i="51"/>
  <c r="E148" i="51"/>
  <c r="E143" i="51"/>
  <c r="E57" i="51"/>
  <c r="E50" i="51"/>
  <c r="E128" i="51"/>
  <c r="E69" i="51"/>
  <c r="E56" i="51"/>
  <c r="E130" i="51"/>
  <c r="E76" i="51"/>
  <c r="E63" i="51"/>
  <c r="E27" i="51"/>
  <c r="E38" i="51"/>
  <c r="E6" i="51"/>
  <c r="E47" i="51"/>
  <c r="E77" i="51"/>
  <c r="E24" i="51"/>
  <c r="E117" i="51"/>
  <c r="E37" i="51"/>
  <c r="E5" i="51"/>
  <c r="E99" i="51"/>
  <c r="E75" i="51"/>
  <c r="E28" i="51"/>
  <c r="E127" i="51"/>
  <c r="E7" i="51"/>
  <c r="E74" i="51"/>
  <c r="E145" i="51"/>
  <c r="E85" i="51"/>
  <c r="E111" i="51"/>
  <c r="E101" i="51"/>
  <c r="E43" i="51"/>
  <c r="E134" i="51"/>
  <c r="E26" i="51"/>
  <c r="E2" i="51" s="1"/>
  <c r="E135" i="51"/>
  <c r="E68" i="51"/>
  <c r="E9" i="51"/>
  <c r="E10" i="51"/>
  <c r="E64" i="51"/>
  <c r="E136" i="51"/>
  <c r="E103" i="51"/>
  <c r="E21" i="51"/>
  <c r="E31" i="51"/>
  <c r="E44" i="51"/>
  <c r="E72" i="51"/>
  <c r="E55" i="51"/>
  <c r="E30" i="51"/>
  <c r="E8" i="51"/>
  <c r="E49" i="51"/>
  <c r="E139" i="51"/>
  <c r="E54" i="51"/>
  <c r="E118" i="51"/>
  <c r="E4" i="51"/>
  <c r="E78" i="51"/>
  <c r="E48" i="51"/>
  <c r="E23" i="51"/>
  <c r="E142" i="51"/>
  <c r="E102" i="51"/>
  <c r="E12" i="51"/>
  <c r="E11" i="51"/>
  <c r="E140" i="51"/>
  <c r="E34" i="51"/>
  <c r="E40" i="51"/>
  <c r="E41" i="51"/>
  <c r="E147" i="51"/>
  <c r="E121" i="51"/>
  <c r="E58" i="51"/>
  <c r="E138" i="51"/>
  <c r="E137" i="51"/>
  <c r="E110" i="51"/>
  <c r="E80" i="51"/>
  <c r="E79" i="51"/>
  <c r="E114" i="51"/>
  <c r="E92" i="51"/>
  <c r="E94" i="51"/>
  <c r="E115" i="51"/>
  <c r="E17" i="51"/>
  <c r="E116" i="51"/>
  <c r="E106" i="51"/>
  <c r="E32" i="51"/>
  <c r="E29" i="51"/>
  <c r="E90" i="51"/>
  <c r="E71" i="51"/>
  <c r="E122" i="51"/>
  <c r="E3" i="51"/>
  <c r="E144" i="51"/>
  <c r="E81" i="51"/>
  <c r="E107" i="51"/>
  <c r="A2" i="55"/>
  <c r="C2" i="51"/>
  <c r="A2" i="5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6A5E6BA-72A5-47C0-AB0E-D5EDB44DA884}" keepAlive="1" name="Query - Indusmelec Comb" description="Connection to the 'Indusmelec Comb' query in the workbook." type="5" refreshedVersion="8" background="1" saveData="1">
    <dbPr connection="Provider=Microsoft.Mashup.OleDb.1;Data Source=$Workbook$;Location=&quot;Indusmelec Comb&quot;;Extended Properties=&quot;&quot;" command="SELECT * FROM [Indusmelec Comb]"/>
  </connection>
  <connection id="2" xr16:uid="{D5A7DE99-E4B2-43FE-B36C-93A7D9833D38}" keepAlive="1" name="Query - Indusmelec Data" description="Connection to the 'Indusmelec Data' query in the workbook." type="5" refreshedVersion="8" background="1" saveData="1">
    <dbPr connection="Provider=Microsoft.Mashup.OleDb.1;Data Source=$Workbook$;Location=&quot;Indusmelec Data&quot;;Extended Properties=&quot;&quot;" command="SELECT * FROM [Indusmelec Data]"/>
  </connection>
  <connection id="3" xr16:uid="{E167BCDD-3811-42AF-B1B2-A06F271ACA28}" keepAlive="1" name="Query - Indusmelec FT" description="Connection to the 'Indusmelec FT' query in the workbook." type="5" refreshedVersion="8" background="1" saveData="1">
    <dbPr connection="Provider=Microsoft.Mashup.OleDb.1;Data Source=$Workbook$;Location=&quot;Indusmelec FT&quot;;Extended Properties=&quot;&quot;" command="SELECT * FROM [Indusmelec FT]"/>
  </connection>
  <connection id="4" xr16:uid="{39721DC3-FD15-4E51-893E-1128A460D10B}" keepAlive="1" name="Query - Indusmelec FT Data" description="Connection to the 'Indusmelec FT Data' query in the workbook." type="5" refreshedVersion="8" background="1" saveData="1">
    <dbPr connection="Provider=Microsoft.Mashup.OleDb.1;Data Source=$Workbook$;Location=&quot;Indusmelec FT Data&quot;;Extended Properties=&quot;&quot;" command="SELECT * FROM [Indusmelec FT Data]"/>
  </connection>
  <connection id="5" xr16:uid="{2AD48AC9-1A2B-4C07-AF0F-10D54D3C1661}" keepAlive="1" name="Query - Indusmelec FT G" description="Connection to the 'Indusmelec FT G' query in the workbook." type="5" refreshedVersion="8" background="1" saveData="1">
    <dbPr connection="Provider=Microsoft.Mashup.OleDb.1;Data Source=$Workbook$;Location=&quot;Indusmelec FT G&quot;;Extended Properties=&quot;&quot;" command="SELECT * FROM [Indusmelec FT G]"/>
  </connection>
  <connection id="6" xr16:uid="{A5FE4E5A-AC1C-4A01-8D74-CA77717047AA}" keepAlive="1" name="Query - Indusmelec FT G Data" description="Connection to the 'Indusmelec FT G Data' query in the workbook." type="5" refreshedVersion="8" background="1" saveData="1">
    <dbPr connection="Provider=Microsoft.Mashup.OleDb.1;Data Source=$Workbook$;Location=&quot;Indusmelec FT G Data&quot;;Extended Properties=&quot;&quot;" command="SELECT * FROM [Indusmelec FT G Data]"/>
  </connection>
  <connection id="7" xr16:uid="{1A1B53F8-1C23-48EB-9427-2B536ECB8F31}" keepAlive="1" name="Query - Indusmelec Total" description="Connection to the 'Indusmelec Total' query in the workbook." type="5" refreshedVersion="8" background="1" saveData="1">
    <dbPr connection="Provider=Microsoft.Mashup.OleDb.1;Data Source=$Workbook$;Location=&quot;Indusmelec Total&quot;;Extended Properties=&quot;&quot;" command="SELECT * FROM [Indusmelec Total]"/>
  </connection>
  <connection id="8" xr16:uid="{EA779ACB-B922-4EF5-BEF7-C3F674EEEAA5}" keepAlive="1" name="Query - JMM" description="Connection to the 'JMM' query in the workbook." type="5" refreshedVersion="8" background="1" saveData="1">
    <dbPr connection="Provider=Microsoft.Mashup.OleDb.1;Data Source=$Workbook$;Location=JMM;Extended Properties=&quot;&quot;" command="SELECT * FROM [JMM]"/>
  </connection>
  <connection id="9" xr16:uid="{B4A2C043-DEE8-4FD9-95B5-CF884EBAC28B}" keepAlive="1" name="Query - JMM Data" description="Connection to the 'JMM Data' query in the workbook." type="5" refreshedVersion="8" background="1" saveData="1">
    <dbPr connection="Provider=Microsoft.Mashup.OleDb.1;Data Source=$Workbook$;Location=&quot;JMM Data&quot;;Extended Properties=&quot;&quot;" command="SELECT * FROM [JMM Data]"/>
  </connection>
  <connection id="10" xr16:uid="{49F35EAC-CDEB-4720-8F03-84D57DB741E7}" keepAlive="1" name="Query - JMM F Data" description="Connection to the 'JMM F Data' query in the workbook." type="5" refreshedVersion="8" background="1" saveData="1">
    <dbPr connection="Provider=Microsoft.Mashup.OleDb.1;Data Source=$Workbook$;Location=&quot;JMM F Data&quot;;Extended Properties=&quot;&quot;" command="SELECT * FROM [JMM F Data]"/>
  </connection>
  <connection id="11" xr16:uid="{1AC01FC5-08E9-408E-8662-C793462030B8}" keepAlive="1" name="Query - JMM Fatura" description="Connection to the 'JMM Fatura' query in the workbook." type="5" refreshedVersion="8" background="1" saveData="1">
    <dbPr connection="Provider=Microsoft.Mashup.OleDb.1;Data Source=$Workbook$;Location=&quot;JMM Fatura&quot;;Extended Properties=&quot;&quot;" command="SELECT * FROM [JMM Fatura]"/>
  </connection>
  <connection id="12" xr16:uid="{AC2DE6BE-EF8D-4517-8A7A-10DAC44A9A4C}" keepAlive="1" name="Query - JMM Fatura Recibo" description="Connection to the 'JMM Fatura Recibo' query in the workbook." type="5" refreshedVersion="8" background="1" saveData="1">
    <dbPr connection="Provider=Microsoft.Mashup.OleDb.1;Data Source=$Workbook$;Location=&quot;JMM Fatura Recibo&quot;;Extended Properties=&quot;&quot;" command="SELECT * FROM [JMM Fatura Recibo]"/>
  </connection>
  <connection id="13" xr16:uid="{511E5E7A-BF0B-4634-8DD0-7BFE55B787EF}" keepAlive="1" name="Query - JMM Final" description="Connection to the 'JMM Final' query in the workbook." type="5" refreshedVersion="8" background="1" saveData="1">
    <dbPr connection="Provider=Microsoft.Mashup.OleDb.1;Data Source=$Workbook$;Location=&quot;JMM Final&quot;;Extended Properties=&quot;&quot;" command="SELECT * FROM [JMM Final]"/>
  </connection>
  <connection id="14" xr16:uid="{3860382E-6FD5-46C0-A87C-85ACE49EB2C7}" keepAlive="1" name="Query - JMM FR Data" description="Connection to the 'JMM FR Data' query in the workbook." type="5" refreshedVersion="8" background="1" saveData="1">
    <dbPr connection="Provider=Microsoft.Mashup.OleDb.1;Data Source=$Workbook$;Location=&quot;JMM FR Data&quot;;Extended Properties=&quot;&quot;" command="SELECT * FROM [JMM FR Data]"/>
  </connection>
  <connection id="15" xr16:uid="{154FBC23-6CDF-41D6-886F-5219438A58B4}" keepAlive="1" name="Query - JMM Total" description="Connection to the 'JMM Total' query in the workbook." type="5" refreshedVersion="8" background="1" saveData="1">
    <dbPr connection="Provider=Microsoft.Mashup.OleDb.1;Data Source=$Workbook$;Location=&quot;JMM Total&quot;;Extended Properties=&quot;&quot;" command="SELECT * FROM [JMM Total]"/>
  </connection>
  <connection id="16" xr16:uid="{7EE95917-78D2-4C23-8C8A-8E679328ECC7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17" xr16:uid="{0C111A95-42CC-4B7D-946C-A1574169CDAB}" keepAlive="1" name="Query - Parameter10" description="Connection to the 'Parameter10' query in the workbook." type="5" refreshedVersion="0" background="1">
    <dbPr connection="Provider=Microsoft.Mashup.OleDb.1;Data Source=$Workbook$;Location=Parameter10;Extended Properties=&quot;&quot;" command="SELECT * FROM [Parameter10]"/>
  </connection>
  <connection id="18" xr16:uid="{3110DF8E-4E9B-42D5-98C3-85C4AD1EA720}" keepAlive="1" name="Query - Parameter11" description="Connection to the 'Parameter11' query in the workbook." type="5" refreshedVersion="0" background="1">
    <dbPr connection="Provider=Microsoft.Mashup.OleDb.1;Data Source=$Workbook$;Location=Parameter11;Extended Properties=&quot;&quot;" command="SELECT * FROM [Parameter11]"/>
  </connection>
  <connection id="19" xr16:uid="{0E90229D-27B0-4F04-A934-DF7F7AE556ED}" keepAlive="1" name="Query - Parameter12" description="Connection to the 'Parameter12' query in the workbook." type="5" refreshedVersion="0" background="1">
    <dbPr connection="Provider=Microsoft.Mashup.OleDb.1;Data Source=$Workbook$;Location=Parameter12;Extended Properties=&quot;&quot;" command="SELECT * FROM [Parameter12]"/>
  </connection>
  <connection id="20" xr16:uid="{CD551776-34A9-4FFB-B556-0A20040CCD3F}" keepAlive="1" name="Query - Parameter13" description="Connection to the 'Parameter13' query in the workbook." type="5" refreshedVersion="0" background="1">
    <dbPr connection="Provider=Microsoft.Mashup.OleDb.1;Data Source=$Workbook$;Location=Parameter13;Extended Properties=&quot;&quot;" command="SELECT * FROM [Parameter13]"/>
  </connection>
  <connection id="21" xr16:uid="{093E78A4-9CAF-441C-A743-01CB51C0E856}" keepAlive="1" name="Query - Parameter14" description="Connection to the 'Parameter14' query in the workbook." type="5" refreshedVersion="0" background="1">
    <dbPr connection="Provider=Microsoft.Mashup.OleDb.1;Data Source=$Workbook$;Location=Parameter14;Extended Properties=&quot;&quot;" command="SELECT * FROM [Parameter14]"/>
  </connection>
  <connection id="22" xr16:uid="{EB30DFE9-0C42-4341-9423-6A6490AB14AC}" keepAlive="1" name="Query - Parameter2" description="Connection to the 'Parameter2' query in the workbook." type="5" refreshedVersion="0" background="1">
    <dbPr connection="Provider=Microsoft.Mashup.OleDb.1;Data Source=$Workbook$;Location=Parameter2;Extended Properties=&quot;&quot;" command="SELECT * FROM [Parameter2]"/>
  </connection>
  <connection id="23" xr16:uid="{9333C308-4703-4374-8ACD-44465185C554}" keepAlive="1" name="Query - Parameter3" description="Connection to the 'Parameter3' query in the workbook." type="5" refreshedVersion="0" background="1">
    <dbPr connection="Provider=Microsoft.Mashup.OleDb.1;Data Source=$Workbook$;Location=Parameter3;Extended Properties=&quot;&quot;" command="SELECT * FROM [Parameter3]"/>
  </connection>
  <connection id="24" xr16:uid="{B17BB644-DE70-42C2-9F8F-0BD4E6D149D5}" keepAlive="1" name="Query - Parameter4" description="Connection to the 'Parameter4' query in the workbook." type="5" refreshedVersion="0" background="1">
    <dbPr connection="Provider=Microsoft.Mashup.OleDb.1;Data Source=$Workbook$;Location=Parameter4;Extended Properties=&quot;&quot;" command="SELECT * FROM [Parameter4]"/>
  </connection>
  <connection id="25" xr16:uid="{2837A9BF-4429-4EC3-B03A-01E2B46D6862}" keepAlive="1" name="Query - Parameter5" description="Connection to the 'Parameter5' query in the workbook." type="5" refreshedVersion="0" background="1">
    <dbPr connection="Provider=Microsoft.Mashup.OleDb.1;Data Source=$Workbook$;Location=Parameter5;Extended Properties=&quot;&quot;" command="SELECT * FROM [Parameter5]"/>
  </connection>
  <connection id="26" xr16:uid="{39F0C6CD-1ABC-4DF5-B529-92B2D78C0023}" keepAlive="1" name="Query - Parameter6" description="Connection to the 'Parameter6' query in the workbook." type="5" refreshedVersion="0" background="1">
    <dbPr connection="Provider=Microsoft.Mashup.OleDb.1;Data Source=$Workbook$;Location=Parameter6;Extended Properties=&quot;&quot;" command="SELECT * FROM [Parameter6]"/>
  </connection>
  <connection id="27" xr16:uid="{D5041CCB-914F-4C6A-A57B-6258B0EBD483}" keepAlive="1" name="Query - Parameter7" description="Connection to the 'Parameter7' query in the workbook." type="5" refreshedVersion="0" background="1">
    <dbPr connection="Provider=Microsoft.Mashup.OleDb.1;Data Source=$Workbook$;Location=Parameter7;Extended Properties=&quot;&quot;" command="SELECT * FROM [Parameter7]"/>
  </connection>
  <connection id="28" xr16:uid="{B3BA7F13-D894-4F9C-B9FC-1A3981B76E55}" keepAlive="1" name="Query - Parameter8" description="Connection to the 'Parameter8' query in the workbook." type="5" refreshedVersion="0" background="1">
    <dbPr connection="Provider=Microsoft.Mashup.OleDb.1;Data Source=$Workbook$;Location=Parameter8;Extended Properties=&quot;&quot;" command="SELECT * FROM [Parameter8]"/>
  </connection>
  <connection id="29" xr16:uid="{AB6DCAA1-9D62-4437-8A15-E8ADC382E1A0}" keepAlive="1" name="Query - Parameter9" description="Connection to the 'Parameter9' query in the workbook." type="5" refreshedVersion="0" background="1">
    <dbPr connection="Provider=Microsoft.Mashup.OleDb.1;Data Source=$Workbook$;Location=Parameter9;Extended Properties=&quot;&quot;" command="SELECT * FROM [Parameter9]"/>
  </connection>
  <connection id="30" xr16:uid="{BE412D95-8961-4C70-A483-85ECC76AB972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31" xr16:uid="{244DFC2E-A173-4839-BE7A-2FBBA08DDF30}" keepAlive="1" name="Query - Sample File (10)" description="Connection to the 'Sample File (10)' query in the workbook." type="5" refreshedVersion="0" background="1">
    <dbPr connection="Provider=Microsoft.Mashup.OleDb.1;Data Source=$Workbook$;Location=&quot;Sample File (10)&quot;;Extended Properties=&quot;&quot;" command="SELECT * FROM [Sample File (10)]"/>
  </connection>
  <connection id="32" xr16:uid="{E4BD6D58-3924-44F3-90EB-470269371639}" keepAlive="1" name="Query - Sample File (11)" description="Connection to the 'Sample File (11)' query in the workbook." type="5" refreshedVersion="0" background="1">
    <dbPr connection="Provider=Microsoft.Mashup.OleDb.1;Data Source=$Workbook$;Location=&quot;Sample File (11)&quot;;Extended Properties=&quot;&quot;" command="SELECT * FROM [Sample File (11)]"/>
  </connection>
  <connection id="33" xr16:uid="{46F32FE4-84AB-4DA3-B640-BE0C08620A29}" keepAlive="1" name="Query - Sample File (12)" description="Connection to the 'Sample File (12)' query in the workbook." type="5" refreshedVersion="0" background="1">
    <dbPr connection="Provider=Microsoft.Mashup.OleDb.1;Data Source=$Workbook$;Location=&quot;Sample File (12)&quot;;Extended Properties=&quot;&quot;" command="SELECT * FROM [Sample File (12)]"/>
  </connection>
  <connection id="34" xr16:uid="{3662025C-0360-4D50-8526-3FDFBA39AF6B}" keepAlive="1" name="Query - Sample File (13)" description="Connection to the 'Sample File (13)' query in the workbook." type="5" refreshedVersion="0" background="1">
    <dbPr connection="Provider=Microsoft.Mashup.OleDb.1;Data Source=$Workbook$;Location=&quot;Sample File (13)&quot;;Extended Properties=&quot;&quot;" command="SELECT * FROM [Sample File (13)]"/>
  </connection>
  <connection id="35" xr16:uid="{6C28133B-34C4-4E16-AA06-0EB89254AC6E}" keepAlive="1" name="Query - Sample File (14)" description="Connection to the 'Sample File (14)' query in the workbook." type="5" refreshedVersion="0" background="1">
    <dbPr connection="Provider=Microsoft.Mashup.OleDb.1;Data Source=$Workbook$;Location=&quot;Sample File (14)&quot;;Extended Properties=&quot;&quot;" command="SELECT * FROM [Sample File (14)]"/>
  </connection>
  <connection id="36" xr16:uid="{0EF8E990-0268-40B5-9726-9D9D7299C4CF}" keepAlive="1" name="Query - Sample File (15)" description="Connection to the 'Sample File (15)' query in the workbook." type="5" refreshedVersion="0" background="1">
    <dbPr connection="Provider=Microsoft.Mashup.OleDb.1;Data Source=$Workbook$;Location=&quot;Sample File (15)&quot;;Extended Properties=&quot;&quot;" command="SELECT * FROM [Sample File (15)]"/>
  </connection>
  <connection id="37" xr16:uid="{57308F57-1A31-4E33-9298-F35940ACDE03}" keepAlive="1" name="Query - Sample File (16)" description="Connection to the 'Sample File (16)' query in the workbook." type="5" refreshedVersion="0" background="1">
    <dbPr connection="Provider=Microsoft.Mashup.OleDb.1;Data Source=$Workbook$;Location=&quot;Sample File (16)&quot;;Extended Properties=&quot;&quot;" command="SELECT * FROM [Sample File (16)]"/>
  </connection>
  <connection id="38" xr16:uid="{31DE3E0F-8379-4E74-9D84-FF2D14EB304C}" keepAlive="1" name="Query - Sample File (2)" description="Connection to the 'Sample File (2)' query in the workbook." type="5" refreshedVersion="0" background="1">
    <dbPr connection="Provider=Microsoft.Mashup.OleDb.1;Data Source=$Workbook$;Location=&quot;Sample File (2)&quot;;Extended Properties=&quot;&quot;" command="SELECT * FROM [Sample File (2)]"/>
  </connection>
  <connection id="39" xr16:uid="{87E4852E-EFE9-4CAF-A591-75D4B999C318}" keepAlive="1" name="Query - Sample File (3)" description="Connection to the 'Sample File (3)' query in the workbook." type="5" refreshedVersion="0" background="1">
    <dbPr connection="Provider=Microsoft.Mashup.OleDb.1;Data Source=$Workbook$;Location=&quot;Sample File (3)&quot;;Extended Properties=&quot;&quot;" command="SELECT * FROM [Sample File (3)]"/>
  </connection>
  <connection id="40" xr16:uid="{D2FC04D4-FF8E-4B29-ABA6-160A5905665F}" keepAlive="1" name="Query - Sample File (4)" description="Connection to the 'Sample File (4)' query in the workbook." type="5" refreshedVersion="0" background="1">
    <dbPr connection="Provider=Microsoft.Mashup.OleDb.1;Data Source=$Workbook$;Location=&quot;Sample File (4)&quot;;Extended Properties=&quot;&quot;" command="SELECT * FROM [Sample File (4)]"/>
  </connection>
  <connection id="41" xr16:uid="{F574D5BA-E74B-4365-8A09-9BC1C4DFB5B4}" keepAlive="1" name="Query - Sample File (5)" description="Connection to the 'Sample File (5)' query in the workbook." type="5" refreshedVersion="0" background="1">
    <dbPr connection="Provider=Microsoft.Mashup.OleDb.1;Data Source=$Workbook$;Location=&quot;Sample File (5)&quot;;Extended Properties=&quot;&quot;" command="SELECT * FROM [Sample File (5)]"/>
  </connection>
  <connection id="42" xr16:uid="{F0259763-7FB3-4CFA-AE0B-0FBE82800728}" keepAlive="1" name="Query - Sample File (6)" description="Connection to the 'Sample File (6)' query in the workbook." type="5" refreshedVersion="0" background="1">
    <dbPr connection="Provider=Microsoft.Mashup.OleDb.1;Data Source=$Workbook$;Location=&quot;Sample File (6)&quot;;Extended Properties=&quot;&quot;" command="SELECT * FROM [Sample File (6)]"/>
  </connection>
  <connection id="43" xr16:uid="{36634E10-CC5B-43C5-9EE1-4C94E7391155}" keepAlive="1" name="Query - Sample File (7)" description="Connection to the 'Sample File (7)' query in the workbook." type="5" refreshedVersion="0" background="1">
    <dbPr connection="Provider=Microsoft.Mashup.OleDb.1;Data Source=$Workbook$;Location=&quot;Sample File (7)&quot;;Extended Properties=&quot;&quot;" command="SELECT * FROM [Sample File (7)]"/>
  </connection>
  <connection id="44" xr16:uid="{CD47608F-ED9B-46C6-BF4F-C76AB76500F3}" keepAlive="1" name="Query - Sample File (8)" description="Connection to the 'Sample File (8)' query in the workbook." type="5" refreshedVersion="0" background="1">
    <dbPr connection="Provider=Microsoft.Mashup.OleDb.1;Data Source=$Workbook$;Location=&quot;Sample File (8)&quot;;Extended Properties=&quot;&quot;" command="SELECT * FROM [Sample File (8)]"/>
  </connection>
  <connection id="45" xr16:uid="{D483213B-24A4-44E8-A9FA-0F234C2468A0}" keepAlive="1" name="Query - Sample File (9)" description="Connection to the 'Sample File (9)' query in the workbook." type="5" refreshedVersion="0" background="1">
    <dbPr connection="Provider=Microsoft.Mashup.OleDb.1;Data Source=$Workbook$;Location=&quot;Sample File (9)&quot;;Extended Properties=&quot;&quot;" command="SELECT * FROM [Sample File (9)]"/>
  </connection>
  <connection id="46" xr16:uid="{20A9F523-6A9E-474C-AEDB-7BA6F51CCC0A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47" xr16:uid="{BA6A4F89-E3B1-4224-A92B-5778750D9A4F}" keepAlive="1" name="Query - Transform File (10)" description="Connection to the 'Transform File (10)' query in the workbook." type="5" refreshedVersion="0" background="1">
    <dbPr connection="Provider=Microsoft.Mashup.OleDb.1;Data Source=$Workbook$;Location=&quot;Transform File (10)&quot;;Extended Properties=&quot;&quot;" command="SELECT * FROM [Transform File (10)]"/>
  </connection>
  <connection id="48" xr16:uid="{A6E52A41-D787-424A-B494-020705FCAA8D}" keepAlive="1" name="Query - Transform File (11)" description="Connection to the 'Transform File (11)' query in the workbook." type="5" refreshedVersion="0" background="1">
    <dbPr connection="Provider=Microsoft.Mashup.OleDb.1;Data Source=$Workbook$;Location=&quot;Transform File (11)&quot;;Extended Properties=&quot;&quot;" command="SELECT * FROM [Transform File (11)]"/>
  </connection>
  <connection id="49" xr16:uid="{49DD9A26-F259-4C1B-AF81-43E94B1F9B15}" keepAlive="1" name="Query - Transform File (12)" description="Connection to the 'Transform File (12)' query in the workbook." type="5" refreshedVersion="0" background="1">
    <dbPr connection="Provider=Microsoft.Mashup.OleDb.1;Data Source=$Workbook$;Location=&quot;Transform File (12)&quot;;Extended Properties=&quot;&quot;" command="SELECT * FROM [Transform File (12)]"/>
  </connection>
  <connection id="50" xr16:uid="{2CF1E2F9-3752-4677-B0E0-F035B1D8861E}" keepAlive="1" name="Query - Transform File (13)" description="Connection to the 'Transform File (13)' query in the workbook." type="5" refreshedVersion="0" background="1">
    <dbPr connection="Provider=Microsoft.Mashup.OleDb.1;Data Source=$Workbook$;Location=&quot;Transform File (13)&quot;;Extended Properties=&quot;&quot;" command="SELECT * FROM [Transform File (13)]"/>
  </connection>
  <connection id="51" xr16:uid="{78BA2509-E35B-416C-853A-033A9898681A}" keepAlive="1" name="Query - Transform File (14)" description="Connection to the 'Transform File (14)' query in the workbook." type="5" refreshedVersion="0" background="1">
    <dbPr connection="Provider=Microsoft.Mashup.OleDb.1;Data Source=$Workbook$;Location=&quot;Transform File (14)&quot;;Extended Properties=&quot;&quot;" command="SELECT * FROM [Transform File (14)]"/>
  </connection>
  <connection id="52" xr16:uid="{39931E20-2D9C-4881-BCA8-27DD66CFB4E9}" keepAlive="1" name="Query - Transform File (15)" description="Connection to the 'Transform File (15)' query in the workbook." type="5" refreshedVersion="0" background="1">
    <dbPr connection="Provider=Microsoft.Mashup.OleDb.1;Data Source=$Workbook$;Location=&quot;Transform File (15)&quot;;Extended Properties=&quot;&quot;" command="SELECT * FROM [Transform File (15)]"/>
  </connection>
  <connection id="53" xr16:uid="{F00F565A-AE9D-4505-827B-A38F2D934864}" keepAlive="1" name="Query - Transform File (16)" description="Connection to the 'Transform File (16)' query in the workbook." type="5" refreshedVersion="0" background="1">
    <dbPr connection="Provider=Microsoft.Mashup.OleDb.1;Data Source=$Workbook$;Location=&quot;Transform File (16)&quot;;Extended Properties=&quot;&quot;" command="SELECT * FROM [Transform File (16)]"/>
  </connection>
  <connection id="54" xr16:uid="{66BD1958-E6B1-4262-82F1-CF0D6746498F}" keepAlive="1" name="Query - Transform File (2)" description="Connection to the 'Transform File (2)' query in the workbook." type="5" refreshedVersion="0" background="1">
    <dbPr connection="Provider=Microsoft.Mashup.OleDb.1;Data Source=$Workbook$;Location=&quot;Transform File (2)&quot;;Extended Properties=&quot;&quot;" command="SELECT * FROM [Transform File (2)]"/>
  </connection>
  <connection id="55" xr16:uid="{282555EC-B590-43A5-8ADA-2401AAF9625A}" keepAlive="1" name="Query - Transform File (3)" description="Connection to the 'Transform File (3)' query in the workbook." type="5" refreshedVersion="0" background="1">
    <dbPr connection="Provider=Microsoft.Mashup.OleDb.1;Data Source=$Workbook$;Location=&quot;Transform File (3)&quot;;Extended Properties=&quot;&quot;" command="SELECT * FROM [Transform File (3)]"/>
  </connection>
  <connection id="56" xr16:uid="{09ACDE5B-E7FB-4017-B9CB-CC45CA320661}" keepAlive="1" name="Query - Transform File (4)" description="Connection to the 'Transform File (4)' query in the workbook." type="5" refreshedVersion="0" background="1">
    <dbPr connection="Provider=Microsoft.Mashup.OleDb.1;Data Source=$Workbook$;Location=&quot;Transform File (4)&quot;;Extended Properties=&quot;&quot;" command="SELECT * FROM [Transform File (4)]"/>
  </connection>
  <connection id="57" xr16:uid="{EA9B31A4-E85A-4431-B20C-7F2AA3400595}" keepAlive="1" name="Query - Transform File (5)" description="Connection to the 'Transform File (5)' query in the workbook." type="5" refreshedVersion="0" background="1">
    <dbPr connection="Provider=Microsoft.Mashup.OleDb.1;Data Source=$Workbook$;Location=&quot;Transform File (5)&quot;;Extended Properties=&quot;&quot;" command="SELECT * FROM [Transform File (5)]"/>
  </connection>
  <connection id="58" xr16:uid="{BF6CA422-BC5E-477F-9F49-2ABA459BC713}" keepAlive="1" name="Query - Transform File (6)" description="Connection to the 'Transform File (6)' query in the workbook." type="5" refreshedVersion="0" background="1">
    <dbPr connection="Provider=Microsoft.Mashup.OleDb.1;Data Source=$Workbook$;Location=&quot;Transform File (6)&quot;;Extended Properties=&quot;&quot;" command="SELECT * FROM [Transform File (6)]"/>
  </connection>
  <connection id="59" xr16:uid="{695C4107-3321-45E5-8DBA-E3E99FCA264A}" keepAlive="1" name="Query - Transform File (7)" description="Connection to the 'Transform File (7)' query in the workbook." type="5" refreshedVersion="0" background="1">
    <dbPr connection="Provider=Microsoft.Mashup.OleDb.1;Data Source=$Workbook$;Location=&quot;Transform File (7)&quot;;Extended Properties=&quot;&quot;" command="SELECT * FROM [Transform File (7)]"/>
  </connection>
  <connection id="60" xr16:uid="{882BA12C-3D9A-4295-AC9A-013147A45508}" keepAlive="1" name="Query - Transform File (8)" description="Connection to the 'Transform File (8)' query in the workbook." type="5" refreshedVersion="0" background="1">
    <dbPr connection="Provider=Microsoft.Mashup.OleDb.1;Data Source=$Workbook$;Location=&quot;Transform File (8)&quot;;Extended Properties=&quot;&quot;" command="SELECT * FROM [Transform File (8)]"/>
  </connection>
  <connection id="61" xr16:uid="{EB1CBD69-1049-4169-B765-18842CC8F1A6}" keepAlive="1" name="Query - Transform File (9)" description="Connection to the 'Transform File (9)' query in the workbook." type="5" refreshedVersion="0" background="1">
    <dbPr connection="Provider=Microsoft.Mashup.OleDb.1;Data Source=$Workbook$;Location=&quot;Transform File (9)&quot;;Extended Properties=&quot;&quot;" command="SELECT * FROM [Transform File (9)]"/>
  </connection>
  <connection id="62" xr16:uid="{C18F497D-22EE-4A67-8EBD-111C4AB793DE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63" xr16:uid="{2CE193EA-F226-4250-8D5F-75D13876E337}" keepAlive="1" name="Query - Transform Sample File (10)" description="Connection to the 'Transform Sample File (10)' query in the workbook." type="5" refreshedVersion="0" background="1">
    <dbPr connection="Provider=Microsoft.Mashup.OleDb.1;Data Source=$Workbook$;Location=&quot;Transform Sample File (10)&quot;;Extended Properties=&quot;&quot;" command="SELECT * FROM [Transform Sample File (10)]"/>
  </connection>
  <connection id="64" xr16:uid="{9BA28977-DD44-496A-9185-6F5693CEB5EB}" keepAlive="1" name="Query - Transform Sample File (11)" description="Connection to the 'Transform Sample File (11)' query in the workbook." type="5" refreshedVersion="0" background="1">
    <dbPr connection="Provider=Microsoft.Mashup.OleDb.1;Data Source=$Workbook$;Location=&quot;Transform Sample File (11)&quot;;Extended Properties=&quot;&quot;" command="SELECT * FROM [Transform Sample File (11)]"/>
  </connection>
  <connection id="65" xr16:uid="{A5666D53-3765-4015-BE5B-049E768C52C4}" keepAlive="1" name="Query - Transform Sample File (12)" description="Connection to the 'Transform Sample File (12)' query in the workbook." type="5" refreshedVersion="0" background="1">
    <dbPr connection="Provider=Microsoft.Mashup.OleDb.1;Data Source=$Workbook$;Location=&quot;Transform Sample File (12)&quot;;Extended Properties=&quot;&quot;" command="SELECT * FROM [Transform Sample File (12)]"/>
  </connection>
  <connection id="66" xr16:uid="{7E4B9D03-CE88-4282-9CEC-45729C99054D}" keepAlive="1" name="Query - Transform Sample File (2)" description="Connection to the 'Transform Sample File (2)' query in the workbook." type="5" refreshedVersion="0" background="1">
    <dbPr connection="Provider=Microsoft.Mashup.OleDb.1;Data Source=$Workbook$;Location=&quot;Transform Sample File (2)&quot;;Extended Properties=&quot;&quot;" command="SELECT * FROM [Transform Sample File (2)]"/>
  </connection>
  <connection id="67" xr16:uid="{B17FD8A6-8EFA-49B3-A70C-39FBD6CFD6CF}" keepAlive="1" name="Query - Transform Sample File (3)" description="Connection to the 'Transform Sample File (3)' query in the workbook." type="5" refreshedVersion="0" background="1">
    <dbPr connection="Provider=Microsoft.Mashup.OleDb.1;Data Source=$Workbook$;Location=&quot;Transform Sample File (3)&quot;;Extended Properties=&quot;&quot;" command="SELECT * FROM [Transform Sample File (3)]"/>
  </connection>
  <connection id="68" xr16:uid="{A1011DC2-852F-40DE-9508-CE45D5B81496}" keepAlive="1" name="Query - Transform Sample File (4)" description="Connection to the 'Transform Sample File (4)' query in the workbook." type="5" refreshedVersion="0" background="1">
    <dbPr connection="Provider=Microsoft.Mashup.OleDb.1;Data Source=$Workbook$;Location=&quot;Transform Sample File (4)&quot;;Extended Properties=&quot;&quot;" command="SELECT * FROM [Transform Sample File (4)]"/>
  </connection>
  <connection id="69" xr16:uid="{99E9F453-77A0-4B20-8F43-5DB2849520E7}" keepAlive="1" name="Query - Transform Sample File (5)" description="Connection to the 'Transform Sample File (5)' query in the workbook." type="5" refreshedVersion="0" background="1">
    <dbPr connection="Provider=Microsoft.Mashup.OleDb.1;Data Source=$Workbook$;Location=&quot;Transform Sample File (5)&quot;;Extended Properties=&quot;&quot;" command="SELECT * FROM [Transform Sample File (5)]"/>
  </connection>
  <connection id="70" xr16:uid="{4EAB193B-469B-46B4-9929-B38E9004A2E5}" keepAlive="1" name="Query - Transform Sample File (6)" description="Connection to the 'Transform Sample File (6)' query in the workbook." type="5" refreshedVersion="0" background="1">
    <dbPr connection="Provider=Microsoft.Mashup.OleDb.1;Data Source=$Workbook$;Location=&quot;Transform Sample File (6)&quot;;Extended Properties=&quot;&quot;" command="SELECT * FROM [Transform Sample File (6)]"/>
  </connection>
  <connection id="71" xr16:uid="{D866507C-ADB8-4F86-A51D-0BF9BA148E49}" keepAlive="1" name="Query - Transform Sample File (7)" description="Connection to the 'Transform Sample File (7)' query in the workbook." type="5" refreshedVersion="0" background="1">
    <dbPr connection="Provider=Microsoft.Mashup.OleDb.1;Data Source=$Workbook$;Location=&quot;Transform Sample File (7)&quot;;Extended Properties=&quot;&quot;" command="SELECT * FROM [Transform Sample File (7)]"/>
  </connection>
  <connection id="72" xr16:uid="{E78DC775-5A2B-4654-A672-F8C4B740EF72}" keepAlive="1" name="Query - Transform Sample File (8)" description="Connection to the 'Transform Sample File (8)' query in the workbook." type="5" refreshedVersion="0" background="1">
    <dbPr connection="Provider=Microsoft.Mashup.OleDb.1;Data Source=$Workbook$;Location=&quot;Transform Sample File (8)&quot;;Extended Properties=&quot;&quot;" command="SELECT * FROM [Transform Sample File (8)]"/>
  </connection>
  <connection id="73" xr16:uid="{C5460CEF-C406-482B-B560-71015FFB67E6}" keepAlive="1" name="Query - Transform Sample File (9)" description="Connection to the 'Transform Sample File (9)' query in the workbook." type="5" refreshedVersion="0" background="1">
    <dbPr connection="Provider=Microsoft.Mashup.OleDb.1;Data Source=$Workbook$;Location=&quot;Transform Sample File (9)&quot;;Extended Properties=&quot;&quot;" command="SELECT * FROM [Transform Sample File (9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<sst xmlns="http://schemas.openxmlformats.org/spreadsheetml/2006/main" count="8731" uniqueCount="1302">
  <si>
    <t>Fatura</t>
  </si>
  <si>
    <t>Referência</t>
  </si>
  <si>
    <t>Designação</t>
  </si>
  <si>
    <t>Qtd.</t>
  </si>
  <si>
    <t>Prç Uni</t>
  </si>
  <si>
    <t>Desc 1</t>
  </si>
  <si>
    <t>Desc 2</t>
  </si>
  <si>
    <t>Prç Uni c/ Desc</t>
  </si>
  <si>
    <t>Total</t>
  </si>
  <si>
    <t>Factura nº 11861.PDF</t>
  </si>
  <si>
    <t>017.RZ1K5G6VD</t>
  </si>
  <si>
    <t xml:space="preserve">CABO RZ1-K 5G6 VERDE
Entregue na Guia nº3132 da Solcoraction  </t>
  </si>
  <si>
    <t>Factura nº 12043.PDF.pdf</t>
  </si>
  <si>
    <t>020.73021150</t>
  </si>
  <si>
    <t xml:space="preserve">TAMPA CALHA 150  </t>
  </si>
  <si>
    <t>Factura nº 13767.PDF</t>
  </si>
  <si>
    <t>050.L18510</t>
  </si>
  <si>
    <t xml:space="preserve">(50TK500085) TERMINAL 185-10  </t>
  </si>
  <si>
    <t>Factura nº 13796.PDF</t>
  </si>
  <si>
    <t>020.60512150</t>
  </si>
  <si>
    <t xml:space="preserve">60512150 CALHA VARÃO REGIBAND RAPIDE 150X60 EZ  </t>
  </si>
  <si>
    <t>020.60512100</t>
  </si>
  <si>
    <t xml:space="preserve">CALHA REJIBAND 60X100 EZ  </t>
  </si>
  <si>
    <t>020.73021100</t>
  </si>
  <si>
    <t xml:space="preserve">TAMPA 100 G.S.  </t>
  </si>
  <si>
    <t>020.62021304</t>
  </si>
  <si>
    <t xml:space="preserve">SUPORTE OMEGA S-PLUS 300 GS  </t>
  </si>
  <si>
    <t>020.62021404</t>
  </si>
  <si>
    <t xml:space="preserve">SUPORTE PARDE OMEGA 400  </t>
  </si>
  <si>
    <t>020.62021204</t>
  </si>
  <si>
    <t xml:space="preserve">SUP OMEGA UNIV. S-PLUS 200 G.S.  </t>
  </si>
  <si>
    <t>020.68000032</t>
  </si>
  <si>
    <t xml:space="preserve">BORNE DE TERRA  </t>
  </si>
  <si>
    <t>020.67010046</t>
  </si>
  <si>
    <t xml:space="preserve">SUSPENSÃO CENTRAL 9 E.Z.  </t>
  </si>
  <si>
    <t>300.100</t>
  </si>
  <si>
    <t xml:space="preserve">PORTES DIRETOS CASTELO BRANCO  </t>
  </si>
  <si>
    <t>Factura_no_2915.PDF</t>
  </si>
  <si>
    <t>020.60211100</t>
  </si>
  <si>
    <t xml:space="preserve">CALHA REGIBAND 35/100 E.Z.  </t>
  </si>
  <si>
    <t>020.64010061</t>
  </si>
  <si>
    <t xml:space="preserve">UNIÃO REFORÇADA E.Z. </t>
  </si>
  <si>
    <t>020.62021104</t>
  </si>
  <si>
    <t xml:space="preserve">SUP OMEGA UNIV. S-PLUS 100 G.S.  </t>
  </si>
  <si>
    <t>Factura_no_2916.PDF</t>
  </si>
  <si>
    <t>050.50TF510007</t>
  </si>
  <si>
    <t xml:space="preserve">50TF510007 - - C2AU120 TERM Cu/Al EDF HN.68.S.90  </t>
  </si>
  <si>
    <t>050.50TF510005</t>
  </si>
  <si>
    <t xml:space="preserve">50TF510005 - C1AU70 TERM Cu/Al EDF HN.68.S.90  </t>
  </si>
  <si>
    <t>Indusmelec actura nº 9995.PDF</t>
  </si>
  <si>
    <t xml:space="preserve"> CALHA REGIBAND 35/100 E.Z. </t>
  </si>
  <si>
    <t xml:space="preserve"> TAMPA 100 G.S. </t>
  </si>
  <si>
    <t xml:space="preserve"> UNIÃO REFORÇADA E.Z.</t>
  </si>
  <si>
    <t xml:space="preserve"> BORNE DE TERRA </t>
  </si>
  <si>
    <t>020.75821150</t>
  </si>
  <si>
    <t xml:space="preserve"> PEMSABAND LX CLICK 35X150 GS </t>
  </si>
  <si>
    <t xml:space="preserve"> TAMPA CALHA 150 </t>
  </si>
  <si>
    <t>002.10090RBR</t>
  </si>
  <si>
    <t xml:space="preserve"> CALHA 110x50 BRANCA </t>
  </si>
  <si>
    <t>002.10096RBR</t>
  </si>
  <si>
    <t xml:space="preserve">10096 RBR ÂNGULO EXTERIOR VAR P/CALHA 110X50 </t>
  </si>
  <si>
    <t>Indusmelec Devol. Mercadorias nº 367.PDF.pdf</t>
  </si>
  <si>
    <t>017.120304015</t>
  </si>
  <si>
    <t xml:space="preserve">Factura no. 10091 de 03.07.2025
Encomenda de Cliente nº Rafael de 27.06.2025
FXG FRS 4G1,5 LR MT  </t>
  </si>
  <si>
    <t>Indusmelec Factura nº 10009.PDF</t>
  </si>
  <si>
    <t>001.GERSFLEX40C</t>
  </si>
  <si>
    <t xml:space="preserve">SOUDAFLEX 40FC - COLA E VEDA BRANCO (300ML)  </t>
  </si>
  <si>
    <t>001.GERSFOAM1K</t>
  </si>
  <si>
    <t xml:space="preserve">SOUDAFOAM 1K - ESPUMA POLIURETANO (750ML)  </t>
  </si>
  <si>
    <t>001.KEL98687</t>
  </si>
  <si>
    <t xml:space="preserve">PRO/ ENROLADOR C/ PROT. 3G2.5 40MTS 4X SCHUKO  </t>
  </si>
  <si>
    <t>Indusmelec Factura nº 10010.PDF</t>
  </si>
  <si>
    <t>Indusmelec Factura nº 10075.PDF</t>
  </si>
  <si>
    <t>Indusmelec Factura nº 10091.PDF</t>
  </si>
  <si>
    <t xml:space="preserve">Encomenda de Cliente nº Rafael de 27.06.2025
FXG FRS 4G1,5 LR MT  </t>
  </si>
  <si>
    <t>Indusmelec Factura nº 10151.PDF</t>
  </si>
  <si>
    <t>020.60512200</t>
  </si>
  <si>
    <t xml:space="preserve">CALHA RAPID 200X60 EZ </t>
  </si>
  <si>
    <t>Indusmelec Factura nº 10325.PDF</t>
  </si>
  <si>
    <t>001.GG5004</t>
  </si>
  <si>
    <t xml:space="preserve">ARMARIO C/PORTA CEGA 500x400x175mm-CINZA  </t>
  </si>
  <si>
    <t>050.L168</t>
  </si>
  <si>
    <t xml:space="preserve">(50TK500030) L168 TERMINAL 16-8  </t>
  </si>
  <si>
    <t>050.L358</t>
  </si>
  <si>
    <t xml:space="preserve">(50TK500037) L358 TERMINAL 35-8  </t>
  </si>
  <si>
    <t>022.9019310000</t>
  </si>
  <si>
    <t xml:space="preserve">TERM. AISL. H 35/30 D (100 unid.)  </t>
  </si>
  <si>
    <t>022.9021170000</t>
  </si>
  <si>
    <t xml:space="preserve">TERM. AISL. H16.0/22T W (100 unid.)  </t>
  </si>
  <si>
    <t>086.LSN504</t>
  </si>
  <si>
    <t xml:space="preserve">Corta-circuitos 3P+N 32A 400V L38 4M  </t>
  </si>
  <si>
    <t>086.LF302G</t>
  </si>
  <si>
    <t xml:space="preserve">Fusível 10x38 gG 2A 500V  </t>
  </si>
  <si>
    <t>Indusmelec Factura nº 13087.PDF</t>
  </si>
  <si>
    <t>Indusmelec Factura nº 14414.pdf</t>
  </si>
  <si>
    <t>Indusmelec Factura nº 16775.pdf</t>
  </si>
  <si>
    <t>Indusmelec Factura nº 18076.PDF</t>
  </si>
  <si>
    <t>017.RZ1K5G16</t>
  </si>
  <si>
    <t xml:space="preserve">Guia Acompanhamento CL no. 1159 de 27.11.2025
Orçamento no. 18153 de 27.11.2025
RZ1K5G16 CABO 5G16  </t>
  </si>
  <si>
    <t>Indusmelec Factura nº 18169.PDF</t>
  </si>
  <si>
    <t>017.RZ1K5G10</t>
  </si>
  <si>
    <t xml:space="preserve">RZ1K5G10 CABO 5G10  </t>
  </si>
  <si>
    <t>Indusmelec Factura nº 2166.PDF</t>
  </si>
  <si>
    <t>Indusmelec Factura nº 2677.pdf</t>
  </si>
  <si>
    <t xml:space="preserve">Guia Acompanhamento CL no. 97 de 04.02.2025
Encomenda de Cliente no. 1701 de 04.02.2025
Orçamento no. 1974 de 04.02.2025
SUP OMEGA UNIV. S-PLUS 200 G.S.  </t>
  </si>
  <si>
    <t>Indusmelec Factura nº 2819.PDF</t>
  </si>
  <si>
    <t>001.ABS385X7.6-PT</t>
  </si>
  <si>
    <t xml:space="preserve">ABS385X7.6-PT 385X7.6-PT ABRAÇADEIRA SERRILHA  </t>
  </si>
  <si>
    <t>Indusmelec Factura nº 2903.PDF</t>
  </si>
  <si>
    <t xml:space="preserve">CALHA RAPID 200X60 EZ  </t>
  </si>
  <si>
    <t>020.73021200</t>
  </si>
  <si>
    <t xml:space="preserve">TAMPA METALICA 200  </t>
  </si>
  <si>
    <t>INDUSMELEC Factura nº 3113.PDF</t>
  </si>
  <si>
    <t>020.TX60H954</t>
  </si>
  <si>
    <t xml:space="preserve">CONJUNTO BROCAS CRANEANAS (19 A 76mm)  </t>
  </si>
  <si>
    <t>Indusmelec Factura nº 4191.PDF</t>
  </si>
  <si>
    <t>Indusmelec Factura nº 4234.pdf</t>
  </si>
  <si>
    <t>050.50TF510006</t>
  </si>
  <si>
    <t xml:space="preserve">(50TF510006) 50TF510006 TERMINAL BIMET 95  </t>
  </si>
  <si>
    <t>Indusmelec Factura nº 5326.PDF</t>
  </si>
  <si>
    <t xml:space="preserve">Guia Acompanhamento CL no. 280 de 03.04.2025
Encomenda de Cliente no. 4856 de 01.04.2025
Orçamento no. 5406 de 01.04.2025
BORNE DE TERRA
Prazo de entrega: 1 a 2 dias uteis  </t>
  </si>
  <si>
    <t>Indusmelec Factura nº 7718.PDF</t>
  </si>
  <si>
    <t>001.TBF95</t>
  </si>
  <si>
    <t xml:space="preserve">TERMINAIS BIMETALICOS TBF 95 Ø12  </t>
  </si>
  <si>
    <t>001.ABS270X46PT</t>
  </si>
  <si>
    <t xml:space="preserve">ABS270X4.6-PT 270X4.6-PT ABRAÇADEIRA SERRILHA  </t>
  </si>
  <si>
    <t>020.AB200X4.8</t>
  </si>
  <si>
    <t xml:space="preserve">200X4.8-PT ABRAÇADEIRA SERRILHA  </t>
  </si>
  <si>
    <t>Indusmelec Factura nº 8158-ELS Expansão.PDF</t>
  </si>
  <si>
    <t>050.50TF520005</t>
  </si>
  <si>
    <t xml:space="preserve">50TF520005 CAUBT95 Term Cu/Al 95mm M10  </t>
  </si>
  <si>
    <t>Indusmelec Factura nº 8730.PDF</t>
  </si>
  <si>
    <t>020.60512300</t>
  </si>
  <si>
    <t xml:space="preserve">CALHA REJIBAND 60X300 EZ  </t>
  </si>
  <si>
    <t>020.73021300</t>
  </si>
  <si>
    <t xml:space="preserve">73021300 TAMPA CALHA 300 G.S.  </t>
  </si>
  <si>
    <t>INDUSMELEC Factura nº 9020.PDF</t>
  </si>
  <si>
    <t>020.82003333</t>
  </si>
  <si>
    <t xml:space="preserve">82003333 FIXAÇÃO TAMPA  </t>
  </si>
  <si>
    <t>020.82003450</t>
  </si>
  <si>
    <t xml:space="preserve">SOLAR TOTEM  </t>
  </si>
  <si>
    <t xml:space="preserve">PORTES  </t>
  </si>
  <si>
    <t>Indusmelec Factura nº 9556.PDF</t>
  </si>
  <si>
    <t>Indusmelec Factura nº 9843.PDF</t>
  </si>
  <si>
    <t>Indusmelec Factura nº 9909.PDF</t>
  </si>
  <si>
    <t xml:space="preserve">Encomenda de Cliente nº Rafael - avenida de 17.06.2025
TAMPA 100 G.S.  </t>
  </si>
  <si>
    <t>INDUSMELEC.PDF</t>
  </si>
  <si>
    <t>Indusmelec_Factura_no_1392.PDF</t>
  </si>
  <si>
    <t>002.13010CBR</t>
  </si>
  <si>
    <t xml:space="preserve">CALHA 25x30 BRANCA  </t>
  </si>
  <si>
    <t>002.13013ABR</t>
  </si>
  <si>
    <t xml:space="preserve">13013 ABR  </t>
  </si>
  <si>
    <t>002.13016ABR</t>
  </si>
  <si>
    <t xml:space="preserve">ANGULO EXTERNO VARIAVEL P/ CALHA 25X30  </t>
  </si>
  <si>
    <t>002.13012ABR</t>
  </si>
  <si>
    <t xml:space="preserve">ANGULO INTERIOR VARIAVEL P/ CALHA 25X30  </t>
  </si>
  <si>
    <t>002.PLSCX11511560B</t>
  </si>
  <si>
    <t xml:space="preserve">PLSCX11511560BC - CAIXA DE DERIVAÇÃO C/ BUCINS  </t>
  </si>
  <si>
    <t>Indusmelec_Factura_no_14077.PDF</t>
  </si>
  <si>
    <t>070.BARRASACRILICO</t>
  </si>
  <si>
    <t xml:space="preserve">Encomenda de Cliente nº Rafael de 09.09.2025
Barras + acrilico  </t>
  </si>
  <si>
    <t>Indusmelec_Factura_no_14078.PDF</t>
  </si>
  <si>
    <t>58.2CSG225975R1101</t>
  </si>
  <si>
    <t xml:space="preserve">Encomenda de Cliente nº Rafael de 16.09.2025
Transformador de intens. CT MAX 600  </t>
  </si>
  <si>
    <t>Indusmelec_Factura_no_14291.PDF</t>
  </si>
  <si>
    <t>050.50TF510010</t>
  </si>
  <si>
    <t xml:space="preserve">50TF510010 -C4AU240 TERM Cu/Al EDF HN.68.S.90  </t>
  </si>
  <si>
    <t>Indusmelec_Factura_no_14304.PDF</t>
  </si>
  <si>
    <t>020.DIPANFA25PT</t>
  </si>
  <si>
    <t xml:space="preserve"> DIPANFA25PT - 25 TUBO ANELADO FLEXIVEL ABERTO </t>
  </si>
  <si>
    <t xml:space="preserve"> SUSPENSÃO CENTRAL 9 E.Z. </t>
  </si>
  <si>
    <t>020.TX97X186</t>
  </si>
  <si>
    <t xml:space="preserve"> TX97X186 - CINTA C/ MECANISMO TENSIONADOR 4.50MT </t>
  </si>
  <si>
    <t>020.TX97X184</t>
  </si>
  <si>
    <t xml:space="preserve">TX97X184 - CINTAS 5MT X 25MM - (PACK 2UN) </t>
  </si>
  <si>
    <t xml:space="preserve"> 60512150 CALHA VARÃO REGIBAND RAPIDE 150X60 EZ </t>
  </si>
  <si>
    <t>Indusmelec_Factura_no_14484.pdf</t>
  </si>
  <si>
    <t xml:space="preserve">Guia Acompanhamento CL nº 1491 de 02.09.2024
Fusível 10x38 gG 2A 500V  </t>
  </si>
  <si>
    <t>Indusmelec_Factura_no_14494.PDF</t>
  </si>
  <si>
    <t>017.LIYCY215</t>
  </si>
  <si>
    <t xml:space="preserve">Encomenda de Cliente nº Rafael de 29.08.2024
CABO BLINDADO LIYCY 2X1,5  </t>
  </si>
  <si>
    <t>Indusmelec_Factura_no_15073.PDF</t>
  </si>
  <si>
    <t xml:space="preserve">Encomenda de Cliente nº Rafael de 29.09.2025
CABO BLINDADO LIYCY 2X1,5
Material recolhido pelo Rafael no fabricante  </t>
  </si>
  <si>
    <t>Indusmelec_Factura_no_15249.PDF</t>
  </si>
  <si>
    <t>017.HP1307</t>
  </si>
  <si>
    <t xml:space="preserve">SZ1-K(AS+) 0,6/1kV 2X2,5 LR  </t>
  </si>
  <si>
    <t>Indusmelec_Factura_no_15442.PDF</t>
  </si>
  <si>
    <t xml:space="preserve">Encomenda de Cliente nº KYOTEC de 09.09.2025
60512150 CALHA VARÃO REGIBAND RAPIDE 150X60 EZ  </t>
  </si>
  <si>
    <t>Indusmelec_Factura_no_1576.PDF</t>
  </si>
  <si>
    <t>017.RVK56</t>
  </si>
  <si>
    <t xml:space="preserve">CABO RVK 5G6 PT  </t>
  </si>
  <si>
    <t>025.ACAM45.020</t>
  </si>
  <si>
    <t xml:space="preserve">GUIA DE AÇO REVEST. POLYESTER ESPIRAL 4.2MM /  </t>
  </si>
  <si>
    <t>022.0383400000</t>
  </si>
  <si>
    <t xml:space="preserve">16007155 -- CALHA TS35X7.5 S/PERF.(METRO)  </t>
  </si>
  <si>
    <t>Indusmelec_Factura_no_17718.PDF</t>
  </si>
  <si>
    <t>017.20327867</t>
  </si>
  <si>
    <t xml:space="preserve">XZ1-Al (S) Eca 1kV AC-1,5kV DC 1x240 1,000kV  </t>
  </si>
  <si>
    <t>017.DWX721210Z</t>
  </si>
  <si>
    <t xml:space="preserve">BOBINA GC PINTADA TIPO 10 721210Z  </t>
  </si>
  <si>
    <t>017.20327864</t>
  </si>
  <si>
    <t xml:space="preserve">XZ1-Al (S) Eca 1kV AC-1,5kV DC 1x120 1,000KV  </t>
  </si>
  <si>
    <t>017.DWX750084J</t>
  </si>
  <si>
    <t xml:space="preserve">BOBINA GC PINTADA TIPO 08 750084J  </t>
  </si>
  <si>
    <t>Indusmelec_Factura_no_18285.PDF</t>
  </si>
  <si>
    <t>001.UC16</t>
  </si>
  <si>
    <t xml:space="preserve">UC - UNIAO COBRE 16  </t>
  </si>
  <si>
    <t>Indusmelec_Factura_no_18749.PDF</t>
  </si>
  <si>
    <t>Indusmelec_Factura_no_18965.PDF</t>
  </si>
  <si>
    <t>020.75822100</t>
  </si>
  <si>
    <t xml:space="preserve">PEMSABAND LX CLICK 60X100 GS  </t>
  </si>
  <si>
    <t>Indusmelec_Factura_no_18989.PDF</t>
  </si>
  <si>
    <t>027.22470</t>
  </si>
  <si>
    <t xml:space="preserve">BRAÇADEIRAS PRETA PA6.6 4.8X287 PA 6.6 INTEMP.  </t>
  </si>
  <si>
    <t>Indusmelec_Factura_no_19068.PDF</t>
  </si>
  <si>
    <t>Indusmelec_Factura_no_19555.PDF</t>
  </si>
  <si>
    <t>050.C2AU120</t>
  </si>
  <si>
    <t xml:space="preserve">(50TF510007) TERMINAL BIMETALICO 120MM2  </t>
  </si>
  <si>
    <t>015.C4AU240</t>
  </si>
  <si>
    <t xml:space="preserve">TERMINAIS BIMETALICOS 240mm2  </t>
  </si>
  <si>
    <t>050.L1208</t>
  </si>
  <si>
    <t xml:space="preserve">(50TK500058) L120/8MS TERM CRAV Cu EST 120-8  </t>
  </si>
  <si>
    <t>Indusmelec_Factura_no_20090.PDF</t>
  </si>
  <si>
    <t>Indusmelec_Factura_no_272.PDF</t>
  </si>
  <si>
    <t>Indusmelec_Factura_no_278.PDF</t>
  </si>
  <si>
    <t>Indusmelec_Factura_no_360.PDF</t>
  </si>
  <si>
    <t xml:space="preserve">UNIÃO REFORÇADA E.Z.  </t>
  </si>
  <si>
    <t>001.TEMFLEX155A</t>
  </si>
  <si>
    <t xml:space="preserve">TEMFLEX 155 FITA ISOLADORA (0.13mm X 19mm X 20Mts  </t>
  </si>
  <si>
    <t>001.TEMFLEX155AM</t>
  </si>
  <si>
    <t>001.TEMFLEX155B</t>
  </si>
  <si>
    <t>001.TEMFLEX155C</t>
  </si>
  <si>
    <t>001.TEMFLEX155CT</t>
  </si>
  <si>
    <t>001.TEMFLEX155P</t>
  </si>
  <si>
    <t>001.TEMFLEX155VD</t>
  </si>
  <si>
    <t xml:space="preserve">TEMFLEX 155 FITA ISOLADORA (0.13mm X 19mm X 20Mts)  </t>
  </si>
  <si>
    <t>001.TEMFLEX155V</t>
  </si>
  <si>
    <t>001.TX13852</t>
  </si>
  <si>
    <t xml:space="preserve">PACK 4 MARCADORES PERMANENTE 3MM PRETO  </t>
  </si>
  <si>
    <t>Indusmelec_Factura_no_4471.PDF</t>
  </si>
  <si>
    <t>Indusmelec_Factura_no_598.PDF</t>
  </si>
  <si>
    <t>020.GERCTW35.0AZ</t>
  </si>
  <si>
    <t xml:space="preserve"> 35/17.5 AZUL TUBO TERMORETRACTIL </t>
  </si>
  <si>
    <t>020.GERCTW35.0CT</t>
  </si>
  <si>
    <t xml:space="preserve"> 35/17.5 CASTANHO TUBO TERMORETRACTIL </t>
  </si>
  <si>
    <t>020.GERCTW35.0CZ</t>
  </si>
  <si>
    <t xml:space="preserve"> 35/17.5 CINZENTO TUBO TERMORETRACTIL </t>
  </si>
  <si>
    <t>020.GERCTW35.0PT</t>
  </si>
  <si>
    <t xml:space="preserve"> 35/17.5 PRETO TUBO TERMORETRACTIL </t>
  </si>
  <si>
    <t>020.GERCTW35.0V/A</t>
  </si>
  <si>
    <t xml:space="preserve"> 35/17.5 VERDE/AMARELO TUBO TERMORETRACTIL </t>
  </si>
  <si>
    <t>001.50/26AZ</t>
  </si>
  <si>
    <t xml:space="preserve"> 50/26 AZUL TUBO TERMORETRATIL </t>
  </si>
  <si>
    <t>020.GERCTW50.0CT</t>
  </si>
  <si>
    <t xml:space="preserve"> 50/26 CASTANHO TUBO TERMORETRACTIL </t>
  </si>
  <si>
    <t>020.GERCTW50.0CZ</t>
  </si>
  <si>
    <t xml:space="preserve"> 50/26 CINZENTO TUBO TERMORETRACTIL </t>
  </si>
  <si>
    <t>020.GERCTW50.0PT</t>
  </si>
  <si>
    <t xml:space="preserve"> 50/26 PRETO TUBO TERMORETRACTIL </t>
  </si>
  <si>
    <t>020.GERCTW50.0V/A</t>
  </si>
  <si>
    <t xml:space="preserve"> 50/26 VERDE/AMARELO TUBO TERMORETRACTIL </t>
  </si>
  <si>
    <t xml:space="preserve"> SUPORTE PARDE OMEGA 400 </t>
  </si>
  <si>
    <t>Indusmelec_Factura_no_6665.PDF</t>
  </si>
  <si>
    <t>Indusmelec_Factura_no_6688.PDF</t>
  </si>
  <si>
    <t>indusmelec_Factura_no_7228.PDF</t>
  </si>
  <si>
    <t>002.10060FBR</t>
  </si>
  <si>
    <t xml:space="preserve">CALHA ADESIVA 40X16 BRANCA  </t>
  </si>
  <si>
    <t>002.10063ABR</t>
  </si>
  <si>
    <t xml:space="preserve">ÂNGULO PLANO PARA CALHA 40x16 BRANCO  </t>
  </si>
  <si>
    <t>002.10062ABR</t>
  </si>
  <si>
    <t xml:space="preserve">ÂNGULO INTERIOR PARA CALHA 40x16 BRANCO  </t>
  </si>
  <si>
    <t>001.GH30117020325</t>
  </si>
  <si>
    <t xml:space="preserve">WL-PA6-S(350N) TUBO FLEX. POLIAMIDA (NW23) PRETO  </t>
  </si>
  <si>
    <t>001.GH31417320325</t>
  </si>
  <si>
    <t xml:space="preserve">WLH CLIP DE SUPORTE POLIAMIDA (NW23) PRETO  </t>
  </si>
  <si>
    <t>001.GH31427320325</t>
  </si>
  <si>
    <t xml:space="preserve">WLHD TAMPA P/ CLIP DE SUPORTE (NW23) PRETO  </t>
  </si>
  <si>
    <t>001.422477</t>
  </si>
  <si>
    <t xml:space="preserve">BUCHA NYLON 4 SEG M8  </t>
  </si>
  <si>
    <t>001.623928</t>
  </si>
  <si>
    <t xml:space="preserve">PARAFUSO ZINCADO CAB. EMBEBER 4X40mm  </t>
  </si>
  <si>
    <t>Indusmelec_Factura_no_7231.PDF</t>
  </si>
  <si>
    <t xml:space="preserve">CALHA REGIBAND 35 /100 E.Z. </t>
  </si>
  <si>
    <t>020.67010144</t>
  </si>
  <si>
    <t xml:space="preserve">SUSPENSÃO CENTRAL EZ M6  </t>
  </si>
  <si>
    <t>Indusmelec_Factura_no_7357.PDF</t>
  </si>
  <si>
    <t xml:space="preserve">Encomenda de Cliente nº Guilherme de 21.05.2026
ARMARIO C/PORTA CEGA 500x400x175mm-CINZA
01e-6a  </t>
  </si>
  <si>
    <t>Indusmelec_Factura_no_8642.PDF</t>
  </si>
  <si>
    <t>020.DIPTPDC32C/GVD</t>
  </si>
  <si>
    <t xml:space="preserve">32 TUBO PAREDE DUPLA CORRUGADO C/GUIA VD  </t>
  </si>
  <si>
    <t>Indusmelec_Factura_no_9228.PDF</t>
  </si>
  <si>
    <t>Indusmelec_Factura_no_9229.PDF</t>
  </si>
  <si>
    <t xml:space="preserve">Encomenda de Cliente nº Guilherme Mariano de 08.05.2026
SUP OMEGA UNIV. S-PLUS 100 G.S.  </t>
  </si>
  <si>
    <t>Indusmelec_Factura_no_9230.PDF</t>
  </si>
  <si>
    <t>FacturaGuia nº 3738.PDF.pdf</t>
  </si>
  <si>
    <t>001.TUBOPA6</t>
  </si>
  <si>
    <t xml:space="preserve">Guia Transp. s/ Prç no. 3225 de 15.07.2024
Encomenda de Cliente nº Duarte de 09.07.2024
Orçamento nº 11624 de 08.07.2024
Tubo flexivel PA6 ABERTO - diametro int.48mm </t>
  </si>
  <si>
    <t>FacturaGuia nº 3739.PDF.pdf</t>
  </si>
  <si>
    <t>017.678002115W</t>
  </si>
  <si>
    <t xml:space="preserve">CABO LiYCY-DIN 2x1,5 mm2 CZ Eca </t>
  </si>
  <si>
    <t xml:space="preserve">TAMPA CALHA 150 </t>
  </si>
  <si>
    <t>FacturaGuia nº 3970.PDF</t>
  </si>
  <si>
    <t>017.31012017</t>
  </si>
  <si>
    <t xml:space="preserve">CABO UTP CAT 6 LSZH (cx c/ 305mts) </t>
  </si>
  <si>
    <t xml:space="preserve">ARMARIO C/PORTA CEGA 500x400x175mm-CINZA </t>
  </si>
  <si>
    <t xml:space="preserve">Corta-circuitos 3P+N 32A 400V L38 4M </t>
  </si>
  <si>
    <t xml:space="preserve">Fusível 10x38 gG 2A 500V </t>
  </si>
  <si>
    <t>FacturaGuia nº 3971.PDF</t>
  </si>
  <si>
    <t>086.VE118F</t>
  </si>
  <si>
    <t xml:space="preserve">Guia Transp. c/ Prç nº 290 de 14.06.2024
Encomenda de Cliente nº Rafael Sousa de 07.06.2024
vector estanque IP55 1 fila 18 M </t>
  </si>
  <si>
    <t>FacturaGuia nº 5588.PDF</t>
  </si>
  <si>
    <t>58.1SDA066325R1</t>
  </si>
  <si>
    <t xml:space="preserve">Bobina de abertura. com cabo. 220-240 V ca / 220-250 V cc. </t>
  </si>
  <si>
    <t>FacturaGuia_no_1525.PDF</t>
  </si>
  <si>
    <t>017.SZ1K4G1,5</t>
  </si>
  <si>
    <t xml:space="preserve">Guia Transp. s/ Prç no. 1527 de 10.03.2026
Encomenda de Cliente nº Rafael de 06.03.2026
Orçamento no. 3241 de 04.03.2026
CABO SZ1-K 4G1,5 </t>
  </si>
  <si>
    <t>FacturaGuia_no_1526.PDF</t>
  </si>
  <si>
    <t>022.2580230000</t>
  </si>
  <si>
    <t xml:space="preserve">F.A.INSTAPOWER CP 48W 24V 2A </t>
  </si>
  <si>
    <t>086.BA7A 40040 CZ</t>
  </si>
  <si>
    <t xml:space="preserve">Calha cablagem BA7A 40x40mm </t>
  </si>
  <si>
    <t xml:space="preserve">0383400000 -- CALHA TS35X7.5 S/PERF.(METRO) </t>
  </si>
  <si>
    <t>022.9004420000</t>
  </si>
  <si>
    <t xml:space="preserve">TERM.TWIN AISL.H 1.5/16D NEGRO (100 unid.) </t>
  </si>
  <si>
    <t>FacturaGuia_no_1527.PDF</t>
  </si>
  <si>
    <t>58.2CSS245101R0164</t>
  </si>
  <si>
    <t xml:space="preserve">SN201L-C16 Disj 16A curv C 45kA/6kA P+N </t>
  </si>
  <si>
    <t>FacturaGuia_no_1528.PDF</t>
  </si>
  <si>
    <t>017.RVK52,5</t>
  </si>
  <si>
    <t xml:space="preserve">CABO RVK 5G2,5 PT </t>
  </si>
  <si>
    <t>017.RZ1K3G2,5VD</t>
  </si>
  <si>
    <t xml:space="preserve">RZ1-K 3G2,5 VD XG-06/1KV </t>
  </si>
  <si>
    <t>FacturaGuia_no_1574.PDF</t>
  </si>
  <si>
    <t>008.038024</t>
  </si>
  <si>
    <t xml:space="preserve">BOT.SAL.VIDRO QUEBRAVEL C/SIN. </t>
  </si>
  <si>
    <t>019.GW42216</t>
  </si>
  <si>
    <t xml:space="preserve">MARTELO QUEBRA VIDROS </t>
  </si>
  <si>
    <t>008.038091</t>
  </si>
  <si>
    <t xml:space="preserve">MARTELO P/BOTON. VIDRO </t>
  </si>
  <si>
    <t>FacturaGuia_no_6881.PDF</t>
  </si>
  <si>
    <t>001.TUBOAF23PT</t>
  </si>
  <si>
    <t xml:space="preserve">TUBO ANELADO FLEXIVEL ABERTO 23MM PT </t>
  </si>
  <si>
    <t>FacturaGuia_no_6917.PDF</t>
  </si>
  <si>
    <t xml:space="preserve">CALHA REGIBAND 35/100 E.Z. </t>
  </si>
  <si>
    <t xml:space="preserve">CALHA REJIBAND 60X100 EZ </t>
  </si>
  <si>
    <t xml:space="preserve">TAMPA 100 G.S. </t>
  </si>
  <si>
    <t>UNIÃO REFORÇADA E.Z.</t>
  </si>
  <si>
    <t xml:space="preserve">SUSPENSÃO CENTRAL 9 E.Z. </t>
  </si>
  <si>
    <t xml:space="preserve">SUP OMEGA UNIV. S-PLUS 100 G.S. </t>
  </si>
  <si>
    <t xml:space="preserve">SUP OMEGA UNIV. S-PLUS 200 G.S. </t>
  </si>
  <si>
    <t xml:space="preserve">SUPORTE OMEGA S-PLUS 300 GS </t>
  </si>
  <si>
    <t xml:space="preserve">BORNE DE TERRA </t>
  </si>
  <si>
    <t>042.2022766</t>
  </si>
  <si>
    <t xml:space="preserve">BUCINS M20X1.5 C/PORCA </t>
  </si>
  <si>
    <t>042.2022768</t>
  </si>
  <si>
    <t xml:space="preserve">BUCINS M25X1.5 C/PORCA </t>
  </si>
  <si>
    <t>042.2022770</t>
  </si>
  <si>
    <t xml:space="preserve">BUCIM V-TEC M32X1.5 CZCL C/PORCA </t>
  </si>
  <si>
    <t>Indusmelec Factura nº 1926.pdf</t>
  </si>
  <si>
    <t>050.L12010</t>
  </si>
  <si>
    <t xml:space="preserve">Guia Transp. s/ Prç no. 1917 de 23.03.2026
Orçamento no. 4400 de 23.03.2026
(50TK500059) L120/10 TERMINAL 120-10
02E- </t>
  </si>
  <si>
    <t>Indusmelec FacturaGuia nº 1244.pdf</t>
  </si>
  <si>
    <t>050.50TF400010</t>
  </si>
  <si>
    <t xml:space="preserve">Guia Transp. s/ Prç no. 1206 de 26.02.2025
Encomenda de Cliente nº Rafael de 21.02.2025
(50TF400010) MC2E SUP TER PUNÇONAGEM </t>
  </si>
  <si>
    <t>Indusmelec FacturaGuia nº 1497.pdf</t>
  </si>
  <si>
    <t>020.21061160</t>
  </si>
  <si>
    <t xml:space="preserve">21061160 M16 BUCIM PVC S/PORCA </t>
  </si>
  <si>
    <t>001.499.2902A</t>
  </si>
  <si>
    <t xml:space="preserve">TUBO POLIAMIDA PA6-PG 29 NEGRO (ABIERTO) </t>
  </si>
  <si>
    <t>Indusmelec FacturaGuia nº 1535.pdf</t>
  </si>
  <si>
    <t xml:space="preserve">Guia Transp. s/ Prç no. 1498 de 11.03.2025
Encomenda de Cliente nº Rafael de 05.03.2025
SUP OMEGA UNIV. S-PLUS 200 G.S. </t>
  </si>
  <si>
    <t>Indusmelec FacturaGuia nº 1582.pdf</t>
  </si>
  <si>
    <t>076.XBPT138.1AZ</t>
  </si>
  <si>
    <t xml:space="preserve">XBPT - 1 MANGA TERMOR. 38,1 - 19,1 AZUL </t>
  </si>
  <si>
    <t>076.XBPT138.1CA</t>
  </si>
  <si>
    <t xml:space="preserve">XBPT - 1 MANGA TERMOR. 38,1 - 19,1 CASTANHA </t>
  </si>
  <si>
    <t>076.XBPT138.1CZ</t>
  </si>
  <si>
    <t xml:space="preserve">XBPT - 1 MANGA TERMOR. 38,1 - 19,1 CINZENTA </t>
  </si>
  <si>
    <t>076.XBPT138.1PT</t>
  </si>
  <si>
    <t xml:space="preserve">XBPT - 1 MANGA TERMOR. 38,1 - 19,1 PRETA </t>
  </si>
  <si>
    <t>076.XBPT138.1VDAM</t>
  </si>
  <si>
    <t xml:space="preserve">XBPT - 1 MANGA TERMOR. 38,1 - 19,1 VERDE/AMARELA </t>
  </si>
  <si>
    <t>076.XBPT320CZ1</t>
  </si>
  <si>
    <t xml:space="preserve">Termorectrátil XBPT1 32,0-16,0 Cinzento (1 Mt.) 39173200 </t>
  </si>
  <si>
    <t>076.XBPT320AZ1</t>
  </si>
  <si>
    <t xml:space="preserve">Termorectrátil XBPT1 32,0-16,0 Azul (1 Mt.) 39173200 </t>
  </si>
  <si>
    <t>076.XBPT320CT1</t>
  </si>
  <si>
    <t xml:space="preserve">Termorectrátil XBPT1 32,0-16,0 Castanho (1 Mt.) 39173200 </t>
  </si>
  <si>
    <t>076.XBPT320PT1</t>
  </si>
  <si>
    <t xml:space="preserve">Termorectrátil XBPT1 32,0-16,0 Preto (1 Mt.) 39173200 </t>
  </si>
  <si>
    <t>076.XBPT320AV1</t>
  </si>
  <si>
    <t xml:space="preserve">Termorectrátil XBPT1 32,0-16,0 Amar./Verde (1 Mt.) </t>
  </si>
  <si>
    <t>076.XBPT254CZ1</t>
  </si>
  <si>
    <t xml:space="preserve">Termorectrátil XBPT1 25,0-12,5 Cinzento (1Mt) 39173200 </t>
  </si>
  <si>
    <t>076.XBPT254AZ1</t>
  </si>
  <si>
    <t xml:space="preserve">Termorectrátil XBPT1 25,0-12,5 Azul (1Mt) 39173200 </t>
  </si>
  <si>
    <t>076.XBPT254CT1</t>
  </si>
  <si>
    <t xml:space="preserve">Termorectrátil XBPT1 25,0-12,5 Castanho (1Mt) 39173200 </t>
  </si>
  <si>
    <t>Indusmelec FacturaGuia nº 1782.PDF</t>
  </si>
  <si>
    <t>020.21061120</t>
  </si>
  <si>
    <t xml:space="preserve">BUCIM M12 </t>
  </si>
  <si>
    <t>020.21061200</t>
  </si>
  <si>
    <t xml:space="preserve"> 21061200 M20 BUCIN PVC S/PORCA P/CABO</t>
  </si>
  <si>
    <t>020.21061250</t>
  </si>
  <si>
    <t>21061250 M25 BUCIM PVC S/PORCA</t>
  </si>
  <si>
    <t>020.21061320</t>
  </si>
  <si>
    <t xml:space="preserve"> 21061320 BUCIM M32</t>
  </si>
  <si>
    <t>020.21061400</t>
  </si>
  <si>
    <t xml:space="preserve"> BUCIM M40 PVC</t>
  </si>
  <si>
    <t>Indusmelec FacturaGuia nº 2132.PDF</t>
  </si>
  <si>
    <t xml:space="preserve"> CALHA REGIBAND 35/100 E.Z.</t>
  </si>
  <si>
    <t>CALHA RAPID 200X60 EZ</t>
  </si>
  <si>
    <t xml:space="preserve"> SUP OMEGA UNIV. S-PLUS 200 G.S.</t>
  </si>
  <si>
    <t xml:space="preserve"> TAMPA 100 G.S.</t>
  </si>
  <si>
    <t xml:space="preserve"> TAMPA METALICA 200</t>
  </si>
  <si>
    <t>020.FIX582560</t>
  </si>
  <si>
    <t xml:space="preserve"> PERFIL METALICO PERFURADO 27X18X1.25mm</t>
  </si>
  <si>
    <t>020.FIX610669</t>
  </si>
  <si>
    <t xml:space="preserve"> VARÃO ROSCADO ZINCADO 1000mm X M8</t>
  </si>
  <si>
    <t>020.FIX765079</t>
  </si>
  <si>
    <t xml:space="preserve"> PORCA SEXTAVADA RECARTILHADA M8</t>
  </si>
  <si>
    <t xml:space="preserve"> SUSPENSÃO CENTRAL 9 E.Z.</t>
  </si>
  <si>
    <t>Indusmelec FacturaGuia nº 2439 - stock.PDF</t>
  </si>
  <si>
    <t>Indusmelec FacturaGuia nº 2597.PDF</t>
  </si>
  <si>
    <t>Indusmelec FacturaGuia nº 2811.PDF</t>
  </si>
  <si>
    <t>Indusmelec FacturaGuia nº 2849.PDF</t>
  </si>
  <si>
    <t>020.62021154</t>
  </si>
  <si>
    <t xml:space="preserve">SUP OMEGA UNIV. S-PLUS 150 G.S. </t>
  </si>
  <si>
    <t>017.FV6VALHPRYS</t>
  </si>
  <si>
    <t xml:space="preserve">CABO FV 6 LIVRE HALOGENEO VD/AM </t>
  </si>
  <si>
    <t>Indusmelec FacturaGuia nº 3254.pdf</t>
  </si>
  <si>
    <t>Indusmelec FacturaGuia nº 3287.pdf</t>
  </si>
  <si>
    <t>017.XZ1ALSEC1X35</t>
  </si>
  <si>
    <t xml:space="preserve">XZ1-AL (S) ECA 1X35 PONTA UNICA STOCK FABRICA </t>
  </si>
  <si>
    <t xml:space="preserve">PEMSABAND LX CLICK 35X150 GS </t>
  </si>
  <si>
    <t>Indusmelec FacturaGuia nº 3385.PDF</t>
  </si>
  <si>
    <t>020.40027120</t>
  </si>
  <si>
    <t xml:space="preserve">PORCA M12 </t>
  </si>
  <si>
    <t>020.40027160</t>
  </si>
  <si>
    <t xml:space="preserve">PORCA TCP PVC P/ BUCIN M16 </t>
  </si>
  <si>
    <t>020.40027200</t>
  </si>
  <si>
    <t xml:space="preserve">40027200 M20 TCP PORCA PVC P/BUCIN </t>
  </si>
  <si>
    <t>020.40027250</t>
  </si>
  <si>
    <t xml:space="preserve">PORCA TCP PVC P/ BUCIN M25 </t>
  </si>
  <si>
    <t>020.40027320</t>
  </si>
  <si>
    <t xml:space="preserve">PORCA TCP PVC P/ BUCIN M32 </t>
  </si>
  <si>
    <t>020.40027400</t>
  </si>
  <si>
    <t xml:space="preserve">M40 TCP PORCA PVC </t>
  </si>
  <si>
    <t>Indusmelec FacturaGuia nº 3390.pdf</t>
  </si>
  <si>
    <t xml:space="preserve">Guia Transp. s/ Prç nº 3120 de 09.07.2024
ARMARIO C/PORTA CEGA 500x400x175mm-CINZA </t>
  </si>
  <si>
    <t>Indusmelec FacturaGuia nº 3391.pdf</t>
  </si>
  <si>
    <t xml:space="preserve">Guia Transp. s/ Prç nº 3121 de 09.07.2024
ARMARIO C/PORTA CEGA 500x400x175mm-CINZA </t>
  </si>
  <si>
    <t>Indusmelec FacturaGuia nº 4065.PDF</t>
  </si>
  <si>
    <t>Indusmelec FacturaGuia nº 4387.PDF.pdf</t>
  </si>
  <si>
    <t xml:space="preserve">Guia Transp. s/ Prç no. 4400 de 15.07.2025
Encomenda de Cliente nº Rafael de 27.06.2025
FXG FRS 4G1,5 LR MT </t>
  </si>
  <si>
    <t>Indusmelec FacturaGuia nº 4388.PDF.pdf</t>
  </si>
  <si>
    <t>042.2007061</t>
  </si>
  <si>
    <t xml:space="preserve">CAIXA T60 </t>
  </si>
  <si>
    <t>001.221-415</t>
  </si>
  <si>
    <t xml:space="preserve">LIGADOR WAGO 5x2.5 </t>
  </si>
  <si>
    <t>Indusmelec FacturaGuia nº 4389.PDF.pdf</t>
  </si>
  <si>
    <t>004.NSYTRV352PE</t>
  </si>
  <si>
    <t xml:space="preserve">BORNE TERR 35MM2 VERD/AM 1P 1X1 </t>
  </si>
  <si>
    <t>Indusmelec FacturaGuia nº 4653.PDF</t>
  </si>
  <si>
    <t>020.ABE150X3.6-PT</t>
  </si>
  <si>
    <t xml:space="preserve">Guia Transp. s/ Prç no. 4524 de 29.06.2026
Encomenda de Cliente nº granisul de 24.06.2026
Orçamento no. 8993 de 24.06.2026
150X3.6-PT ABRAÇADEIRA SERRILHA
^1 a 2 dias uteis </t>
  </si>
  <si>
    <t>Indusmelec FacturaGuia nº 5405.PDF</t>
  </si>
  <si>
    <t>050.50TK110024</t>
  </si>
  <si>
    <t xml:space="preserve">Campanha 2024 - sob consulta 50TK110024 HK120USET20 </t>
  </si>
  <si>
    <t>050.50TF400020</t>
  </si>
  <si>
    <t xml:space="preserve">50TF400020 SET PUNÇÃO/SUPORTE 0E a 4E +MC0E a </t>
  </si>
  <si>
    <t>050.50TF420008</t>
  </si>
  <si>
    <t xml:space="preserve">50TF420008 HE13260 MATRIZ 2x9mm CAUBT 300mm2 </t>
  </si>
  <si>
    <t>020.GERGF0660C</t>
  </si>
  <si>
    <t xml:space="preserve">GUIA FIBRA VIDRO 6.0MM / 60MTS C/CARRO </t>
  </si>
  <si>
    <t>Indusmelec FacturaGuia nº 5911.PDF</t>
  </si>
  <si>
    <t>001.GERLLGT2</t>
  </si>
  <si>
    <t xml:space="preserve">Guia Transp. s/ Prç no. 5907 de 26.09.2025
Encomenda de Cliente nº KYOTEC de 09.09.2025
GERLLGT2 - LIGADOR LINGUA DE GATO </t>
  </si>
  <si>
    <t>Indusmelec FacturaGuia nº 6590.PDF</t>
  </si>
  <si>
    <t>Indusmelec FacturaGuia nº 661.pdf</t>
  </si>
  <si>
    <t>022.9019430000</t>
  </si>
  <si>
    <t xml:space="preserve">TERM. AISL. H 1.5/14 D (100 unid.) </t>
  </si>
  <si>
    <t>022.9021240000</t>
  </si>
  <si>
    <t xml:space="preserve">TERM. AISL. H2.5/15T GR SV (100 unid.) </t>
  </si>
  <si>
    <t>022.9018580000</t>
  </si>
  <si>
    <t xml:space="preserve">H2.5/19T ZH GR SV (100 unid.) </t>
  </si>
  <si>
    <t>Indusmelec FacturaGuia nº 697.PDF</t>
  </si>
  <si>
    <t>050.K507</t>
  </si>
  <si>
    <t xml:space="preserve">ALICATE MULTI CRAVAÇOES 0.5 ATE 10 MM </t>
  </si>
  <si>
    <t>050.ZAE5072</t>
  </si>
  <si>
    <t xml:space="preserve">ZAE5072 MATRIZ PONTEIRAS 2x6-2x16mm2 KLAUKE </t>
  </si>
  <si>
    <t>050.50TK260068</t>
  </si>
  <si>
    <t xml:space="preserve">AE5073 MAT CRAV PONT ISOLADAS 3 </t>
  </si>
  <si>
    <t>Indusmelec FacturaRecibo nº 1371.PDF</t>
  </si>
  <si>
    <t>001.HTPVISOTEST</t>
  </si>
  <si>
    <t xml:space="preserve">Encomenda de Cliente nº Tommaso de 03.07.2025
Orçamento no. 10465 de 03.07.2025
INSTR. HT PV-ISOTEST PARA TESTE DE SEG. ELECT. E </t>
  </si>
  <si>
    <t>Indusmelec FacturaRecibo nº 1379.PDF</t>
  </si>
  <si>
    <t>020.AW49660</t>
  </si>
  <si>
    <t xml:space="preserve">MALA C/ 2 ADAPT. + 6 BROCAS CRANEANAS 22 a 73MM </t>
  </si>
  <si>
    <t>020.50090498</t>
  </si>
  <si>
    <t xml:space="preserve">ALICATE CORTE LK-320A ATÉ 325MM (Ø32) TESOURA </t>
  </si>
  <si>
    <t>Indusmelec FacturaRecibo nº 1383.PDF</t>
  </si>
  <si>
    <t>023.CM6146</t>
  </si>
  <si>
    <t xml:space="preserve">Orçamento no. 10554 de 04.07.2025
PINÇA AMP. DIGITAL 600A AC/DC </t>
  </si>
  <si>
    <t>Indusmelec FT 2025B12327 - Verde Milenar.pdf</t>
  </si>
  <si>
    <t>001.TC110VM</t>
  </si>
  <si>
    <t xml:space="preserve">TUBO CORRUGADO C/ GUIA 110VM </t>
  </si>
  <si>
    <t>017.RZ1K1X35LHVD</t>
  </si>
  <si>
    <t xml:space="preserve">CABO RZ1-K 1X35 LH VD </t>
  </si>
  <si>
    <t>Indusmelec FT 2025B12365 - Verde Milenar.pdf</t>
  </si>
  <si>
    <t xml:space="preserve">UNIÃO REFORÇADA </t>
  </si>
  <si>
    <t xml:space="preserve">200X60 EZ </t>
  </si>
  <si>
    <t xml:space="preserve">TAMPA METALICA 200 </t>
  </si>
  <si>
    <t>Indusmelec_FacturaGuia_no_1757.PDF</t>
  </si>
  <si>
    <t>Indusmelec_FacturaGuia_no_2940.PDF</t>
  </si>
  <si>
    <t>050.L2510</t>
  </si>
  <si>
    <t xml:space="preserve">(50TK500034) L2510 TERMINAL 25-10 </t>
  </si>
  <si>
    <t>050.L3510</t>
  </si>
  <si>
    <t xml:space="preserve">(50TK500038) L3510 TERMINAL 35-10 </t>
  </si>
  <si>
    <t>Indusmelec_FacturaGuia_no_3108.PDF</t>
  </si>
  <si>
    <t>050.10ST410002</t>
  </si>
  <si>
    <t xml:space="preserve">(10ST410002) 2702 - 19mm x 20m AZUL VDE SCAPA </t>
  </si>
  <si>
    <t>050.10ST410004</t>
  </si>
  <si>
    <t xml:space="preserve">(10ST410004) 2702 - 19mm x 20m CASTANHA VDE SCAPA </t>
  </si>
  <si>
    <t>050.10ST410005</t>
  </si>
  <si>
    <t xml:space="preserve">(10ST410005) 2702 - 19mm x 20m CINZA VDE SCAPA </t>
  </si>
  <si>
    <t>050.10ST410006</t>
  </si>
  <si>
    <t xml:space="preserve">(10ST410006) 2702 - 19mm x 20m PRETA VDE SCAPA </t>
  </si>
  <si>
    <t>050.10ST410001</t>
  </si>
  <si>
    <t xml:space="preserve">(10ST410001) 2702 - 19mm x 20m PVC AMARELA VDE </t>
  </si>
  <si>
    <t>Indusmelec_FacturaGuia_no_3154.PDF</t>
  </si>
  <si>
    <t>020.DIPTPDC20C/GM</t>
  </si>
  <si>
    <t xml:space="preserve">20 TUBO PAREDE DUPLA CORRUGADO C/GUIA VD </t>
  </si>
  <si>
    <t>020.DIPTPDC32C/GM</t>
  </si>
  <si>
    <t xml:space="preserve">32 TUBO PAREDE DUPLA CORRUGADO C/GUIA VM </t>
  </si>
  <si>
    <t>020.DIPTPDC50C/GM</t>
  </si>
  <si>
    <t xml:space="preserve">50 TUBO PAREDE DUPLA CORRUGADO C/GUIA VM </t>
  </si>
  <si>
    <t>020.DIPTPDC110C/GV</t>
  </si>
  <si>
    <t xml:space="preserve">110 TUBO PAREDE DUPLA CORRUGADO C/GUIA VM </t>
  </si>
  <si>
    <t>Indusmelec_FacturaGuia_no_3315.PDF</t>
  </si>
  <si>
    <t xml:space="preserve">CONJUNTO BROCAS CRANEANAS (19 A 76mm) </t>
  </si>
  <si>
    <t>020.ACAM45.030</t>
  </si>
  <si>
    <t xml:space="preserve">GUIA DE AÇO REVEST. POLYESTER ESPIRAL 4.2MM / </t>
  </si>
  <si>
    <t>011.KEL98525</t>
  </si>
  <si>
    <t xml:space="preserve">LANTERNA LED PORTATIL 360º C/ BASE MAGNET + </t>
  </si>
  <si>
    <t>Indusmelec_FacturaGuia_no_3406.PDF</t>
  </si>
  <si>
    <t>120.RB1152</t>
  </si>
  <si>
    <t xml:space="preserve">Rebel RB-1152 - Chave torque dinamométrica 1/2 40..2 </t>
  </si>
  <si>
    <t>120.UNITUT208B</t>
  </si>
  <si>
    <t xml:space="preserve">Uni-T UT208B - Pinça amperimétrica (1000Aac/dc </t>
  </si>
  <si>
    <t>001.KEL96307</t>
  </si>
  <si>
    <t xml:space="preserve">H-LINE ENROLADOR C/PROT. 3G1,5 50MTS. 4XSCHUKO </t>
  </si>
  <si>
    <t>Indusmelec_FacturaGuia_no_3423.PDF</t>
  </si>
  <si>
    <t>001.TC32VM</t>
  </si>
  <si>
    <t xml:space="preserve">TUBO CORRUGADO C/ GUIA 32VM </t>
  </si>
  <si>
    <t>001.TC50VM</t>
  </si>
  <si>
    <t xml:space="preserve">TUBO CORRUGADO C/ GUIA 50VM </t>
  </si>
  <si>
    <t>Indusmelec_FacturaGuia_no_4466.pdf</t>
  </si>
  <si>
    <t xml:space="preserve">Guia Transp. s/ Prç nº 4154 de 10.09.2024
Encomenda de Cliente nº Rafael de 29.08.2024
Orçamento nº 14178 de 29.08.2024
TAMPA 100 G.S. </t>
  </si>
  <si>
    <t>Indusmelec_FacturaGuia_no_4729.PDF</t>
  </si>
  <si>
    <t>Indusmelec_FacturaGuia_no_5270.PDF</t>
  </si>
  <si>
    <t>001.907602055</t>
  </si>
  <si>
    <t xml:space="preserve">TUBO CORRUGADO 160 MM VERMELHO </t>
  </si>
  <si>
    <t>001.TC75VM</t>
  </si>
  <si>
    <t xml:space="preserve">TUBO CORRUGADO C/ GUIA 75VM </t>
  </si>
  <si>
    <t>017.50101202</t>
  </si>
  <si>
    <t xml:space="preserve">CABO LiYCY 2x1.5 </t>
  </si>
  <si>
    <t>Indusmelec_FacturaGuia_no_5787.PDF</t>
  </si>
  <si>
    <t>050.L508</t>
  </si>
  <si>
    <t xml:space="preserve">(50TK500042) L508TERMINAL 50-8 </t>
  </si>
  <si>
    <t>022.9019340000</t>
  </si>
  <si>
    <t xml:space="preserve">TERM. AISL. H 50/36 D (100 unid.) </t>
  </si>
  <si>
    <t>Indusmelec_FacturaGuia_no_5788.PDF</t>
  </si>
  <si>
    <t>001.E2</t>
  </si>
  <si>
    <t xml:space="preserve">ELECTRODO TERRA C/ 2M </t>
  </si>
  <si>
    <t>001.IEABR</t>
  </si>
  <si>
    <t xml:space="preserve">ABR ABRAÇADEIRA C/ PARAFUSO P/ ELECTRODO </t>
  </si>
  <si>
    <t>001.06CMT</t>
  </si>
  <si>
    <t xml:space="preserve">06CMT CX DE MEDIÇÃO DE TERRA </t>
  </si>
  <si>
    <t>017.LXV1X50PT</t>
  </si>
  <si>
    <t xml:space="preserve">CABO LXV 1x50 PT </t>
  </si>
  <si>
    <t>Indusmelec_FacturaGuia_no_6095.PDF</t>
  </si>
  <si>
    <t>001.E100105</t>
  </si>
  <si>
    <t xml:space="preserve">EXPERT CHAVE DIN. </t>
  </si>
  <si>
    <t>001.E100108</t>
  </si>
  <si>
    <t>Indusmelec_FacturaGuia_no_6096.PDF</t>
  </si>
  <si>
    <t>020.60212100</t>
  </si>
  <si>
    <t xml:space="preserve">CALHA REJIBAND E.Z. 60x100 </t>
  </si>
  <si>
    <t>Indusmelec_FacturaGuia_no_6142.PDF</t>
  </si>
  <si>
    <t>017.UTPCAT6E</t>
  </si>
  <si>
    <t xml:space="preserve">Guia Transp. s/ Prç no. 6131 de 09.10.2025
Orçamento no. 15434 de 08.10.2025
CABO UTP CAT 6 - E
^em stock </t>
  </si>
  <si>
    <t>Indusmelec_FacturaGuia_no_6167.PDF</t>
  </si>
  <si>
    <t xml:space="preserve">Guia Transp. s/ Prç nº 5848 de 05.12.2024
Encomenda de Cliente nº Rafael de 02.12.2024
TAMPA 100 G.S. </t>
  </si>
  <si>
    <t>Indusmelec_FacturaGuia_no_6283.PDF</t>
  </si>
  <si>
    <t>001.TG43 T-10</t>
  </si>
  <si>
    <t xml:space="preserve">TG43 T-10 SIB-LUVA ISOLANTE CL-00 500-2500V </t>
  </si>
  <si>
    <t>021.26621TT05</t>
  </si>
  <si>
    <t xml:space="preserve">SIB-TAPETE ISOL 0.6X1M BTIR0310 </t>
  </si>
  <si>
    <t>021.26621E-SHARK</t>
  </si>
  <si>
    <t xml:space="preserve">SIB-CAPACETE C/VISEIRA SIBILLE/ FAMECA </t>
  </si>
  <si>
    <t>Indusmelec_FacturaGuia_no_6681.PDF</t>
  </si>
  <si>
    <t xml:space="preserve">Guia Transp. s/ Prç no. 6656 de 31.10.2025
Encomenda de Cliente nº Rafael de 23.10.2025
TUBO ANELADO FLEXIVEL ABERTO 23MM PT </t>
  </si>
  <si>
    <t>Indusmelec_FacturaGuia_no_6837.PDF</t>
  </si>
  <si>
    <t>001.TUBOAF36PT</t>
  </si>
  <si>
    <t xml:space="preserve">TUBO ANELADO FLEXIVEL ABERTO 36MM PT </t>
  </si>
  <si>
    <t>Indusmelec_FacturaGuia_no_7521.PDF</t>
  </si>
  <si>
    <t>Indusmlec_FacturaGuia_no_7684.PDF</t>
  </si>
  <si>
    <t>076.XBPT190CZ1</t>
  </si>
  <si>
    <t xml:space="preserve">Termorectrátil XBPT1 20,0-10,0 Cinzento (1Mt) 39173200 </t>
  </si>
  <si>
    <t>076.XBPT127PT1</t>
  </si>
  <si>
    <t xml:space="preserve">Termorectrátil XBPT1 13,0-6,5 Preto (1Mt) 39173200 </t>
  </si>
  <si>
    <t>Data</t>
  </si>
  <si>
    <t>Indusmelec  Factura nº 1874.PDF.pdf</t>
  </si>
  <si>
    <t>Indusmelec Factura nº 11535.PDF</t>
  </si>
  <si>
    <t>Indusmelec Factura nº 12586.pdf</t>
  </si>
  <si>
    <t>Indusmelec Factura nº 12587.pdf</t>
  </si>
  <si>
    <t>Indusmelec Factura nº 12896.PDF</t>
  </si>
  <si>
    <t>Indusmelec Factura nº 13272.PDF</t>
  </si>
  <si>
    <t>Indusmelec Factura nº 20360.PDF</t>
  </si>
  <si>
    <t>Indusmelec Factura nº 2678.PDF.pdf</t>
  </si>
  <si>
    <t>Indusmelec Factura nº 2743.PDF.pdf</t>
  </si>
  <si>
    <t>Indusmelec Factura nº 8164.PDF</t>
  </si>
  <si>
    <t>Indusmelec Factura nº 8164.PDF.pdf</t>
  </si>
  <si>
    <t>Indusmelec Factura nº 8324.PDF</t>
  </si>
  <si>
    <t>Indusmelec Factura nº 8324.PDF.pdf</t>
  </si>
  <si>
    <t>Indusmelec Factura nº 8529.PDF</t>
  </si>
  <si>
    <t>Indusmelec Factura nº 9275.PDF</t>
  </si>
  <si>
    <t>Indusmelec Factura nº 9434.PDF</t>
  </si>
  <si>
    <t>Indusmelec Factura nº 9856.PDF</t>
  </si>
  <si>
    <t>Prç Uni c/ desconto</t>
  </si>
  <si>
    <t xml:space="preserve"> CALHA REGIBAND 35/100 </t>
  </si>
  <si>
    <t xml:space="preserve"> SUSPENSÃO CENTRAL 9 </t>
  </si>
  <si>
    <t>Indusmelec_FT_2025B12327__Verde_Milenar.pdf</t>
  </si>
  <si>
    <t xml:space="preserve">CABO RZ1-K 5G6 VERDE
Entregue na Guia nº3132 da Solcoraction </t>
  </si>
  <si>
    <t>Factura nº 13087.PDF</t>
  </si>
  <si>
    <t xml:space="preserve"> UNIÃO REFORÇADA</t>
  </si>
  <si>
    <t xml:space="preserve"> BORNE DE TERRA</t>
  </si>
  <si>
    <t xml:space="preserve"> PEMSABAND LX CLICK 35X150 GS</t>
  </si>
  <si>
    <t xml:space="preserve"> TAMPA CALHA 150</t>
  </si>
  <si>
    <t xml:space="preserve"> CALHA 110x50 BRANCA</t>
  </si>
  <si>
    <t>10096 RBR ÂNGULO EXTERIOR VAR P/CALHA 110X50</t>
  </si>
  <si>
    <t xml:space="preserve">Factura no. 10091 de 03.07.2025
Encomenda de Cliente nº Rafael de 27.06.2025
FXG FRS 4G1,5 LR MT </t>
  </si>
  <si>
    <t xml:space="preserve">SOUDAFLEX 40FC - COLA E VEDA BRANCO (300ML) </t>
  </si>
  <si>
    <t xml:space="preserve">SOUDAFOAM 1K - ESPUMA POLIURETANO (750ML) </t>
  </si>
  <si>
    <t xml:space="preserve">PRO/ ENROLADOR C/ PROT. 3G2.5 40MTS 4X SCHUKO </t>
  </si>
  <si>
    <t xml:space="preserve">Encomenda de Cliente nº Rafael de 27.06.2025
FXG FRS 4G1,5 LR MT </t>
  </si>
  <si>
    <t xml:space="preserve">(50TK500030) L168 TERMINAL 16-8 </t>
  </si>
  <si>
    <t xml:space="preserve">(50TK500037) L358 TERMINAL 35-8 </t>
  </si>
  <si>
    <t xml:space="preserve">TERM. AISL. H 35/30 D (100 unid.) </t>
  </si>
  <si>
    <t xml:space="preserve">TERM. AISL. H16.0/22T W (100 unid.) </t>
  </si>
  <si>
    <t xml:space="preserve">Guia Acompanhamento CL no. 97 de 04.02.2025
Encomenda de Cliente no. 1701 de 04.02.2025
Orçamento no. 1974 de 04.02.2025
SUP OMEGA UNIV. S-PLUS 200 G.S. </t>
  </si>
  <si>
    <t xml:space="preserve">(50TF510006) 50TF510006 TERMINAL BIMET 95 </t>
  </si>
  <si>
    <t xml:space="preserve">Guia Acompanhamento CL no. 280 de 03.04.2025
Encomenda de Cliente no. 4856 de 01.04.2025
Orçamento no. 5406 de 01.04.2025
BORNE DE TERRA
Prazo de entrega: 1 a 2 dias uteis </t>
  </si>
  <si>
    <t xml:space="preserve">TERMINAIS BIMETALICOS TBF 95 Ø12 </t>
  </si>
  <si>
    <t xml:space="preserve">ABS270X4.6-PT 270X4.6-PT ABRAÇADEIRA SERRILHA </t>
  </si>
  <si>
    <t xml:space="preserve">200X4.8-PT ABRAÇADEIRA SERRILHA </t>
  </si>
  <si>
    <t xml:space="preserve">50TF520005 CAUBT95 Term Cu/Al 95mm M10 </t>
  </si>
  <si>
    <t xml:space="preserve">82003333 FIXAÇÃO TAMPA </t>
  </si>
  <si>
    <t xml:space="preserve">CALHA REJIBAND 60X300 EZ </t>
  </si>
  <si>
    <t xml:space="preserve">SOLAR TOTEM </t>
  </si>
  <si>
    <t xml:space="preserve">73021300 TAMPA CALHA 300 G.S. </t>
  </si>
  <si>
    <t xml:space="preserve">PORTES </t>
  </si>
  <si>
    <t xml:space="preserve">SUPORTE PARDE OMEGA 400 </t>
  </si>
  <si>
    <t xml:space="preserve">Encomenda de Cliente nº Rafael - avenida de 17.06.2025
TAMPA 100 G.S. </t>
  </si>
  <si>
    <t>Indusmelec  FT 2025B12168.PDF</t>
  </si>
  <si>
    <t>Indusmelec - FacturaGuia nº 2432.PDF</t>
  </si>
  <si>
    <t>Indusmelec - FacturaGuia nº 2458.PDF</t>
  </si>
  <si>
    <t>Indusmelec acturaGuia nº 2555.PDF</t>
  </si>
  <si>
    <t>Indusmelec FacturaGuia nº 1082.PDF.pdf</t>
  </si>
  <si>
    <t>Indusmelec FacturaGuia nº 1237.PDF.pdf</t>
  </si>
  <si>
    <t>Indusmelec FacturaGuia nº 1309.PDF.pdf</t>
  </si>
  <si>
    <t>Indusmelec FacturaGuia nº 1394.PDF.pdf</t>
  </si>
  <si>
    <t>Indusmelec FacturaGuia nº 1402.PDF.pdf</t>
  </si>
  <si>
    <t>Indusmelec FacturaGuia nº 1403.PDF.pdf</t>
  </si>
  <si>
    <t>Indusmelec FacturaGuia nº 1461.PDF.pdf</t>
  </si>
  <si>
    <t>Indusmelec FacturaGuia nº 1462.PDF.pdf</t>
  </si>
  <si>
    <t>Indusmelec FacturaGuia nº 1495.PDF.pdf</t>
  </si>
  <si>
    <t>Indusmelec FacturaGuia nº 1496.PDF.pdf</t>
  </si>
  <si>
    <t>Indusmelec FacturaGuia nº 1654.PDF.pdf</t>
  </si>
  <si>
    <t>Indusmelec FacturaGuia nº 1723.PDF.pdf</t>
  </si>
  <si>
    <t>Indusmelec FacturaGuia nº 1724.PDF.pdf</t>
  </si>
  <si>
    <t>Indusmelec FacturaGuia nº 1736.PDF.pdf</t>
  </si>
  <si>
    <t>Indusmelec FacturaGuia nº 1810.PDF.pdf</t>
  </si>
  <si>
    <t>Indusmelec FacturaGuia nº 1867.PDF.pdf</t>
  </si>
  <si>
    <t>Indusmelec FacturaGuia nº 1879.PDF.pdf</t>
  </si>
  <si>
    <t>Indusmelec FacturaGuia nº 1916.PDF.pdf</t>
  </si>
  <si>
    <t>Indusmelec FacturaGuia nº 2015.PDF.pdf</t>
  </si>
  <si>
    <t>Indusmelec FacturaGuia nº 2052.PDF.pdf</t>
  </si>
  <si>
    <t>Indusmelec FacturaGuia nº 2121.PDF.pdf</t>
  </si>
  <si>
    <t>Indusmelec FacturaGuia nº 2122.PDF.pdf</t>
  </si>
  <si>
    <t>Indusmelec FacturaGuia nº 2192.PDF</t>
  </si>
  <si>
    <t>Indusmelec FacturaGuia nº 2220.PDF</t>
  </si>
  <si>
    <t>Indusmelec FacturaGuia nº 2254.PDF</t>
  </si>
  <si>
    <t>Indusmelec FacturaGuia nº 2531.PDF</t>
  </si>
  <si>
    <t>Indusmelec FacturaGuia nº 2587.PDF</t>
  </si>
  <si>
    <t>Indusmelec FacturaGuia nº 2588.PDF</t>
  </si>
  <si>
    <t>Indusmelec FacturaGuia nº 2629.PDF</t>
  </si>
  <si>
    <t>Indusmelec FacturaGuia nº 2646.PDF</t>
  </si>
  <si>
    <t>Indusmelec FacturaGuia nº 2783.PDF</t>
  </si>
  <si>
    <t>Indusmelec FacturaGuia nº 2804.PDF</t>
  </si>
  <si>
    <t>Indusmelec FacturaGuia nº 2854.PDF</t>
  </si>
  <si>
    <t>Indusmelec FacturaGuia nº 2855.PDF</t>
  </si>
  <si>
    <t>Indusmelec FacturaGuia nº 2863.PDF</t>
  </si>
  <si>
    <t>Indusmelec FacturaGuia nº 2890.PDF</t>
  </si>
  <si>
    <t>Indusmelec FacturaGuia nº 2932.PDF</t>
  </si>
  <si>
    <t>Indusmelec FacturaGuia nº 2933.PDF</t>
  </si>
  <si>
    <t>Indusmelec FacturaGuia nº 2968.PDF</t>
  </si>
  <si>
    <t>Indusmelec FacturaGuia nº 2969.PDF</t>
  </si>
  <si>
    <t>Indusmelec FacturaGuia nº 3032.PDF</t>
  </si>
  <si>
    <t>Indusmelec FacturaGuia nº 3340.PDF</t>
  </si>
  <si>
    <t>Indusmelec FacturaGuia nº 3418.PDF</t>
  </si>
  <si>
    <t>Indusmelec FacturaGuia nº 3467.PDF</t>
  </si>
  <si>
    <t>Indusmelec FacturaGuia nº 3594.PDF</t>
  </si>
  <si>
    <t>Indusmelec FacturaGuia nº 3618.PDF</t>
  </si>
  <si>
    <t>Indusmelec FacturaGuia nº 3779.PDF</t>
  </si>
  <si>
    <t>Indusmelec FacturaGuia nº 3849.PDF</t>
  </si>
  <si>
    <t>Indusmelec FacturaGuia nº 3850.PDF</t>
  </si>
  <si>
    <t>Indusmelec FacturaGuia nº 3886.PDF</t>
  </si>
  <si>
    <t>Indusmelec FacturaGuia nº 3887.PDF</t>
  </si>
  <si>
    <t>Indusmelec FacturaGuia nº 3958.PDF</t>
  </si>
  <si>
    <t>Indusmelec FacturaGuia nº 3983.PDF</t>
  </si>
  <si>
    <t>Indusmelec FacturaGuia nº 4144.PDF</t>
  </si>
  <si>
    <t>Indusmelec FacturaGuia nº 4292.PDF</t>
  </si>
  <si>
    <t>Indusmelec FacturaGuia nº 4324.PDF</t>
  </si>
  <si>
    <t>Indusmelec FacturaGuia nº 4325.PDF</t>
  </si>
  <si>
    <t>Indusmelec FacturaGuia nº 4382.PDF</t>
  </si>
  <si>
    <t>Indusmelec FacturaGuia nº 4383.PDF</t>
  </si>
  <si>
    <t>Indusmelec FacturaGuia nº 4384.PDF</t>
  </si>
  <si>
    <t>Indusmelec FacturaGuia nº 4503.PDF</t>
  </si>
  <si>
    <t>Indusmelec FacturaGuia nº 4504.PDF</t>
  </si>
  <si>
    <t>Indusmelec FacturaGuia nº 4573.PDF</t>
  </si>
  <si>
    <t>Indusmelec FacturaGuia nº 4585.PDF</t>
  </si>
  <si>
    <t>Indusmelec FacturaGuia nº 4609.PDF</t>
  </si>
  <si>
    <t>Indusmelec FacturaGuia nº 4610.PDF</t>
  </si>
  <si>
    <t>Indusmelec FacturaGuia nº 4744.PDF</t>
  </si>
  <si>
    <t>Indusmelec FacturaGuia nº 4776.PDF</t>
  </si>
  <si>
    <t>Indusmelec FacturaGuia nº 4816.pdf</t>
  </si>
  <si>
    <t>Indusmelec FacturaGuia nº 4958.pdf</t>
  </si>
  <si>
    <t>Indusmelec FacturaGuia nº 5088.pdf</t>
  </si>
  <si>
    <t>Indusmelec FacturaGuia nº 5133.PDF</t>
  </si>
  <si>
    <t>Indusmelec FacturaGuia nº 5160.PDF</t>
  </si>
  <si>
    <t>Indusmelec FacturaGuia nº 5187.PDF</t>
  </si>
  <si>
    <t>Indusmelec FacturaGuia nº 5213.PDF</t>
  </si>
  <si>
    <t>Indusmelec FacturaGuia nº 5214.PDF</t>
  </si>
  <si>
    <t>Indusmelec FacturaGuia nº 5240.PDF</t>
  </si>
  <si>
    <t>Indusmelec FacturaGuia nº 5307.PDF</t>
  </si>
  <si>
    <t>Indusmelec FacturaGuia nº 5340.PDF</t>
  </si>
  <si>
    <t>Indusmelec FacturaGuia nº 5368.PDF</t>
  </si>
  <si>
    <t>Indusmelec FacturaGuia nº 5471.PDF</t>
  </si>
  <si>
    <t>Indusmelec FacturaGuia nº 5472.PDF</t>
  </si>
  <si>
    <t>Indusmelec FacturaGuia nº 744.PDF.pdf</t>
  </si>
  <si>
    <t>Indusmelec FacturaGuia nº 800 - Doceleia.PDF</t>
  </si>
  <si>
    <t>Indusmelec FacturaGuia nº 939.PDF.pdf</t>
  </si>
  <si>
    <t>Indusmelec FacturaGuia nº 999.PDF.pdf</t>
  </si>
  <si>
    <t>Indusmelec Fatura nº5387.pdf</t>
  </si>
  <si>
    <t>Indusmelec FT 2025B12322 - Lagoalva.pdf</t>
  </si>
  <si>
    <t>Indusmelec FT 2025B12323 - Dayton.pdf</t>
  </si>
  <si>
    <t>Indusmelec FT 2025B12432 - Pessegueiro do Vouga 1 ou  2.pdf</t>
  </si>
  <si>
    <t>Indusmelec FT 2025B12451 - Dayton.pdf</t>
  </si>
  <si>
    <t>Indusmelec FT 2025B12513 - Pessegueiro do Vouga.pdf</t>
  </si>
  <si>
    <t>Indusmelec FT 2025B12626 - Pessegueiro Doura.pdf</t>
  </si>
  <si>
    <t>Indusmelec FT 2025B12627 - Pessegueiro do Vouga.pdf</t>
  </si>
  <si>
    <t>Indusmelec FT FT 2025B12482 - Dayton Progress.pdf</t>
  </si>
  <si>
    <t>Indusmelec nº 880 - Doceleia.PDF</t>
  </si>
  <si>
    <t>Indusmelec nº 914 - Doceleia.PDF</t>
  </si>
  <si>
    <t>Indusmelec º 833 - Doceleia.PDF</t>
  </si>
  <si>
    <t>Insusmelec FacturaGuia nº 4358.PDF</t>
  </si>
  <si>
    <t>LastOccurrence</t>
  </si>
  <si>
    <t>TUBOPA6</t>
  </si>
  <si>
    <t>678002115W</t>
  </si>
  <si>
    <t>31012017</t>
  </si>
  <si>
    <t>VE118F</t>
  </si>
  <si>
    <t>50TF400010</t>
  </si>
  <si>
    <t>21061160</t>
  </si>
  <si>
    <t>499.2902A</t>
  </si>
  <si>
    <t>XBPT138.1AZ</t>
  </si>
  <si>
    <t>XBPT138.1CA</t>
  </si>
  <si>
    <t>XBPT138.1CZ</t>
  </si>
  <si>
    <t>XBPT138.1PT</t>
  </si>
  <si>
    <t>XBPT138.1VDAM</t>
  </si>
  <si>
    <t>XBPT320CZ1</t>
  </si>
  <si>
    <t>XBPT320AZ1</t>
  </si>
  <si>
    <t>XBPT320CT1</t>
  </si>
  <si>
    <t>XBPT320PT1</t>
  </si>
  <si>
    <t>XBPT320AV1</t>
  </si>
  <si>
    <t>XBPT254CZ1</t>
  </si>
  <si>
    <t>XBPT254AZ1</t>
  </si>
  <si>
    <t>XBPT254CT1</t>
  </si>
  <si>
    <t>21061120</t>
  </si>
  <si>
    <t>21061200</t>
  </si>
  <si>
    <t>21061250</t>
  </si>
  <si>
    <t>21061320</t>
  </si>
  <si>
    <t>21061400</t>
  </si>
  <si>
    <t>FIX582560</t>
  </si>
  <si>
    <t>FIX610669</t>
  </si>
  <si>
    <t>FIX765079</t>
  </si>
  <si>
    <t>62021104</t>
  </si>
  <si>
    <t>62021154</t>
  </si>
  <si>
    <t>FV6VALHPRYS</t>
  </si>
  <si>
    <t>XZ1ALSEC1X35</t>
  </si>
  <si>
    <t>40027120</t>
  </si>
  <si>
    <t>40027160</t>
  </si>
  <si>
    <t>40027200</t>
  </si>
  <si>
    <t>40027250</t>
  </si>
  <si>
    <t>40027320</t>
  </si>
  <si>
    <t>40027400</t>
  </si>
  <si>
    <t>038024</t>
  </si>
  <si>
    <t>GW42216</t>
  </si>
  <si>
    <t>2007061</t>
  </si>
  <si>
    <t>221-415</t>
  </si>
  <si>
    <t>NSYTRV352PE</t>
  </si>
  <si>
    <t>9019430000</t>
  </si>
  <si>
    <t>9021240000</t>
  </si>
  <si>
    <t>9004420000</t>
  </si>
  <si>
    <t>9018580000</t>
  </si>
  <si>
    <t>HTPVISOTEST</t>
  </si>
  <si>
    <t>K507</t>
  </si>
  <si>
    <t>ZAE5072</t>
  </si>
  <si>
    <t>50TK260068</t>
  </si>
  <si>
    <t>AW49660</t>
  </si>
  <si>
    <t>50090498</t>
  </si>
  <si>
    <t>CM6146</t>
  </si>
  <si>
    <t>73021200</t>
  </si>
  <si>
    <t>TC110VM</t>
  </si>
  <si>
    <t>RZ1K1X35LHVD</t>
  </si>
  <si>
    <t>RZ1K5G6VD</t>
  </si>
  <si>
    <t>75821150</t>
  </si>
  <si>
    <t>73021150</t>
  </si>
  <si>
    <t>10090RBR</t>
  </si>
  <si>
    <t>10096RBR</t>
  </si>
  <si>
    <t>GERSFLEX40C</t>
  </si>
  <si>
    <t>GERSFOAM1K</t>
  </si>
  <si>
    <t>KEL98687</t>
  </si>
  <si>
    <t>64010061</t>
  </si>
  <si>
    <t>67010046</t>
  </si>
  <si>
    <t>120304015</t>
  </si>
  <si>
    <t>60512200</t>
  </si>
  <si>
    <t>L168</t>
  </si>
  <si>
    <t>L358</t>
  </si>
  <si>
    <t>9019310000</t>
  </si>
  <si>
    <t>9021170000</t>
  </si>
  <si>
    <t>LSN504</t>
  </si>
  <si>
    <t>LF302G</t>
  </si>
  <si>
    <t>GG5004</t>
  </si>
  <si>
    <t>62021204</t>
  </si>
  <si>
    <t>TX60H954</t>
  </si>
  <si>
    <t>50TF510006</t>
  </si>
  <si>
    <t>TBF95</t>
  </si>
  <si>
    <t>ABS270X46PT</t>
  </si>
  <si>
    <t>AB200X4.8</t>
  </si>
  <si>
    <t>50TF520005</t>
  </si>
  <si>
    <t>82003333</t>
  </si>
  <si>
    <t>60512300</t>
  </si>
  <si>
    <t>82003450</t>
  </si>
  <si>
    <t>68000032</t>
  </si>
  <si>
    <t>73021300</t>
  </si>
  <si>
    <t>100</t>
  </si>
  <si>
    <t>60211100</t>
  </si>
  <si>
    <t>60512100</t>
  </si>
  <si>
    <t>62021404</t>
  </si>
  <si>
    <t>73021100</t>
  </si>
  <si>
    <t>Total2</t>
  </si>
  <si>
    <t>Indusmelec_FacturaGuia_no_5976.PDF</t>
  </si>
  <si>
    <t>Indusmele_FacturaGuia_no_5977.PDF</t>
  </si>
  <si>
    <t>Indusmelec_Factura_no_10650.PDF</t>
  </si>
  <si>
    <t>Indusmelec_Factura_no_10594.PDF</t>
  </si>
  <si>
    <t>Indusmelec_Factura_no_10593.PDF</t>
  </si>
  <si>
    <t xml:space="preserve">32 TUBO PAREDE DUPLA CORRUGADO C/GUIA VM  </t>
  </si>
  <si>
    <t>FacturaGuia_no_5399.PDF</t>
  </si>
  <si>
    <t>020.PG36</t>
  </si>
  <si>
    <t xml:space="preserve">PG36 TUBO ANEL. FLEX. ABERTO PT (INT. 35.5MM / EXT. </t>
  </si>
  <si>
    <t>020.PG48PT</t>
  </si>
  <si>
    <t xml:space="preserve">PG48 TUBO ANEL. FLEX. ABERTO PT (INT. 47MM / EXT. </t>
  </si>
  <si>
    <t>042.2022762</t>
  </si>
  <si>
    <t xml:space="preserve">BUCINS M12X1.5 C/PORCA </t>
  </si>
  <si>
    <t>042.2022764</t>
  </si>
  <si>
    <t xml:space="preserve">BUCINS M16X1.5 C/PORCA </t>
  </si>
  <si>
    <t>042.2022772</t>
  </si>
  <si>
    <t xml:space="preserve">BUCIM V-TEC M40X1.5 CZCL C/PORCA </t>
  </si>
  <si>
    <t>Preço Min</t>
  </si>
  <si>
    <t>Preço total</t>
  </si>
  <si>
    <t>Source.Name</t>
  </si>
  <si>
    <t>Preço Unitário</t>
  </si>
  <si>
    <t>Preço unitário atualizado</t>
  </si>
  <si>
    <t>00._JMM_NFT_ELE2025219810.pdf</t>
  </si>
  <si>
    <t>1FV6VA</t>
  </si>
  <si>
    <t>CABO H07V-K (FV) 6 V/A</t>
  </si>
  <si>
    <t>1RZ1K170VD</t>
  </si>
  <si>
    <t>CABO RZ1-K 1X70 0,6/1KV VERDE= FXG</t>
  </si>
  <si>
    <t>JMMA073430</t>
  </si>
  <si>
    <t>BOBINA JMMA07-3430 MADEIRA</t>
  </si>
  <si>
    <t>1RZ1K5G25VD</t>
  </si>
  <si>
    <t xml:space="preserve">CABO RZ1-K 5G25 0,6/1KV VERDE = FXG </t>
  </si>
  <si>
    <t>J M M FT ELE2025213920.pdf</t>
  </si>
  <si>
    <t>1HIFCY215</t>
  </si>
  <si>
    <t>CABO HI-FLEX CY 2X1,5 (=LIYCY)</t>
  </si>
  <si>
    <t>1RVK5G10</t>
  </si>
  <si>
    <t>CABO RV-K 5G10 0,6/1KV FLEXIVEL PT</t>
  </si>
  <si>
    <t>JMMA078504</t>
  </si>
  <si>
    <t>BOBINA JMM A07-8504 MADEIRA</t>
  </si>
  <si>
    <t>J M M NFT ELE2025216538.pdf</t>
  </si>
  <si>
    <t>1LXVXZ11240VD</t>
  </si>
  <si>
    <t>CABO LXV/XZ1 1X240 AL 0,6/1KV VERDE</t>
  </si>
  <si>
    <t>JMMA102957</t>
  </si>
  <si>
    <t>BOBINA JMMA10-2957 MADEIRA</t>
  </si>
  <si>
    <t>1LXVXZ11120VD</t>
  </si>
  <si>
    <t>CABO LXV/XZ1 1X120 AL 0,6/1KV VERDE</t>
  </si>
  <si>
    <t>JMMA085233</t>
  </si>
  <si>
    <t>BOBINA JMM A08-5233 MADEIRA</t>
  </si>
  <si>
    <t>1LXVXZ1170VD</t>
  </si>
  <si>
    <t>CABO LXV/XZ1 1X70 AL 0,6/1KV VERDE</t>
  </si>
  <si>
    <t>1COBN16</t>
  </si>
  <si>
    <t>COBRE NU 16mm</t>
  </si>
  <si>
    <t>J MM FT 2025_207553.pdf</t>
  </si>
  <si>
    <t>1PAARTRONICCY1215</t>
  </si>
  <si>
    <t xml:space="preserve">CABO PAAR-TRONIC-CY 1X2X1,5 (017053) </t>
  </si>
  <si>
    <t>J MM FT ELE2025211668 - Verde Milenar.pdf</t>
  </si>
  <si>
    <t>1RVK1150</t>
  </si>
  <si>
    <t>CABO RV-K 1X150 0,6/1KV FLEXIVEL PT</t>
  </si>
  <si>
    <t>JMMA072479</t>
  </si>
  <si>
    <t>BOBINA JMM A07-2479 MADEIRA</t>
  </si>
  <si>
    <t>J MM Gonçalves FT ELE2025203639.pdf</t>
  </si>
  <si>
    <t>1CAE1215</t>
  </si>
  <si>
    <t>CABO CAELIFLEX 12G1,5 (= JZ500)</t>
  </si>
  <si>
    <t>J MM NFT ELE2026212699-fRESTIA.pdf</t>
  </si>
  <si>
    <t>J M.M. Gonçalves FT7163 - CSP RONFE.pdf</t>
  </si>
  <si>
    <t>1LXV135</t>
  </si>
  <si>
    <t xml:space="preserve">CABO LXV 1X35 </t>
  </si>
  <si>
    <t>JMMA102985</t>
  </si>
  <si>
    <t xml:space="preserve">BOBINA JMMA10-2985 MADEIRA </t>
  </si>
  <si>
    <t>J MM - FR 1597.pdf</t>
  </si>
  <si>
    <t xml:space="preserve">CABO H07V-K (FV) 6 V/A </t>
  </si>
  <si>
    <t>J MM FR ELE2025_1136.pdf</t>
  </si>
  <si>
    <t>1LXV195</t>
  </si>
  <si>
    <t xml:space="preserve">CABO LXV 1X95 </t>
  </si>
  <si>
    <t>JMMA077530</t>
  </si>
  <si>
    <t xml:space="preserve">BOBINA JMM A07-7530 MADEIRA </t>
  </si>
  <si>
    <t>1LXV1150</t>
  </si>
  <si>
    <t xml:space="preserve">CABO LXV 1X150 </t>
  </si>
  <si>
    <t>JMMA075019</t>
  </si>
  <si>
    <t xml:space="preserve">BOBINA JMM A07-5019 MADEIRA </t>
  </si>
  <si>
    <t>1XV1150</t>
  </si>
  <si>
    <t xml:space="preserve">CABO XV 1X150 1KV PT </t>
  </si>
  <si>
    <t>KLAL15012MS</t>
  </si>
  <si>
    <t xml:space="preserve">KLAUKE L 150/12MS TERM.CRAV.Cu EST. </t>
  </si>
  <si>
    <t>J MM FT 9956 - Obra Social Jean Emile Anizan.pdf</t>
  </si>
  <si>
    <t>JMMA087044</t>
  </si>
  <si>
    <t xml:space="preserve">BOBINA JMM A08-7044 MADEIRA </t>
  </si>
  <si>
    <t>J.M.M. FT 8570 - Maria Luisa Ruas.pdf</t>
  </si>
  <si>
    <t>1XV125</t>
  </si>
  <si>
    <t>CABO XV 1X25 1KV PT</t>
  </si>
  <si>
    <t>JMM 11209 - 10% Herdade da Maia, 10% Freskus, 80% stock..pdf</t>
  </si>
  <si>
    <t>JMM 11910.pdf</t>
  </si>
  <si>
    <t xml:space="preserve">CABO RV-K 5G10 0,6/1KV FLEXIVEL PT </t>
  </si>
  <si>
    <t>1RVK5G16</t>
  </si>
  <si>
    <t xml:space="preserve">CABO RV-K 5G16 0,6/1KV FLEXIVEL PT </t>
  </si>
  <si>
    <t>1RVK5G25</t>
  </si>
  <si>
    <t xml:space="preserve">CABO RV-K 5G25 0,6/1KV FLEXIVEL PT </t>
  </si>
  <si>
    <t>JMMA086541</t>
  </si>
  <si>
    <t xml:space="preserve">BOBINA JMM A08-6541 MADEIRA </t>
  </si>
  <si>
    <t>1RVK150</t>
  </si>
  <si>
    <t xml:space="preserve">CABO RV-K 1X50 0,6/1KV FLEXIVEL PT </t>
  </si>
  <si>
    <t>JMM FR 8103 - Fundação Maria Luisa Ruas.pdf</t>
  </si>
  <si>
    <t>JMM FR 8104 - Fundação Maria Luisa Ruas.pdf</t>
  </si>
  <si>
    <t>JMMA087001</t>
  </si>
  <si>
    <t xml:space="preserve">BOBINA JMM A08-7001 MADEIRA </t>
  </si>
  <si>
    <t>1LXV150</t>
  </si>
  <si>
    <t xml:space="preserve">CABO LXV 1X50 </t>
  </si>
  <si>
    <t>JMMA077336</t>
  </si>
  <si>
    <t xml:space="preserve">BOBINA JMM A07-7336 MADEIRA </t>
  </si>
  <si>
    <t>JMM FR8060.pdf</t>
  </si>
  <si>
    <t>EFA21071</t>
  </si>
  <si>
    <t xml:space="preserve">EFAPEL 21071 COMUTADOR ESCADA </t>
  </si>
  <si>
    <t>EFA90601TBR</t>
  </si>
  <si>
    <t xml:space="preserve">EFAPEL 90601 TBR TECLA SIMPLES BRANCA </t>
  </si>
  <si>
    <t>EFA90910TBR</t>
  </si>
  <si>
    <t xml:space="preserve">EFAPEL 90910 TBR ESPELHO SIMPLES BRANCO </t>
  </si>
  <si>
    <t>JMM FT 9452 - CSP Santo Aleixo.pdf</t>
  </si>
  <si>
    <t>CABO LXV 1X50</t>
  </si>
  <si>
    <t>JMM FT ELE2025206699.pdf</t>
  </si>
  <si>
    <t>JMMA077283</t>
  </si>
  <si>
    <t>BOBINA JMM A07-7283 MADEIRA</t>
  </si>
  <si>
    <t>CABO LXV 1X150</t>
  </si>
  <si>
    <t>JMMA127418</t>
  </si>
  <si>
    <t>BOBINA JMM A12-7418 MADEIRA</t>
  </si>
  <si>
    <t>JMMA125718</t>
  </si>
  <si>
    <t>BOBINA JMM A12-5718 MADEIRA</t>
  </si>
  <si>
    <t>CABO LXV 1X95</t>
  </si>
  <si>
    <t>JMMA104343</t>
  </si>
  <si>
    <t>BOBINA JMM A10-4343 MADEIRA</t>
  </si>
  <si>
    <t>JMMA104353</t>
  </si>
  <si>
    <t>BOBINA JMM A10-4353 MADEIRA</t>
  </si>
  <si>
    <t>1FV4VA</t>
  </si>
  <si>
    <t>CABO H07V-K (FV) 4 V/A</t>
  </si>
  <si>
    <t>JMM FT ELE2025_210639.pdf</t>
  </si>
  <si>
    <t>1RZ1K5G10VD</t>
  </si>
  <si>
    <t xml:space="preserve"> CABO RZ1-K 5G10 0,6/1KV VERDE= FXG</t>
  </si>
  <si>
    <t>JMM Gonçalves - FT ELE2025204648.pdf</t>
  </si>
  <si>
    <t>JMMA075971</t>
  </si>
  <si>
    <t>BOBINA JMM A07-5971 MADEIRA</t>
  </si>
  <si>
    <t>1RVK466</t>
  </si>
  <si>
    <t xml:space="preserve">CABO RV-K 5G6 0,6/1KV FLEXIVEL PT </t>
  </si>
  <si>
    <t>JMM NFT ELE2025215460.pdf</t>
  </si>
  <si>
    <t>1RZ1K5G16VD</t>
  </si>
  <si>
    <t>CABO RZ1-K 5G16 0,6/1KV VERDE= FXG</t>
  </si>
  <si>
    <t>1RZ1K42525VD</t>
  </si>
  <si>
    <t>CABO RZ1-K 5G2,5 0,6/1KV VERDE = FXG</t>
  </si>
  <si>
    <t>CABO RZ1-K 5G10 0,6/1KV VERDE= FXG</t>
  </si>
  <si>
    <t>JMM_NFT_ELE2025222981.pdf</t>
  </si>
  <si>
    <t>1LXV1120</t>
  </si>
  <si>
    <t>CABO LXV 1X120</t>
  </si>
  <si>
    <t>1LXV170</t>
  </si>
  <si>
    <t>CABO LXV 1X70</t>
  </si>
  <si>
    <t>1XV170</t>
  </si>
  <si>
    <t>CABO XV 1X70 1KV PT</t>
  </si>
  <si>
    <t>JMM_NFT_ELE2026200727.pdf</t>
  </si>
  <si>
    <t>1RZ1K1185VD</t>
  </si>
  <si>
    <t>CABO RZ1-K 1X185 0,6/1KV VERDE = FXG</t>
  </si>
  <si>
    <t>JMMA098187</t>
  </si>
  <si>
    <t>BOBINA JMM A09 - 8187 MADEIRA</t>
  </si>
  <si>
    <t>JMMA078751</t>
  </si>
  <si>
    <t>BOBINA JMM A07-8751 MADEIRA</t>
  </si>
  <si>
    <t>JMMA077655</t>
  </si>
  <si>
    <t>BOBINA JMM A07-7655 MADEIRA</t>
  </si>
  <si>
    <t>JMM_NFT_ELE2026201805.pdf</t>
  </si>
  <si>
    <t xml:space="preserve">CABO </t>
  </si>
  <si>
    <t>JMMA077287</t>
  </si>
  <si>
    <t>BOBINA JMM A07-7287 MADEIRA</t>
  </si>
  <si>
    <t>JMMA078772</t>
  </si>
  <si>
    <t>BOBINA JMM A07-8772 MADEIRA</t>
  </si>
  <si>
    <t>JMM_NFT_ELE2026203845.pdf</t>
  </si>
  <si>
    <t>JMM_NFT_ELE2026210512.pdf</t>
  </si>
  <si>
    <t>1LXV1240</t>
  </si>
  <si>
    <t>CABO LXV 1X240</t>
  </si>
  <si>
    <t>JMMA107111</t>
  </si>
  <si>
    <t>BOBINA JMM A10-7111 MADEIRA</t>
  </si>
  <si>
    <t>JMMA077281</t>
  </si>
  <si>
    <t>BOBINA JMM A07-7281 MADEIRA</t>
  </si>
  <si>
    <t>1XV42525PT</t>
  </si>
  <si>
    <t>CABO XV 5G2,5 1KV PT</t>
  </si>
  <si>
    <t>J_MM_NFT_ELE2025221894.pdf</t>
  </si>
  <si>
    <t>1RZ1K5G35VD</t>
  </si>
  <si>
    <t xml:space="preserve"> </t>
  </si>
  <si>
    <t>J_M_M_NFT_ELE2025216117.pdf</t>
  </si>
  <si>
    <t>1LXVXZ11240PT</t>
  </si>
  <si>
    <t>CABO LXV/XZ1 1X240 AL 0,6/1KV PRETO</t>
  </si>
  <si>
    <t>JMMA10732</t>
  </si>
  <si>
    <t>BOBINA JMM A10 - 732 MADEIRA</t>
  </si>
  <si>
    <t>JMMA078536</t>
  </si>
  <si>
    <t>BOBINA JMM A07-8536 MADEIRA</t>
  </si>
  <si>
    <t>J_M_M_NFT_ELE2025217511.pdf</t>
  </si>
  <si>
    <t>1COBN25</t>
  </si>
  <si>
    <t>COBRE NU 25mm</t>
  </si>
  <si>
    <t>1RVK135</t>
  </si>
  <si>
    <t>CABO RV-K 1X35 0,6/1KV FLEXIVEL PT</t>
  </si>
  <si>
    <t>J_M_M_NFT_ELE2025218592.pdf</t>
  </si>
  <si>
    <t>J_M_M_NFT_ELE2026205458.pdf</t>
  </si>
  <si>
    <t>JMMA073806</t>
  </si>
  <si>
    <t>BOBINA JMM A07-3806 MADEIRA</t>
  </si>
  <si>
    <t>J_M_M_NFT_ELE2026209336Granisul.pdf</t>
  </si>
  <si>
    <t>1COBN35</t>
  </si>
  <si>
    <t>COBRE NU 35mm</t>
  </si>
  <si>
    <t>JMMA077694</t>
  </si>
  <si>
    <t>BOBINA JMM A07-7694 MADEIRA</t>
  </si>
  <si>
    <t>1RZ1K135VD</t>
  </si>
  <si>
    <t>CABO RZ1-K 1X35 0,6/1KV VERDE = FXG</t>
  </si>
  <si>
    <t>JMMA084233</t>
  </si>
  <si>
    <t>BOBINA JMM A08-4233 MADEIRA</t>
  </si>
  <si>
    <t>JMMA145365</t>
  </si>
  <si>
    <t>BOBINA JMM A14-5365 MADEIRA</t>
  </si>
  <si>
    <t>J_M_M_NFT_ELE2026213977.pdf</t>
  </si>
  <si>
    <t>1LXVXZ1125VD</t>
  </si>
  <si>
    <t>NFT_ELE2026211131.pdf</t>
  </si>
  <si>
    <t>1RVK1240</t>
  </si>
  <si>
    <t>JMMA088920</t>
  </si>
  <si>
    <t>BOBINA JMM A08-8920 MADEIRA</t>
  </si>
  <si>
    <t>CABO RZ1-K 5G35 0,6/1KV VERDE= FXG</t>
  </si>
  <si>
    <t>Valor Ilíquido</t>
  </si>
  <si>
    <t>400.000 M/1</t>
  </si>
  <si>
    <t>0.5810</t>
  </si>
  <si>
    <t>232.40400.000 M/1</t>
  </si>
  <si>
    <t>50.000 M/1</t>
  </si>
  <si>
    <t>7.3710</t>
  </si>
  <si>
    <t>368.5550.000 M/1</t>
  </si>
  <si>
    <t>1.000 UN/1</t>
  </si>
  <si>
    <t>90.0000</t>
  </si>
  <si>
    <t>90.001.000 UN/1</t>
  </si>
  <si>
    <t>22.500 M/1</t>
  </si>
  <si>
    <t>14.3150</t>
  </si>
  <si>
    <t>322.0922.500 M/1</t>
  </si>
  <si>
    <t>300.000 M/1</t>
  </si>
  <si>
    <t>0.5647</t>
  </si>
  <si>
    <t>Por alguma razão JMM Gonçalves - FT ELE2025204648 não funciona nesta Power Querry</t>
  </si>
  <si>
    <t>0.5607</t>
  </si>
  <si>
    <t>100.000 M/1</t>
  </si>
  <si>
    <t>5.0507</t>
  </si>
  <si>
    <t>160.000 M/1</t>
  </si>
  <si>
    <t>3.7809</t>
  </si>
  <si>
    <t>135.0000</t>
  </si>
  <si>
    <t>2.0379</t>
  </si>
  <si>
    <t>20.000 M/1</t>
  </si>
  <si>
    <t>1.4589</t>
  </si>
  <si>
    <t>200.000 M/1</t>
  </si>
  <si>
    <t>1.5309</t>
  </si>
  <si>
    <t>500.0000.5927</t>
  </si>
  <si>
    <t>M/1</t>
  </si>
  <si>
    <t>1.000135.0000</t>
  </si>
  <si>
    <t>UN/1</t>
  </si>
  <si>
    <t>500.000 M/1</t>
  </si>
  <si>
    <t>1.2304</t>
  </si>
  <si>
    <t>615.20500.000 M/1</t>
  </si>
  <si>
    <t>500.0000.7310</t>
  </si>
  <si>
    <t>1.00090.0000</t>
  </si>
  <si>
    <t>13.9906</t>
  </si>
  <si>
    <t>699.5350.000 M/1</t>
  </si>
  <si>
    <t>0.5502</t>
  </si>
  <si>
    <t>165.06300.000 M/1</t>
  </si>
  <si>
    <t>2.4402</t>
  </si>
  <si>
    <t>244.02100.000 M/1</t>
  </si>
  <si>
    <t>2.4136</t>
  </si>
  <si>
    <t>241.36100.000 M/1</t>
  </si>
  <si>
    <t>1,000.000 M/1</t>
  </si>
  <si>
    <t>0.6906</t>
  </si>
  <si>
    <t>690.601,000.000 M/1</t>
  </si>
  <si>
    <t>100.0002.5998</t>
  </si>
  <si>
    <t>2,000.0000.5411</t>
  </si>
  <si>
    <t>100.0005.0212</t>
  </si>
  <si>
    <t>50.0007.9912</t>
  </si>
  <si>
    <t>100.00012.6312</t>
  </si>
  <si>
    <t>100.0004.7212</t>
  </si>
  <si>
    <t>1,000.0000.5748</t>
  </si>
  <si>
    <t>750.0000.5948</t>
  </si>
  <si>
    <t>250.0000.7408</t>
  </si>
  <si>
    <t>TRANSP.MERC-N</t>
  </si>
  <si>
    <t>1.00037.0000</t>
  </si>
  <si>
    <t>3.0002.0100</t>
  </si>
  <si>
    <t>UN/140.00</t>
  </si>
  <si>
    <t>3.0000.6200</t>
  </si>
  <si>
    <t>3.0000.6700</t>
  </si>
  <si>
    <t>100.0000.7709</t>
  </si>
  <si>
    <t>110.000 M/1</t>
  </si>
  <si>
    <t>14.9804</t>
  </si>
  <si>
    <t>840.000 M/1</t>
  </si>
  <si>
    <t>2.1004</t>
  </si>
  <si>
    <t>160.0000</t>
  </si>
  <si>
    <t>560.000 M/1</t>
  </si>
  <si>
    <t>1.4004</t>
  </si>
  <si>
    <t>0.3904</t>
  </si>
  <si>
    <t>900.000 M/1</t>
  </si>
  <si>
    <t>0.3906</t>
  </si>
  <si>
    <t>351.54900.000 M/1</t>
  </si>
  <si>
    <t>5.4405</t>
  </si>
  <si>
    <t>108.8120.000 M/1</t>
  </si>
  <si>
    <t>30.000 M/1</t>
  </si>
  <si>
    <t>8.8908</t>
  </si>
  <si>
    <t>266.7230.000 M/1</t>
  </si>
  <si>
    <t>5.000 M/1</t>
  </si>
  <si>
    <t>1.9128</t>
  </si>
  <si>
    <t>9.565.000 M/1</t>
  </si>
  <si>
    <t>5.5908</t>
  </si>
  <si>
    <t>27.955.000 M/1</t>
  </si>
  <si>
    <t>0.5608</t>
  </si>
  <si>
    <t>560.801,000.000 M/1</t>
  </si>
  <si>
    <t>2.3708</t>
  </si>
  <si>
    <t>118.5450.000 M/1</t>
  </si>
  <si>
    <t>168.24300.000 M/1</t>
  </si>
  <si>
    <t>0.7712</t>
  </si>
  <si>
    <t>120.000 M/1</t>
  </si>
  <si>
    <t>1.7452</t>
  </si>
  <si>
    <t>1.2012</t>
  </si>
  <si>
    <t>25.000 M/1</t>
  </si>
  <si>
    <t>7.0732</t>
  </si>
  <si>
    <t>10.000 M/1</t>
  </si>
  <si>
    <t>5.5801</t>
  </si>
  <si>
    <t>40.000 M/1</t>
  </si>
  <si>
    <t>18.9912</t>
  </si>
  <si>
    <t>192.000 M/1</t>
  </si>
  <si>
    <t>115.0000</t>
  </si>
  <si>
    <t>2.2751</t>
  </si>
  <si>
    <t>75.000 M/1</t>
  </si>
  <si>
    <t>1.4571</t>
  </si>
  <si>
    <t>LXV/XZ1 1X70 AL 0,6/1KV VERDE1.5021</t>
  </si>
  <si>
    <t>LXV/XZ1 1X120 AL 0,6/1KV VERDE2.3011</t>
  </si>
  <si>
    <t>0.6551</t>
  </si>
  <si>
    <t>210.000 M/1</t>
  </si>
  <si>
    <t>4.1825</t>
  </si>
  <si>
    <t>878.33210.000 M/1</t>
  </si>
  <si>
    <t>135.001.000 UN/1</t>
  </si>
  <si>
    <t>70.000 M/1</t>
  </si>
  <si>
    <t>2.1605</t>
  </si>
  <si>
    <t>151.2470.000 M/1</t>
  </si>
  <si>
    <t>80.000 M/1</t>
  </si>
  <si>
    <t>1.7705</t>
  </si>
  <si>
    <t>141.6480.000 M/1</t>
  </si>
  <si>
    <t>0.5811</t>
  </si>
  <si>
    <t>CABO RZ1-K 5G35 0,6/1KV VERDE = FXG18.9011</t>
  </si>
  <si>
    <t>3.3209</t>
  </si>
  <si>
    <t>1.6809</t>
  </si>
  <si>
    <t>2.4589</t>
  </si>
  <si>
    <t>8.7819</t>
  </si>
  <si>
    <t>0.5579</t>
  </si>
  <si>
    <t>3.4019</t>
  </si>
  <si>
    <t>2.9710</t>
  </si>
  <si>
    <t>297.10100.000 M/1</t>
  </si>
  <si>
    <t>0.9203</t>
  </si>
  <si>
    <t>250.000 M/1</t>
  </si>
  <si>
    <t>0.7563</t>
  </si>
  <si>
    <t>90.000 M/1</t>
  </si>
  <si>
    <t>0.6647</t>
  </si>
  <si>
    <t>0.8575</t>
  </si>
  <si>
    <t>4.1835</t>
  </si>
  <si>
    <t>180.000 M/1</t>
  </si>
  <si>
    <t>4.4575</t>
  </si>
  <si>
    <t>4.1824</t>
  </si>
  <si>
    <t>800.000 M/1</t>
  </si>
  <si>
    <t>230.0000</t>
  </si>
  <si>
    <t>0.6745</t>
  </si>
  <si>
    <t>1,000.000 M/11.00</t>
  </si>
  <si>
    <t>CABO LXV/XZ1 1X25 AL 0,6/1KV VERDE150.000 M/1</t>
  </si>
  <si>
    <t>0.8706</t>
  </si>
  <si>
    <t>CABO RV-K 1X240 0,6/1KV FLEXIVEL PT30.9015</t>
  </si>
  <si>
    <t>108.000 M/1</t>
  </si>
  <si>
    <t>Desc1</t>
  </si>
  <si>
    <t>Desc2</t>
  </si>
  <si>
    <t>IVA</t>
  </si>
  <si>
    <t>0.5927</t>
  </si>
  <si>
    <t>0</t>
  </si>
  <si>
    <t>296.35</t>
  </si>
  <si>
    <t>135.00</t>
  </si>
  <si>
    <t>2,000.000 M/1</t>
  </si>
  <si>
    <t>0.5602</t>
  </si>
  <si>
    <t>1,120.40</t>
  </si>
  <si>
    <t>150.000 M/1</t>
  </si>
  <si>
    <t>1.3901</t>
  </si>
  <si>
    <t>208.52</t>
  </si>
  <si>
    <t>90.00</t>
  </si>
  <si>
    <t>2.2001</t>
  </si>
  <si>
    <t>330.02</t>
  </si>
  <si>
    <t>14.4901</t>
  </si>
  <si>
    <t>434.70</t>
  </si>
  <si>
    <t>30.000 UN/1</t>
  </si>
  <si>
    <t>3.5189</t>
  </si>
  <si>
    <t>30.00</t>
  </si>
  <si>
    <t>73.90</t>
  </si>
  <si>
    <t>0.7310</t>
  </si>
  <si>
    <t>365.50</t>
  </si>
  <si>
    <t>2.5998</t>
  </si>
  <si>
    <t>259.98</t>
  </si>
  <si>
    <t>0.5411</t>
  </si>
  <si>
    <t>1,082.20</t>
  </si>
  <si>
    <t>5.0212</t>
  </si>
  <si>
    <t>502.12</t>
  </si>
  <si>
    <t>7.9912</t>
  </si>
  <si>
    <t>399.56</t>
  </si>
  <si>
    <t>12.6312</t>
  </si>
  <si>
    <t>1,263.12</t>
  </si>
  <si>
    <t>4.7212</t>
  </si>
  <si>
    <t>472.12</t>
  </si>
  <si>
    <t>0.5748</t>
  </si>
  <si>
    <t>574.80</t>
  </si>
  <si>
    <t>750.000 M/1</t>
  </si>
  <si>
    <t>0.5948</t>
  </si>
  <si>
    <t>446.10</t>
  </si>
  <si>
    <t>0.7408</t>
  </si>
  <si>
    <t>185.20</t>
  </si>
  <si>
    <t>37.0000</t>
  </si>
  <si>
    <t>37.00</t>
  </si>
  <si>
    <t>3.000 UN/1</t>
  </si>
  <si>
    <t>2.0100</t>
  </si>
  <si>
    <t>40.00</t>
  </si>
  <si>
    <t>3.62</t>
  </si>
  <si>
    <t>0.6200</t>
  </si>
  <si>
    <t>1.12</t>
  </si>
  <si>
    <t>0.6700</t>
  </si>
  <si>
    <t>1.21</t>
  </si>
  <si>
    <t>0.7709</t>
  </si>
  <si>
    <t>77.09</t>
  </si>
  <si>
    <t>2025-10-31</t>
  </si>
  <si>
    <t>2025-07-31</t>
  </si>
  <si>
    <t>2025-09-18</t>
  </si>
  <si>
    <t>2025-04-30</t>
  </si>
  <si>
    <t>2025-06-30</t>
  </si>
  <si>
    <t>2025-02-28</t>
  </si>
  <si>
    <t>2026-06-30</t>
  </si>
  <si>
    <t>2025-04-15</t>
  </si>
  <si>
    <t>2025-03-14</t>
  </si>
  <si>
    <t>2025-08-29</t>
  </si>
  <si>
    <t>2025-12-17</t>
  </si>
  <si>
    <t>2026-01-16</t>
  </si>
  <si>
    <t>2026-01-30</t>
  </si>
  <si>
    <t>2026-02-27</t>
  </si>
  <si>
    <t>2026-05-29</t>
  </si>
  <si>
    <t>2025-11-28</t>
  </si>
  <si>
    <t>2025-09-11</t>
  </si>
  <si>
    <t>2025-09-30</t>
  </si>
  <si>
    <t>2025-10-15</t>
  </si>
  <si>
    <t>2026-03-25</t>
  </si>
  <si>
    <t>2026-05-15</t>
  </si>
  <si>
    <t>2026-07-17</t>
  </si>
  <si>
    <t>2026-06-05</t>
  </si>
  <si>
    <t>Fornecedor</t>
  </si>
  <si>
    <t>JMM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</si>
</sst>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_([$€-2]\ * #,##0.00_);_([$€-2]\ * \(#,##0.00\);_([$€-2]\ * &quot;-&quot;??_);_(@_)"/>
    <numFmt numFmtId="165" formatCode="_ * #,##0.00_)\ [$€-1]_ ;_ * \(#,##0.00\)\ [$€-1]_ ;_ * &quot;-&quot;??_)\ [$€-1]_ ;_ @_ "/>
    <numFmt numFmtId="166" formatCode="#,##0.00\ [$€-1]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9" fontId="0" fillId="0" borderId="0" xfId="2" applyFont="1"/>
    <xf numFmtId="164" fontId="0" fillId="0" borderId="0" xfId="0" applyNumberFormat="1"/>
    <xf numFmtId="2" fontId="0" fillId="0" borderId="0" xfId="0" applyNumberFormat="1"/>
    <xf numFmtId="165" fontId="0" fillId="0" borderId="0" xfId="1" applyNumberFormat="1" applyFont="1"/>
    <xf numFmtId="165" fontId="0" fillId="0" borderId="0" xfId="0" applyNumberFormat="1"/>
    <xf numFmtId="14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4" fontId="0" fillId="0" borderId="0" xfId="0" applyNumberFormat="1" applyAlignment="1">
      <alignment horizontal="right"/>
    </xf>
    <xf numFmtId="0" fontId="0" fillId="0" borderId="0" xfId="0" applyAlignment="1">
      <alignment horizontal="center" wrapText="1"/>
    </xf>
    <xf numFmtId="166" fontId="0" fillId="0" borderId="0" xfId="0" applyNumberFormat="1"/>
    <xf numFmtId="0" fontId="0" fillId="0" borderId="0" xfId="0" applyAlignment="1">
      <alignment horizontal="left"/>
    </xf>
    <xf numFmtId="0" fontId="0" fillId="0" borderId="0" xfId="2" applyNumberFormat="1" applyFont="1" applyAlignment="1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72">
    <dxf>
      <numFmt numFmtId="167" formatCode="yyyy/mm/dd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167" formatCode="yyyy/mm/dd"/>
    </dxf>
    <dxf>
      <numFmt numFmtId="0" formatCode="General"/>
    </dxf>
    <dxf>
      <numFmt numFmtId="167" formatCode="yyyy/mm/dd"/>
    </dxf>
    <dxf>
      <numFmt numFmtId="0" formatCode="General"/>
    </dxf>
    <dxf>
      <numFmt numFmtId="0" formatCode="General"/>
    </dxf>
    <dxf>
      <numFmt numFmtId="2" formatCode="0.00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7" formatCode="yyyy/mm/dd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167" formatCode="yyyy/mm/dd"/>
    </dxf>
    <dxf>
      <numFmt numFmtId="0" formatCode="General"/>
    </dxf>
    <dxf>
      <numFmt numFmtId="0" formatCode="General"/>
    </dxf>
    <dxf>
      <numFmt numFmtId="165" formatCode="_ * #,##0.00_)\ [$€-1]_ ;_ * \(#,##0.00\)\ [$€-1]_ ;_ * &quot;-&quot;??_)\ [$€-1]_ ;_ @_ "/>
    </dxf>
    <dxf>
      <numFmt numFmtId="0" formatCode="General"/>
    </dxf>
    <dxf>
      <numFmt numFmtId="0" formatCode="General"/>
    </dxf>
    <dxf>
      <numFmt numFmtId="167" formatCode="yyyy/mm/dd"/>
    </dxf>
    <dxf>
      <numFmt numFmtId="0" formatCode="General"/>
    </dxf>
    <dxf>
      <numFmt numFmtId="167" formatCode="yyyy/mm/dd"/>
    </dxf>
    <dxf>
      <numFmt numFmtId="0" formatCode="General"/>
    </dxf>
    <dxf>
      <numFmt numFmtId="164" formatCode="_([$€-2]\ * #,##0.00_);_([$€-2]\ * \(#,##0.00\);_([$€-2]\ * &quot;-&quot;??_);_(@_)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_([$€-2]\ * #,##0.00_);_([$€-2]\ * \(#,##0.00\);_([$€-2]\ * &quot;-&quot;??_);_(@_)"/>
    </dxf>
    <dxf>
      <numFmt numFmtId="0" formatCode="General"/>
    </dxf>
    <dxf>
      <numFmt numFmtId="0" formatCode="General"/>
    </dxf>
    <dxf>
      <numFmt numFmtId="164" formatCode="_([$€-2]\ * #,##0.00_);_([$€-2]\ * \(#,##0.00\);_([$€-2]\ 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_([$€-2]\ * #,##0.00_);_([$€-2]\ * \(#,##0.00\);_([$€-2]\ * &quot;-&quot;??_);_(@_)"/>
    </dxf>
    <dxf>
      <numFmt numFmtId="0" formatCode="General"/>
    </dxf>
    <dxf>
      <numFmt numFmtId="0" formatCode="General"/>
    </dxf>
    <dxf>
      <numFmt numFmtId="167" formatCode="yyyy/mm/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onnections" Target="connections.xml"/><Relationship Id="rId27" Type="http://schemas.openxmlformats.org/officeDocument/2006/relationships/customXml" Target="../customXml/item1.xml"/><Relationship Id="rId30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3EDC29B9-5F6B-44A7-AE2D-769332C737B0}" autoFormatId="16" applyNumberFormats="0" applyBorderFormats="0" applyFontFormats="0" applyPatternFormats="0" applyAlignmentFormats="0" applyWidthHeightFormats="0">
  <queryTableRefresh nextId="18">
    <queryTableFields count="9">
      <queryTableField id="12" name="Fatura" tableColumnId="12"/>
      <queryTableField id="2" name="Referência" tableColumnId="2"/>
      <queryTableField id="3" name="Designação" tableColumnId="3"/>
      <queryTableField id="6" name="Qtd." tableColumnId="6"/>
      <queryTableField id="8" name="Prç Uni" tableColumnId="8"/>
      <queryTableField id="9" name="Desc 1" tableColumnId="9"/>
      <queryTableField id="10" name="Desc 2" tableColumnId="10"/>
      <queryTableField id="16" name="Prç Uni c/ Desc" tableColumnId="14"/>
      <queryTableField id="11" name="Total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C2BFF192-390C-4E65-BD9E-E9BBA11CFD43}" autoFormatId="16" applyNumberFormats="0" applyBorderFormats="0" applyFontFormats="0" applyPatternFormats="0" applyAlignmentFormats="0" applyWidthHeightFormats="0">
  <queryTableRefresh nextId="10">
    <queryTableFields count="9">
      <queryTableField id="1" name="Fatura" tableColumnId="1"/>
      <queryTableField id="2" name="Referência" tableColumnId="2"/>
      <queryTableField id="3" name="Designação" tableColumnId="3"/>
      <queryTableField id="4" name="Qtd." tableColumnId="4"/>
      <queryTableField id="5" name="Prç Uni" tableColumnId="5"/>
      <queryTableField id="6" name="Desc 1" tableColumnId="6"/>
      <queryTableField id="7" name="Desc 2" tableColumnId="7"/>
      <queryTableField id="8" name="Prç Uni c/ Desc" tableColumnId="8"/>
      <queryTableField id="9" name="Total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0543D93C-3032-4C3A-8817-E1272F3ABAB2}" autoFormatId="16" applyNumberFormats="0" applyBorderFormats="0" applyFontFormats="0" applyPatternFormats="0" applyAlignmentFormats="0" applyWidthHeightFormats="0">
  <queryTableRefresh nextId="10">
    <queryTableFields count="9">
      <queryTableField id="1" name="Fatura" tableColumnId="1"/>
      <queryTableField id="2" name="Referência" tableColumnId="2"/>
      <queryTableField id="3" name="Designação" tableColumnId="3"/>
      <queryTableField id="4" name="Qtd." tableColumnId="4"/>
      <queryTableField id="5" name="Prç Uni" tableColumnId="5"/>
      <queryTableField id="6" name="Desc 1" tableColumnId="6"/>
      <queryTableField id="7" name="Desc 2" tableColumnId="7"/>
      <queryTableField id="8" name="Prç Uni c/ Desc" tableColumnId="8"/>
      <queryTableField id="9" name="Total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E40A50C2-F92E-41F5-9FC4-18BAF17BD619}" autoFormatId="16" applyNumberFormats="0" applyBorderFormats="0" applyFontFormats="0" applyPatternFormats="0" applyAlignmentFormats="0" applyWidthHeightFormats="0">
  <queryTableRefresh nextId="5">
    <queryTableFields count="2">
      <queryTableField id="3" name="Fatura" tableColumnId="3"/>
      <queryTableField id="2" name="Data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B549CFD5-0A0C-4EB0-A921-8EF4621F543D}" autoFormatId="16" applyNumberFormats="0" applyBorderFormats="0" applyFontFormats="0" applyPatternFormats="0" applyAlignmentFormats="0" applyWidthHeightFormats="0">
  <queryTableRefresh nextId="6">
    <queryTableFields count="2">
      <queryTableField id="4" name="Fatura" tableColumnId="4"/>
      <queryTableField id="3" name="Data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5C280FEC-D82B-45DE-9E2A-BDF61745C323}" autoFormatId="16" applyNumberFormats="0" applyBorderFormats="0" applyFontFormats="0" applyPatternFormats="0" applyAlignmentFormats="0" applyWidthHeightFormats="0">
  <queryTableRefresh nextId="3">
    <queryTableFields count="2">
      <queryTableField id="1" name="Fatura" tableColumnId="1"/>
      <queryTableField id="2" name="Data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" xr16:uid="{22672AA9-325C-43D9-A5E8-303306F08105}" autoFormatId="16" applyNumberFormats="0" applyBorderFormats="0" applyFontFormats="0" applyPatternFormats="0" applyAlignmentFormats="0" applyWidthHeightFormats="0">
  <queryTableRefresh nextId="13" unboundColumnsRight="1">
    <queryTableFields count="11">
      <queryTableField id="1" name="Fatura" tableColumnId="1"/>
      <queryTableField id="2" name="Referência" tableColumnId="2"/>
      <queryTableField id="3" name="Designação" tableColumnId="3"/>
      <queryTableField id="4" name="Qtd." tableColumnId="4"/>
      <queryTableField id="5" name="Prç Uni" tableColumnId="5"/>
      <queryTableField id="6" name="Desc 1" tableColumnId="6"/>
      <queryTableField id="7" name="Desc 2" tableColumnId="7"/>
      <queryTableField id="8" name="Prç Uni c/ Desc" tableColumnId="8"/>
      <queryTableField id="9" name="Total" tableColumnId="9"/>
      <queryTableField id="11" name="Data" tableColumnId="10"/>
      <queryTableField id="12" dataBound="0" tableColumnId="11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CB22F6BC-B0FC-407C-BCA9-DAA96C5AC3A5}" autoFormatId="16" applyNumberFormats="0" applyBorderFormats="0" applyFontFormats="0" applyPatternFormats="0" applyAlignmentFormats="0" applyWidthHeightFormats="0">
  <queryTableRefresh nextId="21" unboundColumnsRight="1">
    <queryTableFields count="6">
      <queryTableField id="1" name="Source.Name" tableColumnId="1"/>
      <queryTableField id="15" name="Referência" tableColumnId="2"/>
      <queryTableField id="13" name="Designação" tableColumnId="3"/>
      <queryTableField id="16" name="Preço Unitário" tableColumnId="4"/>
      <queryTableField id="20" name="Data" tableColumnId="7"/>
      <queryTableField id="18" dataBound="0" tableColumnId="5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2D1FC6B4-88DE-4B2F-B909-4281C9855F76}" autoFormatId="16" applyNumberFormats="0" applyBorderFormats="0" applyFontFormats="0" applyPatternFormats="0" applyAlignmentFormats="0" applyWidthHeightFormats="0">
  <queryTableRefresh nextId="32" unboundColumnsRight="1">
    <queryTableFields count="7">
      <queryTableField id="19" name="Fatura" tableColumnId="8"/>
      <queryTableField id="20" name="Referência" tableColumnId="9"/>
      <queryTableField id="13" name="Designação" tableColumnId="3"/>
      <queryTableField id="23" name="Qtd." tableColumnId="10"/>
      <queryTableField id="25" name="Prç uni" tableColumnId="11"/>
      <queryTableField id="17" name="Valor Ilíquido" tableColumnId="6"/>
      <queryTableField id="27" dataBound="0" tableColumnId="12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1C70BDDA-7659-41D0-8979-2630D26BDFD7}" autoFormatId="16" applyNumberFormats="0" applyBorderFormats="0" applyFontFormats="0" applyPatternFormats="0" applyAlignmentFormats="0" applyWidthHeightFormats="0">
  <queryTableRefresh nextId="23" unboundColumnsRight="1">
    <queryTableFields count="10">
      <queryTableField id="11" name="Fatura" tableColumnId="11"/>
      <queryTableField id="12" name="Referência" tableColumnId="12"/>
      <queryTableField id="3" name="Designação" tableColumnId="3"/>
      <queryTableField id="13" name="Qtd." tableColumnId="13"/>
      <queryTableField id="17" name="Prç Uni" tableColumnId="14"/>
      <queryTableField id="18" name="Desc1" tableColumnId="15"/>
      <queryTableField id="19" name="Desc2" tableColumnId="16"/>
      <queryTableField id="20" name="Valor Ilíquido" tableColumnId="17"/>
      <queryTableField id="21" name="IVA" tableColumnId="18"/>
      <queryTableField id="22" dataBound="0" tableColumnId="19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5" xr16:uid="{FA95A6C7-1530-4272-AF07-84084C088C88}" autoFormatId="16" applyNumberFormats="0" applyBorderFormats="0" applyFontFormats="0" applyPatternFormats="0" applyAlignmentFormats="0" applyWidthHeightFormats="0">
  <queryTableRefresh nextId="12" unboundColumnsRight="1">
    <queryTableFields count="10">
      <queryTableField id="1" name="Fatura" tableColumnId="1"/>
      <queryTableField id="2" name="Referência" tableColumnId="2"/>
      <queryTableField id="3" name="Designação" tableColumnId="3"/>
      <queryTableField id="4" name="Qtd." tableColumnId="4"/>
      <queryTableField id="5" name="Prç Uni" tableColumnId="5"/>
      <queryTableField id="8" name="Valor Ilíquido" tableColumnId="8"/>
      <queryTableField id="6" name="Desc1" tableColumnId="6"/>
      <queryTableField id="7" name="Desc2" tableColumnId="7"/>
      <queryTableField id="9" name="IVA" tableColumnId="9"/>
      <queryTableField id="10" dataBound="0" tableColumnId="10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7181E60D-1D8F-47FC-9F0A-0E17B2288BC6}" autoFormatId="16" applyNumberFormats="0" applyBorderFormats="0" applyFontFormats="0" applyPatternFormats="0" applyAlignmentFormats="0" applyWidthHeightFormats="0">
  <queryTableRefresh nextId="3">
    <queryTableFields count="2">
      <queryTableField id="1" name="Fatura" tableColumnId="1"/>
      <queryTableField id="2" name="Data" tableColumnId="2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4" xr16:uid="{08275CD8-E71D-448C-80CF-1151D6CD8C78}" autoFormatId="16" applyNumberFormats="0" applyBorderFormats="0" applyFontFormats="0" applyPatternFormats="0" applyAlignmentFormats="0" applyWidthHeightFormats="0">
  <queryTableRefresh nextId="25">
    <queryTableFields count="2">
      <queryTableField id="22" name="Fatura" tableColumnId="22"/>
      <queryTableField id="24" name="Data" tableColumnId="23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9" xr16:uid="{E981616E-E273-433A-85F6-93CF384373A1}" autoFormatId="16" applyNumberFormats="0" applyBorderFormats="0" applyFontFormats="0" applyPatternFormats="0" applyAlignmentFormats="0" applyWidthHeightFormats="0">
  <queryTableRefresh nextId="3">
    <queryTableFields count="2">
      <queryTableField id="1" name="Fatura" tableColumnId="1"/>
      <queryTableField id="2" name="Data" tableColumnId="2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3" xr16:uid="{A0FE6FFE-AE96-4711-9465-E0EABA4388E5}" autoFormatId="16" applyNumberFormats="0" applyBorderFormats="0" applyFontFormats="0" applyPatternFormats="0" applyAlignmentFormats="0" applyWidthHeightFormats="0">
  <queryTableRefresh nextId="13">
    <queryTableFields count="11">
      <queryTableField id="11" name="Fornecedor" tableColumnId="11"/>
      <queryTableField id="1" name="Fatura" tableColumnId="1"/>
      <queryTableField id="2" name="Referência" tableColumnId="2"/>
      <queryTableField id="3" name="Designação" tableColumnId="3"/>
      <queryTableField id="4" name="Qtd." tableColumnId="4"/>
      <queryTableField id="5" name="Prç Uni" tableColumnId="5"/>
      <queryTableField id="6" name="Desc1" tableColumnId="6"/>
      <queryTableField id="7" name="Desc2" tableColumnId="7"/>
      <queryTableField id="8" name="Valor Ilíquido" tableColumnId="8"/>
      <queryTableField id="9" name="IVA" tableColumnId="9"/>
      <queryTableField id="10" name="Data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58D29A0-1DF2-4163-B098-BEEBAE532BB0}" name="Indusmelec_FT" displayName="Indusmelec_FT" ref="A1:I211" tableType="queryTable" totalsRowShown="0">
  <autoFilter ref="A1:I211" xr:uid="{158D29A0-1DF2-4163-B098-BEEBAE532BB0}"/>
  <tableColumns count="9">
    <tableColumn id="12" xr3:uid="{BCA2C919-F5D2-4436-9B65-DFAD3756D13E}" uniqueName="12" name="Fatura" queryTableFieldId="12" dataDxfId="71"/>
    <tableColumn id="2" xr3:uid="{3148A19F-2DB2-4C60-A488-0D5F321C345A}" uniqueName="2" name="Referência" queryTableFieldId="2"/>
    <tableColumn id="3" xr3:uid="{ABC08ED8-CAA3-4469-82BF-0DE8067CDA57}" uniqueName="3" name="Designação" queryTableFieldId="3"/>
    <tableColumn id="6" xr3:uid="{C8E6C7A8-E28D-45F3-864E-B09B6195EBE3}" uniqueName="6" name="Qtd." queryTableFieldId="6" dataDxfId="70"/>
    <tableColumn id="8" xr3:uid="{1BA93E14-0796-4A9F-BB9E-FD625F0C5E03}" uniqueName="8" name="Prç Uni" queryTableFieldId="8" dataDxfId="69"/>
    <tableColumn id="9" xr3:uid="{36897914-1A11-47D4-AAF1-17AC250679F1}" uniqueName="9" name="Desc 1" queryTableFieldId="9" dataDxfId="68"/>
    <tableColumn id="10" xr3:uid="{A6C2FDAD-F8F3-4C36-9295-39E725EE4BF9}" uniqueName="10" name="Desc 2" queryTableFieldId="10" dataDxfId="67"/>
    <tableColumn id="14" xr3:uid="{793C37F5-F2CD-4496-900D-326906BE2DA7}" uniqueName="14" name="Prç Uni c/ Desc" queryTableFieldId="16"/>
    <tableColumn id="11" xr3:uid="{29B806FF-DDD1-48C0-89A6-4465194CA900}" uniqueName="11" name="Total" queryTableFieldId="11" dataDxfId="6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E2E0667-4F56-4048-A36D-BE0F43E048C1}" name="Indusmelec_FT_G" displayName="Indusmelec_FT_G" ref="A1:I198" tableType="queryTable" totalsRowShown="0">
  <autoFilter ref="A1:I198" xr:uid="{DE2E0667-4F56-4048-A36D-BE0F43E048C1}"/>
  <tableColumns count="9">
    <tableColumn id="1" xr3:uid="{42696119-DA0E-4D1A-B3F7-A00B1469B1AE}" uniqueName="1" name="Fatura" queryTableFieldId="1" dataDxfId="65"/>
    <tableColumn id="2" xr3:uid="{7B9C6B18-704D-4FDE-B934-A600DE3BE8FC}" uniqueName="2" name="Referência" queryTableFieldId="2" dataDxfId="64"/>
    <tableColumn id="3" xr3:uid="{5F35DD2C-76E7-4B05-952E-03B433B999EF}" uniqueName="3" name="Designação" queryTableFieldId="3"/>
    <tableColumn id="4" xr3:uid="{9EF58EC9-571C-474D-B813-7D523CA28286}" uniqueName="4" name="Qtd." queryTableFieldId="4"/>
    <tableColumn id="5" xr3:uid="{59C5F884-4898-4340-8616-7EF96B7DCC23}" uniqueName="5" name="Prç Uni" queryTableFieldId="5"/>
    <tableColumn id="6" xr3:uid="{F5E71337-5B7B-406A-908A-8C271D637BAF}" uniqueName="6" name="Desc 1" queryTableFieldId="6"/>
    <tableColumn id="7" xr3:uid="{8DB5042B-9950-4022-ADA5-220D10FFDAA2}" uniqueName="7" name="Desc 2" queryTableFieldId="7"/>
    <tableColumn id="8" xr3:uid="{2E071783-B005-4CDE-BDC5-D660AC3ED3D6}" uniqueName="8" name="Prç Uni c/ Desc" queryTableFieldId="8"/>
    <tableColumn id="9" xr3:uid="{2B3401E2-843E-469E-B88D-B0C47F392383}" uniqueName="9" name="Total" queryTableField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BD7628B2-4E95-4EB3-9575-0265C6EC32C0}" name="Indusmelec_Comb" displayName="Indusmelec_Comb" ref="A1:I408" tableType="queryTable" totalsRowShown="0">
  <autoFilter ref="A1:I408" xr:uid="{BD7628B2-4E95-4EB3-9575-0265C6EC32C0}"/>
  <tableColumns count="9">
    <tableColumn id="1" xr3:uid="{600772E9-7731-416B-971A-8E3A2A9E7C3B}" uniqueName="1" name="Fatura" queryTableFieldId="1" dataDxfId="63"/>
    <tableColumn id="2" xr3:uid="{FC84723E-ADAB-4B0D-A6DB-6C4E56B7473C}" uniqueName="2" name="Referência" queryTableFieldId="2"/>
    <tableColumn id="3" xr3:uid="{8175C281-5211-4467-9892-2F66A231635D}" uniqueName="3" name="Designação" queryTableFieldId="3"/>
    <tableColumn id="4" xr3:uid="{0FAB8CFC-413D-4D66-A31A-0F7F04A6F741}" uniqueName="4" name="Qtd." queryTableFieldId="4"/>
    <tableColumn id="5" xr3:uid="{33CB9D7B-DEBF-4AA4-9184-4BDD19035CA6}" uniqueName="5" name="Prç Uni" queryTableFieldId="5"/>
    <tableColumn id="6" xr3:uid="{940C4B5E-7187-4609-8C52-1AA87929EAC4}" uniqueName="6" name="Desc 1" queryTableFieldId="6"/>
    <tableColumn id="7" xr3:uid="{FF8D1D25-CBCB-484D-8F03-95A979DF3EE2}" uniqueName="7" name="Desc 2" queryTableFieldId="7"/>
    <tableColumn id="8" xr3:uid="{21F0D775-09F1-41DB-91A9-B5D9E08179F7}" uniqueName="8" name="Prç Uni c/ Desc" queryTableFieldId="8"/>
    <tableColumn id="9" xr3:uid="{18B0A1E3-7158-4AFE-87DF-456CD6E72D75}" uniqueName="9" name="Total" queryTableField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EE35D1D-BEFB-426D-A6CB-4297C740CC19}" name="Indusmelec_FT_Data" displayName="Indusmelec_FT_Data" ref="A1:B81" tableType="queryTable" totalsRowShown="0">
  <autoFilter ref="A1:B81" xr:uid="{2EE35D1D-BEFB-426D-A6CB-4297C740CC19}"/>
  <tableColumns count="2">
    <tableColumn id="3" xr3:uid="{53D1896B-98CF-4E3E-9151-1C6A972619E7}" uniqueName="3" name="Fatura" queryTableFieldId="3" dataDxfId="62"/>
    <tableColumn id="2" xr3:uid="{193E936C-4F0E-4337-BDAA-515584740D80}" uniqueName="2" name="Data" queryTableFieldId="2" dataDxfId="6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A0CBD96-358A-4776-B4E3-3E80DE53FD22}" name="Indusmelec" displayName="Indusmelec" ref="A1:I97" totalsRowShown="0">
  <autoFilter ref="A1:I97" xr:uid="{EA0CBD96-358A-4776-B4E3-3E80DE53FD22}"/>
  <tableColumns count="9">
    <tableColumn id="10" xr3:uid="{BEFFC450-3549-4B7F-9878-3285023249B1}" name="Fatura" dataDxfId="60"/>
    <tableColumn id="2" xr3:uid="{21A25FCB-E62D-4030-8A8E-4496ACF2ACD8}" name="Referência" dataDxfId="59"/>
    <tableColumn id="11" xr3:uid="{20E6367D-AFB2-43F1-806A-FE7BFFA0F1BC}" name="Designação"/>
    <tableColumn id="4" xr3:uid="{BFA1E5A0-A897-481B-982E-303E573777B5}" name="Qtd."/>
    <tableColumn id="6" xr3:uid="{533F95BF-A3F5-402B-9F0A-1CAC97AE7C6B}" name="Prç Uni" dataDxfId="58"/>
    <tableColumn id="7" xr3:uid="{C7E923AB-F96E-450C-AC53-C5A82604614C}" name="Desc 1" dataDxfId="57" dataCellStyle="Percent"/>
    <tableColumn id="8" xr3:uid="{43219A51-9CE0-4E04-B219-65E71004935D}" name="Desc 2" dataDxfId="56" dataCellStyle="Percent"/>
    <tableColumn id="13" xr3:uid="{64E68420-942D-4F8A-9DA8-0F26971A2C62}" name="Prç Uni c/ desconto" dataCellStyle="Percent"/>
    <tableColumn id="9" xr3:uid="{61A71328-B596-4F50-917C-75A3DB169011}" name="Total" dataDxfId="5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131D008-D7F6-4D6E-8CE7-DE8E0F013238}" name="Indusmelec__2" displayName="Indusmelec__2" ref="A1:I57" totalsRowShown="0">
  <autoFilter ref="A1:I57" xr:uid="{D131D008-D7F6-4D6E-8CE7-DE8E0F013238}">
    <filterColumn colId="1">
      <filters>
        <filter val="017.RZ1K5G6VD"/>
      </filters>
    </filterColumn>
  </autoFilter>
  <tableColumns count="9">
    <tableColumn id="9" xr3:uid="{4CD59CBD-DA69-436E-A149-7B99DBD7643C}" name="Fatura" dataDxfId="54"/>
    <tableColumn id="2" xr3:uid="{5C7AC75C-13A9-4FDB-90C3-37520352B29E}" name="Referência" dataDxfId="53"/>
    <tableColumn id="3" xr3:uid="{9BFB705F-0EF0-4611-8F63-DF7F78F4F89E}" name="Designação"/>
    <tableColumn id="4" xr3:uid="{FA47BBCC-D9F4-4563-A2BB-6D7D07A13E42}" name="Qtd."/>
    <tableColumn id="5" xr3:uid="{5684CC15-A95D-47B7-9944-64CC903147BA}" name="Prç Uni" dataDxfId="52"/>
    <tableColumn id="6" xr3:uid="{0E9A6632-45D8-49FB-9C69-EA6FAF4AE3A0}" name="Desc 1" dataDxfId="51" dataCellStyle="Percent"/>
    <tableColumn id="7" xr3:uid="{4B079186-ABC3-404F-9ED2-AA82EFC6E088}" name="Desc 2" dataDxfId="50" dataCellStyle="Percent"/>
    <tableColumn id="10" xr3:uid="{CACABE0D-C2BF-4BAF-8260-927BFB1686C9}" name="Prç Uni c/ desconto" dataDxfId="49" dataCellStyle="Percent"/>
    <tableColumn id="8" xr3:uid="{9C9B5529-F263-4628-B7FF-DCBC0BC2CA85}" name="Total" dataDxfId="48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A1BEB96-2399-4FEB-9DE9-A2299CB42FCC}" name="Indusmelec_FT_G_Data" displayName="Indusmelec_FT_G_Data" ref="A1:B166" tableType="queryTable" totalsRowShown="0">
  <autoFilter ref="A1:B166" xr:uid="{0A1BEB96-2399-4FEB-9DE9-A2299CB42FCC}"/>
  <tableColumns count="2">
    <tableColumn id="4" xr3:uid="{81B019B3-8928-41AD-A2E5-959815AEF629}" uniqueName="4" name="Fatura" queryTableFieldId="4" dataDxfId="47"/>
    <tableColumn id="3" xr3:uid="{42386B48-9C73-4EA7-A209-27A947FD068B}" uniqueName="3" name="Data" queryTableFieldId="3" dataDxfId="46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5CA79C5-33DA-47D1-9752-CE09C6D0019E}" name="Indusmelec_Data" displayName="Indusmelec_Data" ref="A1:B246" tableType="queryTable" totalsRowShown="0">
  <autoFilter ref="A1:B246" xr:uid="{95CA79C5-33DA-47D1-9752-CE09C6D0019E}"/>
  <tableColumns count="2">
    <tableColumn id="1" xr3:uid="{25868827-98A8-4251-A969-BAFD33F9ABA7}" uniqueName="1" name="Fatura" queryTableFieldId="1" dataDxfId="45"/>
    <tableColumn id="2" xr3:uid="{93C63A1F-4BA9-4E6C-80D5-E59F68FB0ED5}" uniqueName="2" name="Data" queryTableFieldId="2" dataDxfId="44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DE50546-D0BF-4BE4-8CE9-CB51A2B90872}" name="Append23" displayName="Append23" ref="A1:F94" totalsRowShown="0">
  <autoFilter ref="A1:F94" xr:uid="{F36933ED-878A-4F4E-8449-4CC6017A7A80}"/>
  <tableColumns count="6">
    <tableColumn id="1" xr3:uid="{7BDAE22C-04A1-46C8-B521-4A604B8FBD25}" name="Fatura" dataDxfId="43"/>
    <tableColumn id="2" xr3:uid="{39E21C2A-2479-49F4-8BCA-E304A21607A9}" name="Referência" dataDxfId="42"/>
    <tableColumn id="3" xr3:uid="{B16B9D00-AF12-4A51-AC53-A6D1F9367D57}" name="Designação"/>
    <tableColumn id="5" xr3:uid="{4B75C318-BC83-4CC3-9F76-DAC82ECC5A19}" name="Prç Uni" dataDxfId="41" dataCellStyle="Currency"/>
    <tableColumn id="10" xr3:uid="{10FFC821-725C-42C8-9AE7-3F48C3F96F50}" name="Prç Uni c/ desconto" dataDxfId="40" dataCellStyle="Percent"/>
    <tableColumn id="4" xr3:uid="{1E5DB3E3-FF56-4154-A49C-046004A5CC0E}" name="LastOccurrence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B4F4A1B1-9979-4C3A-955E-105B62E1E56B}" name="Indusmelec_Total" displayName="Indusmelec_Total" ref="A1:K439" tableType="queryTable" totalsRowShown="0">
  <autoFilter ref="A1:K439" xr:uid="{B4F4A1B1-9979-4C3A-955E-105B62E1E56B}">
    <filterColumn colId="2">
      <filters>
        <filter val="35/17.5 AZUL TUBO TERMORETRACTIL"/>
        <filter val="35/17.5 CASTANHO TUBO TERMORETRACTIL"/>
        <filter val="35/17.5 CINZENTO TUBO TERMORETRACTIL"/>
        <filter val="35/17.5 PRETO TUBO TERMORETRACTIL"/>
        <filter val="35/17.5 VERDE/AMARELO TUBO TERMORETRACTIL"/>
        <filter val="50/26 AZUL TUBO TERMORETRATIL"/>
        <filter val="50/26 CASTANHO TUBO TERMORETRACTIL"/>
        <filter val="50/26 CINZENTO TUBO TERMORETRACTIL"/>
        <filter val="50/26 PRETO TUBO TERMORETRACTIL"/>
        <filter val="50/26 VERDE/AMARELO TUBO TERMORETRACTIL"/>
        <filter val="Termorectrátil XBPT1 13,0-6,5 Preto (1Mt) 39173200"/>
        <filter val="Termorectrátil XBPT1 20,0-10,0 Cinzento (1Mt) 39173200"/>
        <filter val="Termorectrátil XBPT1 25,0-12,5 Azul (1Mt) 39173200"/>
        <filter val="Termorectrátil XBPT1 25,0-12,5 Castanho (1Mt) 39173200"/>
        <filter val="Termorectrátil XBPT1 25,0-12,5 Cinzento (1Mt) 39173200"/>
        <filter val="Termorectrátil XBPT1 32,0-16,0 Amar./Verde (1 Mt.)"/>
        <filter val="Termorectrátil XBPT1 32,0-16,0 Azul (1 Mt.) 39173200"/>
        <filter val="Termorectrátil XBPT1 32,0-16,0 Castanho (1 Mt.) 39173200"/>
        <filter val="Termorectrátil XBPT1 32,0-16,0 Cinzento (1 Mt.) 39173200"/>
        <filter val="Termorectrátil XBPT1 32,0-16,0 Preto (1 Mt.) 39173200"/>
      </filters>
    </filterColumn>
  </autoFilter>
  <sortState xmlns:xlrd2="http://schemas.microsoft.com/office/spreadsheetml/2017/richdata2" ref="A2:K439">
    <sortCondition ref="B1:B439"/>
  </sortState>
  <tableColumns count="11">
    <tableColumn id="1" xr3:uid="{1DD7DEEF-8E58-44BC-8042-ADB2A43014E3}" uniqueName="1" name="Fatura" queryTableFieldId="1" dataDxfId="39"/>
    <tableColumn id="2" xr3:uid="{94528626-6C18-41CB-B0B1-FABCD8F8ED68}" uniqueName="2" name="Referência" queryTableFieldId="2"/>
    <tableColumn id="3" xr3:uid="{257F6A9B-438D-4476-A5BD-DE7DDD9C9CEA}" uniqueName="3" name="Designação" queryTableFieldId="3"/>
    <tableColumn id="4" xr3:uid="{8889174A-FD4D-4833-875F-6C448E2DA156}" uniqueName="4" name="Qtd." queryTableFieldId="4"/>
    <tableColumn id="5" xr3:uid="{B9CF7B7A-DE09-4529-9009-8080D260F4EC}" uniqueName="5" name="Prç Uni" queryTableFieldId="5"/>
    <tableColumn id="6" xr3:uid="{1A0379CA-4F63-488D-8F5B-90347B7B0325}" uniqueName="6" name="Desc 1" queryTableFieldId="6"/>
    <tableColumn id="7" xr3:uid="{4A44BFD8-577C-49F8-A394-1F70B01E4D84}" uniqueName="7" name="Desc 2" queryTableFieldId="7"/>
    <tableColumn id="8" xr3:uid="{D6D0E7C0-A4FF-43FC-8990-A10BC29E7467}" uniqueName="8" name="Prç Uni c/ Desc" queryTableFieldId="8"/>
    <tableColumn id="9" xr3:uid="{DB8984E5-8245-4A3E-BC08-EED870181F52}" uniqueName="9" name="Total" queryTableFieldId="9"/>
    <tableColumn id="10" xr3:uid="{8E01CDEA-8A5C-44F6-ACF1-2187F697CA68}" uniqueName="10" name="Data" queryTableFieldId="11" dataDxfId="38"/>
    <tableColumn id="11" xr3:uid="{CDD9B52A-BE4B-4071-830F-0EF7DB3F59D2}" uniqueName="11" name="Total2" queryTableFieldId="12" dataDxfId="37">
      <calculatedColumnFormula>Indusmelec_Total[[#This Row],[Prç Uni c/ Desc]]*Indusmelec_Total[[#This Row],[Qtd.]]</calculatedColumnFormula>
    </tableColumn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237B9F5-9823-4FF5-BFCB-63E112D5B599}" name="JMM" displayName="JMM" ref="A1:F129" tableType="queryTable" totalsRowShown="0">
  <autoFilter ref="A1:F129" xr:uid="{D237B9F5-9823-4FF5-BFCB-63E112D5B599}">
    <filterColumn colId="2">
      <filters>
        <filter val="CABO H07V-K (FV) 4 V/A"/>
        <filter val="CABO H07V-K (FV) 6 V/A"/>
        <filter val="CABO HI-FLEX CY 2X1,5 (=LIYCY)"/>
      </filters>
    </filterColumn>
  </autoFilter>
  <tableColumns count="6">
    <tableColumn id="1" xr3:uid="{294FD92A-67BE-44FC-B8E5-1842416803B3}" uniqueName="1" name="Source.Name" queryTableFieldId="1" dataDxfId="36"/>
    <tableColumn id="2" xr3:uid="{5B4AEA52-F65E-4E89-9610-F0432D1D3109}" uniqueName="2" name="Referência" queryTableFieldId="15" dataDxfId="35"/>
    <tableColumn id="3" xr3:uid="{A5A7193F-72BE-4302-BF4D-514E78345F60}" uniqueName="3" name="Designação" queryTableFieldId="13"/>
    <tableColumn id="4" xr3:uid="{DE499B26-6530-4468-A5B8-F7B61B8C0350}" uniqueName="4" name="Preço Unitário" queryTableFieldId="16" dataDxfId="34"/>
    <tableColumn id="7" xr3:uid="{D882CFA6-50C8-47BA-8284-6791B974D05F}" uniqueName="7" name="Data" queryTableFieldId="20" dataDxfId="33"/>
    <tableColumn id="5" xr3:uid="{60364F44-1A3B-4679-86E9-C421E9026B6E}" uniqueName="5" name="Preço unitário atualizado" queryTableFieldId="18" dataDxfId="32">
      <calculatedColumnFormula>JMM[[#This Row],[Preço Unitário]]*1.24</calculatedColumnFormula>
    </tableColumn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84DBB58-CA6A-4321-89B6-18AAE6005031}" name="JMM_Fatura" displayName="JMM_Fatura" ref="A1:G117" tableType="queryTable" totalsRowShown="0">
  <autoFilter ref="A1:G117" xr:uid="{584DBB58-CA6A-4321-89B6-18AAE6005031}"/>
  <tableColumns count="7">
    <tableColumn id="8" xr3:uid="{80A211BA-514B-4C15-BEA9-EE9147A9E439}" uniqueName="8" name="Fatura" queryTableFieldId="19" dataDxfId="31"/>
    <tableColumn id="9" xr3:uid="{901E3E15-0EF3-4C43-821B-A833CF0C1446}" uniqueName="9" name="Referência" queryTableFieldId="20" dataDxfId="30"/>
    <tableColumn id="3" xr3:uid="{FA3DFDB1-0EA0-4DFB-8C6D-6586D169FA84}" uniqueName="3" name="Designação" queryTableFieldId="13"/>
    <tableColumn id="10" xr3:uid="{134356FD-BA95-4D70-9843-3937C648DE13}" uniqueName="10" name="Qtd." queryTableFieldId="23"/>
    <tableColumn id="11" xr3:uid="{E7E8B3C4-502E-40F8-894C-A411B0A914CB}" uniqueName="11" name="Prç Uni" queryTableFieldId="25"/>
    <tableColumn id="6" xr3:uid="{F94A710F-7394-4555-99EA-7F405F9336AA}" uniqueName="6" name="Valor Ilíquido" queryTableFieldId="17"/>
    <tableColumn id="12" xr3:uid="{BE64515C-D3FD-4583-8750-639C432C7A35}" uniqueName="12" name="Total" queryTableFieldId="27" dataDxfId="29">
      <calculatedColumnFormula>JMM_Fatura[[#This Row],[Valor Ilíquido]]*(1+#REF!)</calculatedColumnFormula>
    </tableColumn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5A13939-AC7A-4F69-8262-43E08B18D331}" name="JMM_Fatura_Recibo" displayName="JMM_Fatura_Recibo" ref="A1:J34" tableType="queryTable" totalsRowShown="0">
  <autoFilter ref="A1:J34" xr:uid="{95A13939-AC7A-4F69-8262-43E08B18D331}"/>
  <tableColumns count="10">
    <tableColumn id="11" xr3:uid="{4A3323E5-4A93-41D2-99A2-37007FA55076}" uniqueName="11" name="Fatura" queryTableFieldId="11" dataDxfId="28"/>
    <tableColumn id="12" xr3:uid="{D28DCCFE-8A02-4B18-953B-36E182656DC2}" uniqueName="12" name="Referência" queryTableFieldId="12" dataDxfId="27"/>
    <tableColumn id="3" xr3:uid="{A38711B4-A93E-45A4-9D60-AF4BCC1454A8}" uniqueName="3" name="Designação" queryTableFieldId="3"/>
    <tableColumn id="13" xr3:uid="{A0540600-1965-417E-A5A0-8782EEBEA223}" uniqueName="13" name="Qtd." queryTableFieldId="13" dataDxfId="26"/>
    <tableColumn id="14" xr3:uid="{CF27B758-0AE0-40F3-981B-A5886F376931}" uniqueName="14" name="Prç Uni" queryTableFieldId="17" dataDxfId="25"/>
    <tableColumn id="15" xr3:uid="{85B8D60C-6C65-4428-B510-DE75274C7601}" uniqueName="15" name="Desc1" queryTableFieldId="18" dataDxfId="24"/>
    <tableColumn id="16" xr3:uid="{C53F237B-BBDE-49B7-99EA-7B2C28D31AE0}" uniqueName="16" name="Desc2" queryTableFieldId="19"/>
    <tableColumn id="17" xr3:uid="{D92230F1-C20C-4E68-9FE3-E52CAD6C05ED}" uniqueName="17" name="Valor Ilíquido" queryTableFieldId="20" dataDxfId="23"/>
    <tableColumn id="18" xr3:uid="{166F0F78-7068-4351-8A89-4CB3834AE91C}" uniqueName="18" name="IVA" queryTableFieldId="21"/>
    <tableColumn id="19" xr3:uid="{6C149C1E-7C6E-4236-A5B3-ADD212230405}" uniqueName="19" name="Total" queryTableFieldId="22" dataDxfId="22">
      <calculatedColumnFormula>JMM_Fatura_Recibo[[#This Row],[Valor Ilíquido]]*(1+JMM_Fatura_Recibo[[#This Row],[IVA]])</calculatedColumnFormula>
    </tableColumn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14571F0-AD0E-4236-92D7-24D930A2EB2D}" name="JMM_Total" displayName="JMM_Total" ref="A1:J150" tableType="queryTable" totalsRowShown="0">
  <autoFilter ref="A1:J150" xr:uid="{C14571F0-AD0E-4236-92D7-24D930A2EB2D}">
    <filterColumn colId="2">
      <filters>
        <filter val="CABO CAELIFLEX 12G1,5 (= JZ500)"/>
        <filter val="CABO H07V-K (FV) 4 V/A"/>
        <filter val="CABO H07V-K (FV) 6 V/A"/>
        <filter val="CABO HI-FLEX CY 2X1,5 (=LIYCY)"/>
        <filter val="CABO LXV 1X150"/>
        <filter val="CABO LXV 1X35"/>
        <filter val="CABO LXV 1X50"/>
        <filter val="CABO LXV 1X95"/>
        <filter val="CABO PAAR-TRONIC-CY 1X2X1,5 (017053)"/>
        <filter val="CABO RV-K 1X150 0,6/1KV FLEXIVEL PT"/>
        <filter val="CABO RV-K 1X50 0,6/1KV FLEXIVEL PT"/>
        <filter val="CABO RV-K 5G10 0,6/1KV FLEXIVEL PT"/>
        <filter val="CABO RV-K 5G16 0,6/1KV FLEXIVEL PT"/>
        <filter val="CABO RV-K 5G25 0,6/1KV FLEXIVEL PT"/>
        <filter val="CABO RZ1-K 5G10 0,6/1KV VERDE= FXG"/>
        <filter val="CABO RZ1-K 5G16 0,6/1KV VERDE= FXG"/>
        <filter val="CABO RZ1-K 5G2,5 0,6/1KV VERDE = FXG"/>
        <filter val="CABO XV 1X150 1KV PT"/>
        <filter val="CABO XV 1X25 1KV PT"/>
      </filters>
    </filterColumn>
  </autoFilter>
  <tableColumns count="10">
    <tableColumn id="1" xr3:uid="{98971FCA-206B-49AB-9D25-B46C5EF08A50}" uniqueName="1" name="Fatura" queryTableFieldId="1" dataDxfId="21"/>
    <tableColumn id="2" xr3:uid="{9D43A381-7DAA-4A22-87E7-CF8850456022}" uniqueName="2" name="Referência" queryTableFieldId="2" dataDxfId="20"/>
    <tableColumn id="3" xr3:uid="{4067195F-E6A5-425E-BB49-8F64E15CA8F1}" uniqueName="3" name="Designação" queryTableFieldId="3"/>
    <tableColumn id="4" xr3:uid="{0D280572-2BD6-4481-895C-0621F51A65DA}" uniqueName="4" name="Qtd." queryTableFieldId="4" dataDxfId="19"/>
    <tableColumn id="5" xr3:uid="{ECEFEA25-16C3-4A51-BAD4-DD1661709C37}" uniqueName="5" name="Prç Uni" queryTableFieldId="5" dataDxfId="18"/>
    <tableColumn id="8" xr3:uid="{90C3E167-A793-429A-87A6-E46155E77D69}" uniqueName="8" name="Valor Ilíquido" queryTableFieldId="8" dataDxfId="17"/>
    <tableColumn id="6" xr3:uid="{ACF0347B-4939-4187-960B-E66A56050A21}" uniqueName="6" name="Desc1" queryTableFieldId="6" dataDxfId="16"/>
    <tableColumn id="7" xr3:uid="{9EFBD30E-2286-4E61-AD4F-8E1CB47A37A4}" uniqueName="7" name="Desc2" queryTableFieldId="7" dataDxfId="15"/>
    <tableColumn id="9" xr3:uid="{7B6BB13F-1590-4613-AC78-75A2F03FE745}" uniqueName="9" name="IVA" queryTableFieldId="9" dataDxfId="14" dataCellStyle="Percent"/>
    <tableColumn id="10" xr3:uid="{FA4F64B2-65B9-4179-801D-7F3B14710617}" uniqueName="10" name="Total" queryTableFieldId="10" dataDxfId="13">
      <calculatedColumnFormula>JMM_Total[[#This Row],[Valor Ilíquido]]*(1+JMM_Total[[#This Row],[IVA]])</calculatedColumnFormula>
    </tableColumn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78A674C-1386-4E45-A94B-6153DEA9A142}" name="JMM_F_Data" displayName="JMM_F_Data" ref="A1:B24" tableType="queryTable" totalsRowShown="0">
  <autoFilter ref="A1:B24" xr:uid="{678A674C-1386-4E45-A94B-6153DEA9A142}"/>
  <tableColumns count="2">
    <tableColumn id="1" xr3:uid="{8F181100-EC7C-45ED-A640-F86E34685FDC}" uniqueName="1" name="Fatura" queryTableFieldId="1" dataDxfId="12"/>
    <tableColumn id="2" xr3:uid="{122B0A85-4BD4-40F8-91E9-992C5805B800}" uniqueName="2" name="Data" queryTableFieldId="2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A951FF3D-1560-434A-9E1C-8CC25463E100}" name="JMM_FR_Data" displayName="JMM_FR_Data" ref="A1:B14" tableType="queryTable" totalsRowShown="0">
  <autoFilter ref="A1:B14" xr:uid="{A951FF3D-1560-434A-9E1C-8CC25463E100}"/>
  <tableColumns count="2">
    <tableColumn id="22" xr3:uid="{79D9F1B2-1ED2-4F25-8535-CCDA492D57D1}" uniqueName="22" name="Fatura" queryTableFieldId="22" dataDxfId="11"/>
    <tableColumn id="23" xr3:uid="{B79224B3-802A-4569-9EC1-482912D416FF}" uniqueName="23" name="Data" queryTableFieldId="24" dataDxfId="10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21F9AD65-8769-4D35-A799-22D75A83E5D2}" name="JMM_Data" displayName="JMM_Data" ref="A1:B37" tableType="queryTable" totalsRowShown="0">
  <autoFilter ref="A1:B37" xr:uid="{21F9AD65-8769-4D35-A799-22D75A83E5D2}"/>
  <tableColumns count="2">
    <tableColumn id="1" xr3:uid="{56BA5AF1-228E-49FD-A9EC-B8326D221318}" uniqueName="1" name="Fatura" queryTableFieldId="1" dataDxfId="9"/>
    <tableColumn id="2" xr3:uid="{8C9460BA-1E09-4F93-A3EE-B25C60F993F2}" uniqueName="2" name="Data" queryTableFieldId="2" dataDxfId="8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D0128F6-ECDD-4ADB-9246-D077D56F3FD0}" name="JMM_Final" displayName="JMM_Final" ref="A1:K153" tableType="queryTable" totalsRowShown="0">
  <autoFilter ref="A1:K153" xr:uid="{CD0128F6-ECDD-4ADB-9246-D077D56F3FD0}"/>
  <tableColumns count="11">
    <tableColumn id="11" xr3:uid="{97CA7140-D4A9-4157-A23C-8E0115D6182E}" uniqueName="11" name="Fornecedor" queryTableFieldId="11"/>
    <tableColumn id="1" xr3:uid="{C7A89E27-120F-457D-9876-24B5F761E915}" uniqueName="1" name="Fatura" queryTableFieldId="1" dataDxfId="7"/>
    <tableColumn id="2" xr3:uid="{2B0276E2-0145-44E6-9575-0499A41FBA64}" uniqueName="2" name="Referência" queryTableFieldId="2" dataDxfId="6"/>
    <tableColumn id="3" xr3:uid="{B73F1CAF-94E0-49A5-863D-90B26269BC9E}" uniqueName="3" name="Designação" queryTableFieldId="3"/>
    <tableColumn id="4" xr3:uid="{068CAA48-2CFF-4A23-A805-A6348C8B88D1}" uniqueName="4" name="Qtd." queryTableFieldId="4"/>
    <tableColumn id="5" xr3:uid="{4545E6AD-BEF5-4A3C-AC54-6515EE396EEF}" uniqueName="5" name="Prç Uni" queryTableFieldId="5" dataDxfId="5"/>
    <tableColumn id="6" xr3:uid="{04C7C7A6-1789-402A-B607-69B8E5269D4C}" uniqueName="6" name="Desc1" queryTableFieldId="6" dataDxfId="4"/>
    <tableColumn id="7" xr3:uid="{3C89F93D-2C0A-43AD-858B-C62F3F86907B}" uniqueName="7" name="Desc2" queryTableFieldId="7" dataDxfId="3"/>
    <tableColumn id="8" xr3:uid="{DDFD0F90-5DF8-4D3B-A2C5-A4A9A6FE180F}" uniqueName="8" name="Valor Ilíquido" queryTableFieldId="8" dataDxfId="2"/>
    <tableColumn id="9" xr3:uid="{A4CD1AB3-21D8-4802-9459-C4DDD7CB1E14}" uniqueName="9" name="IVA" queryTableFieldId="9" dataDxfId="1"/>
    <tableColumn id="10" xr3:uid="{26F559A0-7025-4AB9-BB89-1F31575032BB}" uniqueName="10" name="Data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69E6E62-88E2-4A1E-9A7E-6B38924D8ED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a621df03-6130-4dca-80b6-4de83844d867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AE193-80EE-4AAE-837F-780FB5EEE1F9}">
  <dimension ref="A1:I211"/>
  <sheetViews>
    <sheetView workbookViewId="0">
      <selection activeCell="B14" sqref="B14"/>
    </sheetView>
  </sheetViews>
  <sheetFormatPr defaultRowHeight="15"/>
  <cols>
    <col min="1" max="1" width="43.28515625" bestFit="1" customWidth="1"/>
    <col min="2" max="2" width="20.28515625" bestFit="1" customWidth="1"/>
    <col min="3" max="3" width="81.140625" bestFit="1" customWidth="1"/>
    <col min="4" max="4" width="7.140625" bestFit="1" customWidth="1"/>
    <col min="5" max="5" width="9.5703125" bestFit="1" customWidth="1"/>
    <col min="6" max="7" width="8.85546875" bestFit="1" customWidth="1"/>
    <col min="8" max="8" width="16.42578125" bestFit="1" customWidth="1"/>
    <col min="9" max="10" width="8" bestFit="1" customWidth="1"/>
    <col min="11" max="11" width="10" bestFit="1" customWidth="1"/>
    <col min="12" max="13" width="8.85546875" bestFit="1" customWidth="1"/>
    <col min="14" max="14" width="8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>
        <v>80</v>
      </c>
      <c r="E2">
        <v>4.0999999999999996</v>
      </c>
      <c r="F2">
        <v>0</v>
      </c>
      <c r="G2">
        <v>0</v>
      </c>
      <c r="H2">
        <v>4.0999999999999996</v>
      </c>
      <c r="I2">
        <v>328</v>
      </c>
    </row>
    <row r="3" spans="1:9">
      <c r="A3" t="s">
        <v>12</v>
      </c>
      <c r="B3" t="s">
        <v>13</v>
      </c>
      <c r="C3" t="s">
        <v>14</v>
      </c>
      <c r="D3">
        <v>3</v>
      </c>
      <c r="E3">
        <v>3.62</v>
      </c>
      <c r="F3">
        <v>0</v>
      </c>
      <c r="G3">
        <v>0</v>
      </c>
      <c r="H3">
        <v>3.62</v>
      </c>
      <c r="I3">
        <v>10.86</v>
      </c>
    </row>
    <row r="4" spans="1:9">
      <c r="A4" t="s">
        <v>15</v>
      </c>
      <c r="B4" t="s">
        <v>16</v>
      </c>
      <c r="C4" t="s">
        <v>17</v>
      </c>
      <c r="D4">
        <v>10</v>
      </c>
      <c r="E4">
        <v>7.5282999999999998</v>
      </c>
      <c r="F4">
        <v>0.5</v>
      </c>
      <c r="G4">
        <v>0</v>
      </c>
      <c r="H4">
        <v>3.7641499999999999</v>
      </c>
      <c r="I4">
        <v>37.64</v>
      </c>
    </row>
    <row r="5" spans="1:9">
      <c r="A5" t="s">
        <v>18</v>
      </c>
      <c r="B5" t="s">
        <v>19</v>
      </c>
      <c r="C5" t="s">
        <v>20</v>
      </c>
      <c r="D5">
        <v>30</v>
      </c>
      <c r="E5">
        <v>12.44</v>
      </c>
      <c r="F5">
        <v>0.65</v>
      </c>
      <c r="G5">
        <v>0</v>
      </c>
      <c r="H5">
        <v>4.3539999999999992</v>
      </c>
      <c r="I5">
        <v>130.62</v>
      </c>
    </row>
    <row r="6" spans="1:9">
      <c r="A6" t="s">
        <v>18</v>
      </c>
      <c r="B6" t="s">
        <v>13</v>
      </c>
      <c r="C6" t="s">
        <v>14</v>
      </c>
      <c r="D6">
        <v>30</v>
      </c>
      <c r="E6">
        <v>10.41</v>
      </c>
      <c r="F6">
        <v>0.65</v>
      </c>
      <c r="G6">
        <v>0</v>
      </c>
      <c r="H6">
        <v>3.6435</v>
      </c>
      <c r="I6">
        <v>109.31</v>
      </c>
    </row>
    <row r="7" spans="1:9">
      <c r="A7" t="s">
        <v>18</v>
      </c>
      <c r="B7" t="s">
        <v>21</v>
      </c>
      <c r="C7" t="s">
        <v>22</v>
      </c>
      <c r="D7">
        <v>150</v>
      </c>
      <c r="E7">
        <v>3.56</v>
      </c>
      <c r="F7">
        <v>0</v>
      </c>
      <c r="G7">
        <v>0</v>
      </c>
      <c r="H7">
        <v>3.56</v>
      </c>
      <c r="I7">
        <v>534</v>
      </c>
    </row>
    <row r="8" spans="1:9">
      <c r="A8" t="s">
        <v>18</v>
      </c>
      <c r="B8" t="s">
        <v>23</v>
      </c>
      <c r="C8" t="s">
        <v>24</v>
      </c>
      <c r="D8">
        <v>150</v>
      </c>
      <c r="E8">
        <v>2.41</v>
      </c>
      <c r="F8">
        <v>0</v>
      </c>
      <c r="G8">
        <v>0</v>
      </c>
      <c r="H8">
        <v>2.41</v>
      </c>
      <c r="I8">
        <v>361.5</v>
      </c>
    </row>
    <row r="9" spans="1:9">
      <c r="A9" t="s">
        <v>18</v>
      </c>
      <c r="B9" t="s">
        <v>25</v>
      </c>
      <c r="C9" t="s">
        <v>26</v>
      </c>
      <c r="D9">
        <v>10</v>
      </c>
      <c r="E9">
        <v>9.4600000000000009</v>
      </c>
      <c r="F9">
        <v>0.65</v>
      </c>
      <c r="G9">
        <v>0</v>
      </c>
      <c r="H9">
        <v>3.3109999999999999</v>
      </c>
      <c r="I9">
        <v>33.11</v>
      </c>
    </row>
    <row r="10" spans="1:9">
      <c r="A10" t="s">
        <v>18</v>
      </c>
      <c r="B10" t="s">
        <v>27</v>
      </c>
      <c r="C10" t="s">
        <v>28</v>
      </c>
      <c r="D10">
        <v>10</v>
      </c>
      <c r="E10">
        <v>11.09</v>
      </c>
      <c r="F10">
        <v>0.65</v>
      </c>
      <c r="G10">
        <v>0</v>
      </c>
      <c r="H10">
        <v>3.8814999999999995</v>
      </c>
      <c r="I10">
        <v>38.82</v>
      </c>
    </row>
    <row r="11" spans="1:9">
      <c r="A11" t="s">
        <v>18</v>
      </c>
      <c r="B11" t="s">
        <v>29</v>
      </c>
      <c r="C11" t="s">
        <v>30</v>
      </c>
      <c r="D11">
        <v>10</v>
      </c>
      <c r="E11">
        <v>7.84</v>
      </c>
      <c r="F11">
        <v>0.65</v>
      </c>
      <c r="G11">
        <v>0</v>
      </c>
      <c r="H11">
        <v>2.7439999999999998</v>
      </c>
      <c r="I11">
        <v>27.44</v>
      </c>
    </row>
    <row r="12" spans="1:9">
      <c r="A12" t="s">
        <v>18</v>
      </c>
      <c r="B12" t="s">
        <v>31</v>
      </c>
      <c r="C12" t="s">
        <v>32</v>
      </c>
      <c r="D12">
        <v>100</v>
      </c>
      <c r="E12">
        <v>2.27</v>
      </c>
      <c r="F12">
        <v>0</v>
      </c>
      <c r="G12">
        <v>0</v>
      </c>
      <c r="H12">
        <v>2.27</v>
      </c>
      <c r="I12">
        <v>227</v>
      </c>
    </row>
    <row r="13" spans="1:9">
      <c r="A13" t="s">
        <v>18</v>
      </c>
      <c r="B13" t="s">
        <v>33</v>
      </c>
      <c r="C13" t="s">
        <v>34</v>
      </c>
      <c r="D13">
        <v>150</v>
      </c>
      <c r="E13">
        <v>0.33</v>
      </c>
      <c r="F13">
        <v>0</v>
      </c>
      <c r="G13">
        <v>0</v>
      </c>
      <c r="H13">
        <v>0.33</v>
      </c>
      <c r="I13">
        <v>49.5</v>
      </c>
    </row>
    <row r="14" spans="1:9">
      <c r="A14" t="s">
        <v>18</v>
      </c>
      <c r="B14" t="s">
        <v>35</v>
      </c>
      <c r="C14" t="s">
        <v>36</v>
      </c>
      <c r="D14">
        <v>1</v>
      </c>
      <c r="E14">
        <v>160</v>
      </c>
      <c r="F14">
        <v>0</v>
      </c>
      <c r="G14">
        <v>0</v>
      </c>
      <c r="H14">
        <v>160</v>
      </c>
      <c r="I14">
        <v>160</v>
      </c>
    </row>
    <row r="15" spans="1:9">
      <c r="A15" t="s">
        <v>37</v>
      </c>
      <c r="B15" t="s">
        <v>38</v>
      </c>
      <c r="C15" t="s">
        <v>39</v>
      </c>
      <c r="D15">
        <v>150</v>
      </c>
      <c r="E15">
        <v>2.25</v>
      </c>
      <c r="F15">
        <v>0</v>
      </c>
      <c r="G15">
        <v>0</v>
      </c>
      <c r="H15">
        <v>2.25</v>
      </c>
      <c r="I15">
        <v>337.5</v>
      </c>
    </row>
    <row r="16" spans="1:9">
      <c r="A16" t="s">
        <v>37</v>
      </c>
      <c r="B16" t="s">
        <v>21</v>
      </c>
      <c r="C16" t="s">
        <v>22</v>
      </c>
      <c r="D16">
        <v>150</v>
      </c>
      <c r="E16">
        <v>3.2826</v>
      </c>
      <c r="F16">
        <v>0</v>
      </c>
      <c r="G16">
        <v>0</v>
      </c>
      <c r="H16">
        <v>3.2826</v>
      </c>
      <c r="I16">
        <v>492.39</v>
      </c>
    </row>
    <row r="17" spans="1:9">
      <c r="A17" t="s">
        <v>37</v>
      </c>
      <c r="B17" t="s">
        <v>23</v>
      </c>
      <c r="C17" t="s">
        <v>24</v>
      </c>
      <c r="D17">
        <v>300</v>
      </c>
      <c r="E17">
        <v>2.23</v>
      </c>
      <c r="F17">
        <v>0</v>
      </c>
      <c r="G17">
        <v>0</v>
      </c>
      <c r="H17">
        <v>2.23</v>
      </c>
      <c r="I17">
        <v>669</v>
      </c>
    </row>
    <row r="18" spans="1:9">
      <c r="A18" t="s">
        <v>37</v>
      </c>
      <c r="B18" t="s">
        <v>31</v>
      </c>
      <c r="C18" t="s">
        <v>32</v>
      </c>
      <c r="D18">
        <v>100</v>
      </c>
      <c r="E18">
        <v>1.9020999999999999</v>
      </c>
      <c r="F18">
        <v>0</v>
      </c>
      <c r="G18">
        <v>0</v>
      </c>
      <c r="H18">
        <v>1.9020999999999999</v>
      </c>
      <c r="I18">
        <v>190.21</v>
      </c>
    </row>
    <row r="19" spans="1:9">
      <c r="A19" t="s">
        <v>37</v>
      </c>
      <c r="B19" t="s">
        <v>40</v>
      </c>
      <c r="C19" t="s">
        <v>41</v>
      </c>
      <c r="D19">
        <v>200</v>
      </c>
      <c r="E19">
        <v>0.33689999999999998</v>
      </c>
      <c r="F19">
        <v>0</v>
      </c>
      <c r="G19">
        <v>0</v>
      </c>
      <c r="H19">
        <v>0.33689999999999998</v>
      </c>
      <c r="I19">
        <v>67.38</v>
      </c>
    </row>
    <row r="20" spans="1:9">
      <c r="A20" t="s">
        <v>37</v>
      </c>
      <c r="B20" t="s">
        <v>42</v>
      </c>
      <c r="C20" t="s">
        <v>43</v>
      </c>
      <c r="D20">
        <v>10</v>
      </c>
      <c r="E20">
        <v>1.4020999999999999</v>
      </c>
      <c r="F20">
        <v>0</v>
      </c>
      <c r="G20">
        <v>0</v>
      </c>
      <c r="H20">
        <v>1.4020999999999999</v>
      </c>
      <c r="I20">
        <v>14.02</v>
      </c>
    </row>
    <row r="21" spans="1:9">
      <c r="A21" t="s">
        <v>37</v>
      </c>
      <c r="B21" t="s">
        <v>29</v>
      </c>
      <c r="C21" t="s">
        <v>30</v>
      </c>
      <c r="D21">
        <v>10</v>
      </c>
      <c r="E21">
        <v>2.3043</v>
      </c>
      <c r="F21">
        <v>0</v>
      </c>
      <c r="G21">
        <v>0</v>
      </c>
      <c r="H21">
        <v>2.3043</v>
      </c>
      <c r="I21">
        <v>23.04</v>
      </c>
    </row>
    <row r="22" spans="1:9">
      <c r="A22" t="s">
        <v>37</v>
      </c>
      <c r="B22" t="s">
        <v>25</v>
      </c>
      <c r="C22" t="s">
        <v>26</v>
      </c>
      <c r="D22">
        <v>10</v>
      </c>
      <c r="E22">
        <v>2.7717000000000001</v>
      </c>
      <c r="F22">
        <v>0</v>
      </c>
      <c r="G22">
        <v>0</v>
      </c>
      <c r="H22">
        <v>2.7717000000000001</v>
      </c>
      <c r="I22">
        <v>27.72</v>
      </c>
    </row>
    <row r="23" spans="1:9">
      <c r="A23" t="s">
        <v>44</v>
      </c>
      <c r="B23" t="s">
        <v>45</v>
      </c>
      <c r="C23" t="s">
        <v>46</v>
      </c>
      <c r="D23">
        <v>15</v>
      </c>
      <c r="E23">
        <v>7.23</v>
      </c>
      <c r="F23">
        <v>0.25</v>
      </c>
      <c r="G23">
        <v>0</v>
      </c>
      <c r="H23">
        <v>5.4225000000000003</v>
      </c>
    </row>
    <row r="24" spans="1:9">
      <c r="A24" t="s">
        <v>44</v>
      </c>
      <c r="B24" t="s">
        <v>47</v>
      </c>
      <c r="C24" t="s">
        <v>48</v>
      </c>
      <c r="D24">
        <v>12</v>
      </c>
      <c r="E24">
        <v>5.55</v>
      </c>
      <c r="F24">
        <v>0.25</v>
      </c>
      <c r="G24">
        <v>0</v>
      </c>
      <c r="H24">
        <v>4.1624999999999996</v>
      </c>
    </row>
    <row r="25" spans="1:9">
      <c r="A25" t="s">
        <v>49</v>
      </c>
      <c r="B25" t="s">
        <v>38</v>
      </c>
      <c r="C25" t="s">
        <v>50</v>
      </c>
      <c r="D25">
        <v>30</v>
      </c>
      <c r="E25">
        <v>2.4</v>
      </c>
      <c r="F25">
        <v>0</v>
      </c>
      <c r="G25">
        <v>0</v>
      </c>
      <c r="H25">
        <v>2.4</v>
      </c>
      <c r="I25">
        <v>72</v>
      </c>
    </row>
    <row r="26" spans="1:9">
      <c r="A26" t="s">
        <v>49</v>
      </c>
      <c r="B26" t="s">
        <v>23</v>
      </c>
      <c r="C26" t="s">
        <v>51</v>
      </c>
      <c r="D26">
        <v>24</v>
      </c>
      <c r="E26">
        <v>2.63</v>
      </c>
      <c r="F26">
        <v>0</v>
      </c>
      <c r="G26">
        <v>0</v>
      </c>
      <c r="H26">
        <v>2.63</v>
      </c>
      <c r="I26">
        <v>63.12</v>
      </c>
    </row>
    <row r="27" spans="1:9">
      <c r="A27" t="s">
        <v>49</v>
      </c>
      <c r="B27" t="s">
        <v>40</v>
      </c>
      <c r="C27" t="s">
        <v>52</v>
      </c>
      <c r="D27">
        <v>50</v>
      </c>
      <c r="E27">
        <v>0.4</v>
      </c>
      <c r="F27">
        <v>0</v>
      </c>
      <c r="G27">
        <v>0</v>
      </c>
      <c r="H27">
        <v>0.4</v>
      </c>
      <c r="I27">
        <v>20</v>
      </c>
    </row>
    <row r="28" spans="1:9">
      <c r="A28" t="s">
        <v>49</v>
      </c>
      <c r="B28" t="s">
        <v>31</v>
      </c>
      <c r="C28" t="s">
        <v>53</v>
      </c>
      <c r="D28">
        <v>10</v>
      </c>
      <c r="E28">
        <v>2.25</v>
      </c>
      <c r="F28">
        <v>0</v>
      </c>
      <c r="G28">
        <v>0</v>
      </c>
      <c r="H28">
        <v>2.25</v>
      </c>
      <c r="I28">
        <v>22.5</v>
      </c>
    </row>
    <row r="29" spans="1:9">
      <c r="A29" t="s">
        <v>49</v>
      </c>
      <c r="B29" t="s">
        <v>54</v>
      </c>
      <c r="C29" t="s">
        <v>55</v>
      </c>
      <c r="D29">
        <v>33</v>
      </c>
      <c r="E29">
        <v>3.97</v>
      </c>
      <c r="F29">
        <v>0</v>
      </c>
      <c r="G29">
        <v>0</v>
      </c>
      <c r="H29">
        <v>3.97</v>
      </c>
      <c r="I29">
        <v>131.01</v>
      </c>
    </row>
    <row r="30" spans="1:9">
      <c r="A30" t="s">
        <v>49</v>
      </c>
      <c r="B30" t="s">
        <v>13</v>
      </c>
      <c r="C30" t="s">
        <v>56</v>
      </c>
      <c r="D30">
        <v>12</v>
      </c>
      <c r="E30">
        <v>3.62</v>
      </c>
      <c r="F30">
        <v>0</v>
      </c>
      <c r="G30">
        <v>0</v>
      </c>
      <c r="H30">
        <v>3.62</v>
      </c>
      <c r="I30">
        <v>43.44</v>
      </c>
    </row>
    <row r="31" spans="1:9">
      <c r="A31" t="s">
        <v>49</v>
      </c>
      <c r="B31" t="s">
        <v>57</v>
      </c>
      <c r="C31" t="s">
        <v>58</v>
      </c>
      <c r="D31">
        <v>4</v>
      </c>
      <c r="E31">
        <v>3.85</v>
      </c>
      <c r="F31">
        <v>0</v>
      </c>
      <c r="G31">
        <v>0</v>
      </c>
      <c r="H31">
        <v>3.85</v>
      </c>
      <c r="I31">
        <v>15.4</v>
      </c>
    </row>
    <row r="32" spans="1:9">
      <c r="A32" t="s">
        <v>49</v>
      </c>
      <c r="B32" t="s">
        <v>59</v>
      </c>
      <c r="C32" t="s">
        <v>60</v>
      </c>
      <c r="D32">
        <v>2</v>
      </c>
      <c r="E32">
        <v>1.84</v>
      </c>
      <c r="F32">
        <v>0</v>
      </c>
      <c r="G32">
        <v>0</v>
      </c>
      <c r="H32">
        <v>1.84</v>
      </c>
      <c r="I32">
        <v>3.68</v>
      </c>
    </row>
    <row r="33" spans="1:9">
      <c r="A33" t="s">
        <v>61</v>
      </c>
      <c r="B33" t="s">
        <v>62</v>
      </c>
      <c r="C33" t="s">
        <v>63</v>
      </c>
      <c r="D33">
        <v>320</v>
      </c>
      <c r="E33">
        <v>1.6</v>
      </c>
      <c r="F33">
        <v>0</v>
      </c>
      <c r="G33">
        <v>0</v>
      </c>
      <c r="H33">
        <v>1.6</v>
      </c>
      <c r="I33">
        <v>-512</v>
      </c>
    </row>
    <row r="34" spans="1:9">
      <c r="A34" t="s">
        <v>64</v>
      </c>
      <c r="B34" t="s">
        <v>65</v>
      </c>
      <c r="C34" t="s">
        <v>66</v>
      </c>
      <c r="D34">
        <v>1</v>
      </c>
      <c r="E34">
        <v>5.7</v>
      </c>
      <c r="F34">
        <v>0</v>
      </c>
      <c r="G34">
        <v>0</v>
      </c>
      <c r="H34">
        <v>5.7</v>
      </c>
      <c r="I34">
        <v>5.7</v>
      </c>
    </row>
    <row r="35" spans="1:9">
      <c r="A35" t="s">
        <v>64</v>
      </c>
      <c r="B35" t="s">
        <v>67</v>
      </c>
      <c r="C35" t="s">
        <v>68</v>
      </c>
      <c r="D35">
        <v>2</v>
      </c>
      <c r="E35">
        <v>5.25</v>
      </c>
      <c r="F35">
        <v>0</v>
      </c>
      <c r="G35">
        <v>0</v>
      </c>
      <c r="H35">
        <v>5.25</v>
      </c>
      <c r="I35">
        <v>10.5</v>
      </c>
    </row>
    <row r="36" spans="1:9">
      <c r="A36" t="s">
        <v>64</v>
      </c>
      <c r="B36" t="s">
        <v>69</v>
      </c>
      <c r="C36" t="s">
        <v>70</v>
      </c>
      <c r="D36">
        <v>1</v>
      </c>
      <c r="E36">
        <v>209.7</v>
      </c>
      <c r="F36">
        <v>0.35</v>
      </c>
      <c r="G36">
        <v>0</v>
      </c>
      <c r="H36">
        <v>136.30500000000001</v>
      </c>
      <c r="I36">
        <v>136.31</v>
      </c>
    </row>
    <row r="37" spans="1:9">
      <c r="A37" t="s">
        <v>64</v>
      </c>
      <c r="B37" t="s">
        <v>33</v>
      </c>
      <c r="C37" t="s">
        <v>34</v>
      </c>
      <c r="D37">
        <v>40</v>
      </c>
      <c r="E37">
        <v>1.03</v>
      </c>
      <c r="F37">
        <v>0.55000000000000004</v>
      </c>
      <c r="G37">
        <v>0</v>
      </c>
      <c r="H37">
        <v>0.46349999999999997</v>
      </c>
      <c r="I37">
        <v>18.54</v>
      </c>
    </row>
    <row r="38" spans="1:9">
      <c r="A38" t="s">
        <v>71</v>
      </c>
      <c r="B38" t="s">
        <v>38</v>
      </c>
      <c r="C38" t="s">
        <v>39</v>
      </c>
      <c r="D38">
        <v>270</v>
      </c>
      <c r="E38">
        <v>2.4</v>
      </c>
      <c r="F38">
        <v>0</v>
      </c>
      <c r="G38">
        <v>0</v>
      </c>
      <c r="H38">
        <v>2.4</v>
      </c>
      <c r="I38">
        <v>648</v>
      </c>
    </row>
    <row r="39" spans="1:9">
      <c r="A39" t="s">
        <v>71</v>
      </c>
      <c r="B39" t="s">
        <v>23</v>
      </c>
      <c r="C39" t="s">
        <v>24</v>
      </c>
      <c r="D39">
        <v>48</v>
      </c>
      <c r="E39">
        <v>2.63</v>
      </c>
      <c r="F39">
        <v>0</v>
      </c>
      <c r="G39">
        <v>0</v>
      </c>
      <c r="H39">
        <v>2.63</v>
      </c>
      <c r="I39">
        <v>126.24</v>
      </c>
    </row>
    <row r="40" spans="1:9">
      <c r="A40" t="s">
        <v>71</v>
      </c>
      <c r="B40" t="s">
        <v>40</v>
      </c>
      <c r="C40" t="s">
        <v>41</v>
      </c>
      <c r="D40">
        <v>150</v>
      </c>
      <c r="E40">
        <v>0.4</v>
      </c>
      <c r="F40">
        <v>0</v>
      </c>
      <c r="G40">
        <v>0</v>
      </c>
      <c r="H40">
        <v>0.4</v>
      </c>
      <c r="I40">
        <v>60</v>
      </c>
    </row>
    <row r="41" spans="1:9">
      <c r="A41" t="s">
        <v>71</v>
      </c>
      <c r="B41" t="s">
        <v>33</v>
      </c>
      <c r="C41" t="s">
        <v>34</v>
      </c>
      <c r="D41">
        <v>160</v>
      </c>
      <c r="E41">
        <v>1.03</v>
      </c>
      <c r="F41">
        <v>0.55000000000000004</v>
      </c>
      <c r="G41">
        <v>0</v>
      </c>
      <c r="H41">
        <v>0.46349999999999997</v>
      </c>
      <c r="I41">
        <v>74.16</v>
      </c>
    </row>
    <row r="42" spans="1:9">
      <c r="A42" t="s">
        <v>72</v>
      </c>
      <c r="B42" t="s">
        <v>23</v>
      </c>
      <c r="C42" t="s">
        <v>24</v>
      </c>
      <c r="D42">
        <v>222</v>
      </c>
      <c r="E42">
        <v>2.63</v>
      </c>
      <c r="F42">
        <v>0</v>
      </c>
      <c r="G42">
        <v>0</v>
      </c>
      <c r="H42">
        <v>2.63</v>
      </c>
      <c r="I42">
        <v>583.86</v>
      </c>
    </row>
    <row r="43" spans="1:9">
      <c r="A43" t="s">
        <v>73</v>
      </c>
      <c r="B43" t="s">
        <v>62</v>
      </c>
      <c r="C43" t="s">
        <v>74</v>
      </c>
      <c r="D43">
        <v>320</v>
      </c>
      <c r="E43">
        <v>1.6</v>
      </c>
      <c r="F43">
        <v>0</v>
      </c>
      <c r="G43">
        <v>0</v>
      </c>
      <c r="H43">
        <v>1.6</v>
      </c>
      <c r="I43">
        <v>512</v>
      </c>
    </row>
    <row r="44" spans="1:9">
      <c r="A44" t="s">
        <v>75</v>
      </c>
      <c r="B44" t="s">
        <v>76</v>
      </c>
      <c r="C44" t="s">
        <v>77</v>
      </c>
      <c r="D44">
        <v>108</v>
      </c>
      <c r="E44">
        <v>16.649999999999999</v>
      </c>
      <c r="F44">
        <v>0.63</v>
      </c>
      <c r="G44">
        <v>0</v>
      </c>
      <c r="H44">
        <v>6.160499999999999</v>
      </c>
      <c r="I44">
        <v>665.33</v>
      </c>
    </row>
    <row r="45" spans="1:9">
      <c r="A45" t="s">
        <v>75</v>
      </c>
      <c r="B45" t="s">
        <v>29</v>
      </c>
      <c r="C45" t="s">
        <v>30</v>
      </c>
      <c r="D45">
        <v>15</v>
      </c>
      <c r="E45">
        <v>7.69</v>
      </c>
      <c r="F45">
        <v>0.6</v>
      </c>
      <c r="G45">
        <v>0</v>
      </c>
      <c r="H45">
        <v>3.0760000000000005</v>
      </c>
      <c r="I45">
        <v>46.14</v>
      </c>
    </row>
    <row r="46" spans="1:9">
      <c r="A46" t="s">
        <v>75</v>
      </c>
      <c r="B46" t="s">
        <v>23</v>
      </c>
      <c r="C46" t="s">
        <v>24</v>
      </c>
      <c r="D46">
        <v>21</v>
      </c>
      <c r="E46">
        <v>7.44</v>
      </c>
      <c r="F46">
        <v>0.6</v>
      </c>
      <c r="G46">
        <v>0</v>
      </c>
      <c r="H46">
        <v>2.9760000000000004</v>
      </c>
      <c r="I46">
        <v>62.5</v>
      </c>
    </row>
    <row r="47" spans="1:9">
      <c r="A47" t="s">
        <v>78</v>
      </c>
      <c r="B47" t="s">
        <v>79</v>
      </c>
      <c r="C47" t="s">
        <v>80</v>
      </c>
      <c r="D47">
        <v>1</v>
      </c>
      <c r="E47">
        <v>62</v>
      </c>
      <c r="F47">
        <v>0</v>
      </c>
      <c r="G47">
        <v>0</v>
      </c>
      <c r="H47">
        <v>62</v>
      </c>
      <c r="I47">
        <v>62</v>
      </c>
    </row>
    <row r="48" spans="1:9">
      <c r="A48" t="s">
        <v>78</v>
      </c>
      <c r="B48" t="s">
        <v>81</v>
      </c>
      <c r="C48" t="s">
        <v>82</v>
      </c>
      <c r="D48">
        <v>20</v>
      </c>
      <c r="E48">
        <v>0.41239999999999999</v>
      </c>
      <c r="F48">
        <v>0.25</v>
      </c>
      <c r="G48">
        <v>0</v>
      </c>
      <c r="H48">
        <v>0.30930000000000002</v>
      </c>
      <c r="I48">
        <v>6.19</v>
      </c>
    </row>
    <row r="49" spans="1:9">
      <c r="A49" t="s">
        <v>78</v>
      </c>
      <c r="B49" t="s">
        <v>83</v>
      </c>
      <c r="C49" t="s">
        <v>84</v>
      </c>
      <c r="D49">
        <v>30</v>
      </c>
      <c r="E49">
        <v>0.70889999999999997</v>
      </c>
      <c r="F49">
        <v>0.25</v>
      </c>
      <c r="G49">
        <v>0</v>
      </c>
      <c r="H49">
        <v>0.53167500000000001</v>
      </c>
      <c r="I49">
        <v>15.95</v>
      </c>
    </row>
    <row r="50" spans="1:9">
      <c r="A50" t="s">
        <v>78</v>
      </c>
      <c r="B50" t="s">
        <v>85</v>
      </c>
      <c r="C50" t="s">
        <v>86</v>
      </c>
      <c r="D50">
        <v>0.5</v>
      </c>
      <c r="E50">
        <v>18.95</v>
      </c>
      <c r="F50">
        <v>0.35</v>
      </c>
      <c r="G50">
        <v>0</v>
      </c>
      <c r="H50">
        <v>12.317500000000001</v>
      </c>
      <c r="I50">
        <v>6.16</v>
      </c>
    </row>
    <row r="51" spans="1:9">
      <c r="A51" t="s">
        <v>78</v>
      </c>
      <c r="B51" t="s">
        <v>87</v>
      </c>
      <c r="C51" t="s">
        <v>88</v>
      </c>
      <c r="D51">
        <v>1</v>
      </c>
      <c r="E51">
        <v>7.55</v>
      </c>
      <c r="F51">
        <v>0.35</v>
      </c>
      <c r="G51">
        <v>0</v>
      </c>
      <c r="H51">
        <v>4.9074999999999998</v>
      </c>
      <c r="I51">
        <v>4.91</v>
      </c>
    </row>
    <row r="52" spans="1:9">
      <c r="A52" t="s">
        <v>78</v>
      </c>
      <c r="B52" t="s">
        <v>89</v>
      </c>
      <c r="C52" t="s">
        <v>90</v>
      </c>
      <c r="D52">
        <v>1</v>
      </c>
      <c r="E52">
        <v>25.77</v>
      </c>
      <c r="F52">
        <v>0.5</v>
      </c>
      <c r="G52">
        <v>0</v>
      </c>
      <c r="H52">
        <v>12.885</v>
      </c>
      <c r="I52">
        <v>12.89</v>
      </c>
    </row>
    <row r="53" spans="1:9">
      <c r="A53" t="s">
        <v>78</v>
      </c>
      <c r="B53" t="s">
        <v>91</v>
      </c>
      <c r="C53" t="s">
        <v>92</v>
      </c>
      <c r="D53">
        <v>3</v>
      </c>
      <c r="E53">
        <v>0.99</v>
      </c>
      <c r="F53">
        <v>0.5</v>
      </c>
      <c r="G53">
        <v>0</v>
      </c>
      <c r="H53">
        <v>0.495</v>
      </c>
      <c r="I53">
        <v>1.49</v>
      </c>
    </row>
    <row r="54" spans="1:9">
      <c r="A54" t="s">
        <v>93</v>
      </c>
      <c r="B54" t="s">
        <v>79</v>
      </c>
      <c r="C54" t="s">
        <v>80</v>
      </c>
      <c r="D54">
        <v>10</v>
      </c>
      <c r="E54">
        <v>62</v>
      </c>
      <c r="F54">
        <v>0</v>
      </c>
      <c r="G54">
        <v>0</v>
      </c>
      <c r="H54">
        <v>62</v>
      </c>
      <c r="I54">
        <v>620</v>
      </c>
    </row>
    <row r="55" spans="1:9">
      <c r="A55" t="s">
        <v>94</v>
      </c>
      <c r="B55" t="s">
        <v>38</v>
      </c>
      <c r="C55" t="s">
        <v>39</v>
      </c>
      <c r="D55">
        <v>300</v>
      </c>
      <c r="E55">
        <v>2.4</v>
      </c>
      <c r="F55">
        <v>0</v>
      </c>
      <c r="G55">
        <v>0</v>
      </c>
      <c r="H55">
        <v>2.4</v>
      </c>
      <c r="I55">
        <v>720</v>
      </c>
    </row>
    <row r="56" spans="1:9">
      <c r="A56" t="s">
        <v>94</v>
      </c>
      <c r="B56" t="s">
        <v>23</v>
      </c>
      <c r="C56" t="s">
        <v>24</v>
      </c>
      <c r="D56">
        <v>75</v>
      </c>
      <c r="E56">
        <v>2.63</v>
      </c>
      <c r="F56">
        <v>0</v>
      </c>
      <c r="G56">
        <v>0</v>
      </c>
      <c r="H56">
        <v>2.63</v>
      </c>
      <c r="I56">
        <v>197.25</v>
      </c>
    </row>
    <row r="57" spans="1:9">
      <c r="A57" t="s">
        <v>94</v>
      </c>
      <c r="B57" t="s">
        <v>40</v>
      </c>
      <c r="C57" t="s">
        <v>41</v>
      </c>
      <c r="D57">
        <v>100</v>
      </c>
      <c r="E57">
        <v>0.4</v>
      </c>
      <c r="F57">
        <v>0</v>
      </c>
      <c r="G57">
        <v>0</v>
      </c>
      <c r="H57">
        <v>0.4</v>
      </c>
      <c r="I57">
        <v>40</v>
      </c>
    </row>
    <row r="58" spans="1:9">
      <c r="A58" t="s">
        <v>94</v>
      </c>
      <c r="B58" t="s">
        <v>31</v>
      </c>
      <c r="C58" t="s">
        <v>32</v>
      </c>
      <c r="D58">
        <v>100</v>
      </c>
      <c r="E58">
        <v>2.25</v>
      </c>
      <c r="F58">
        <v>0</v>
      </c>
      <c r="G58">
        <v>0</v>
      </c>
      <c r="H58">
        <v>2.25</v>
      </c>
      <c r="I58">
        <v>225</v>
      </c>
    </row>
    <row r="59" spans="1:9">
      <c r="A59" t="s">
        <v>94</v>
      </c>
      <c r="B59" t="s">
        <v>33</v>
      </c>
      <c r="C59" t="s">
        <v>34</v>
      </c>
      <c r="D59">
        <v>150</v>
      </c>
      <c r="E59">
        <v>1.03</v>
      </c>
      <c r="F59">
        <v>0.55000000000000004</v>
      </c>
      <c r="G59">
        <v>0</v>
      </c>
      <c r="H59">
        <v>0.46349999999999997</v>
      </c>
      <c r="I59">
        <v>69.53</v>
      </c>
    </row>
    <row r="60" spans="1:9">
      <c r="A60" t="s">
        <v>95</v>
      </c>
      <c r="B60" t="s">
        <v>91</v>
      </c>
      <c r="C60" t="s">
        <v>92</v>
      </c>
      <c r="D60">
        <v>30</v>
      </c>
      <c r="E60">
        <v>0.4</v>
      </c>
      <c r="F60">
        <v>0</v>
      </c>
      <c r="G60">
        <v>0</v>
      </c>
      <c r="H60">
        <v>0.4</v>
      </c>
      <c r="I60">
        <v>12</v>
      </c>
    </row>
    <row r="61" spans="1:9">
      <c r="A61" t="s">
        <v>95</v>
      </c>
      <c r="B61" t="s">
        <v>89</v>
      </c>
      <c r="C61" t="s">
        <v>90</v>
      </c>
      <c r="D61">
        <v>10</v>
      </c>
      <c r="E61">
        <v>12.37</v>
      </c>
      <c r="F61">
        <v>0</v>
      </c>
      <c r="G61">
        <v>0</v>
      </c>
      <c r="H61">
        <v>12.37</v>
      </c>
      <c r="I61">
        <v>123.7</v>
      </c>
    </row>
    <row r="62" spans="1:9">
      <c r="A62" t="s">
        <v>96</v>
      </c>
      <c r="B62" t="s">
        <v>97</v>
      </c>
      <c r="C62" t="s">
        <v>98</v>
      </c>
      <c r="D62">
        <v>20</v>
      </c>
      <c r="E62">
        <v>9.4499999999999993</v>
      </c>
      <c r="F62">
        <v>0</v>
      </c>
      <c r="G62">
        <v>0</v>
      </c>
      <c r="H62">
        <v>9.4499999999999993</v>
      </c>
      <c r="I62">
        <v>189</v>
      </c>
    </row>
    <row r="63" spans="1:9">
      <c r="A63" t="s">
        <v>99</v>
      </c>
      <c r="B63" t="s">
        <v>100</v>
      </c>
      <c r="C63" t="s">
        <v>101</v>
      </c>
      <c r="D63">
        <v>20</v>
      </c>
      <c r="E63">
        <v>6.5</v>
      </c>
      <c r="F63">
        <v>0</v>
      </c>
      <c r="G63">
        <v>0</v>
      </c>
      <c r="H63">
        <v>6.5</v>
      </c>
      <c r="I63">
        <v>130</v>
      </c>
    </row>
    <row r="64" spans="1:9">
      <c r="A64" t="s">
        <v>102</v>
      </c>
      <c r="B64" t="s">
        <v>79</v>
      </c>
      <c r="C64" t="s">
        <v>80</v>
      </c>
      <c r="D64">
        <v>1</v>
      </c>
      <c r="E64">
        <v>62</v>
      </c>
      <c r="F64">
        <v>0</v>
      </c>
      <c r="G64">
        <v>0</v>
      </c>
      <c r="H64">
        <v>62</v>
      </c>
      <c r="I64">
        <v>62</v>
      </c>
    </row>
    <row r="65" spans="1:9">
      <c r="A65" t="s">
        <v>103</v>
      </c>
      <c r="B65" t="s">
        <v>29</v>
      </c>
      <c r="C65" t="s">
        <v>104</v>
      </c>
      <c r="D65">
        <v>10</v>
      </c>
      <c r="E65">
        <v>3.08</v>
      </c>
      <c r="F65">
        <v>0</v>
      </c>
      <c r="G65">
        <v>0</v>
      </c>
      <c r="H65">
        <v>3.08</v>
      </c>
      <c r="I65">
        <v>30.8</v>
      </c>
    </row>
    <row r="66" spans="1:9">
      <c r="A66" t="s">
        <v>105</v>
      </c>
      <c r="B66" t="s">
        <v>38</v>
      </c>
      <c r="C66" t="s">
        <v>39</v>
      </c>
      <c r="D66">
        <v>30</v>
      </c>
      <c r="E66">
        <v>7.68</v>
      </c>
      <c r="F66">
        <v>0.67</v>
      </c>
      <c r="G66">
        <v>0</v>
      </c>
      <c r="H66">
        <v>2.5343999999999998</v>
      </c>
      <c r="I66">
        <v>76.03</v>
      </c>
    </row>
    <row r="67" spans="1:9">
      <c r="A67" t="s">
        <v>105</v>
      </c>
      <c r="B67" t="s">
        <v>23</v>
      </c>
      <c r="C67" t="s">
        <v>24</v>
      </c>
      <c r="D67">
        <v>3</v>
      </c>
      <c r="E67">
        <v>7.59</v>
      </c>
      <c r="F67">
        <v>0.63</v>
      </c>
      <c r="G67">
        <v>0</v>
      </c>
      <c r="H67">
        <v>2.8083</v>
      </c>
      <c r="I67">
        <v>8.42</v>
      </c>
    </row>
    <row r="68" spans="1:9">
      <c r="A68" t="s">
        <v>105</v>
      </c>
      <c r="B68" t="s">
        <v>40</v>
      </c>
      <c r="C68" t="s">
        <v>41</v>
      </c>
      <c r="D68">
        <v>20</v>
      </c>
      <c r="E68">
        <v>1.1399999999999999</v>
      </c>
      <c r="F68">
        <v>0.63</v>
      </c>
      <c r="G68">
        <v>0</v>
      </c>
      <c r="H68">
        <v>0.42179999999999995</v>
      </c>
      <c r="I68">
        <v>8.44</v>
      </c>
    </row>
    <row r="69" spans="1:9">
      <c r="A69" t="s">
        <v>105</v>
      </c>
      <c r="B69" t="s">
        <v>106</v>
      </c>
      <c r="C69" t="s">
        <v>107</v>
      </c>
      <c r="D69">
        <v>1</v>
      </c>
      <c r="E69">
        <v>13.16</v>
      </c>
      <c r="F69">
        <v>0.5</v>
      </c>
      <c r="G69">
        <v>0</v>
      </c>
      <c r="H69">
        <v>6.58</v>
      </c>
      <c r="I69">
        <v>6.58</v>
      </c>
    </row>
    <row r="70" spans="1:9">
      <c r="A70" t="s">
        <v>108</v>
      </c>
      <c r="B70" t="s">
        <v>76</v>
      </c>
      <c r="C70" t="s">
        <v>109</v>
      </c>
      <c r="D70">
        <v>33</v>
      </c>
      <c r="E70">
        <v>4.9782000000000002</v>
      </c>
      <c r="F70">
        <v>0</v>
      </c>
      <c r="G70">
        <v>0</v>
      </c>
      <c r="H70">
        <v>4.9782000000000002</v>
      </c>
      <c r="I70">
        <v>164.28</v>
      </c>
    </row>
    <row r="71" spans="1:9">
      <c r="A71" t="s">
        <v>108</v>
      </c>
      <c r="B71" t="s">
        <v>110</v>
      </c>
      <c r="C71" t="s">
        <v>111</v>
      </c>
      <c r="D71">
        <v>33</v>
      </c>
      <c r="E71">
        <v>3.8260000000000001</v>
      </c>
      <c r="F71">
        <v>0</v>
      </c>
      <c r="G71">
        <v>0</v>
      </c>
      <c r="H71">
        <v>3.8260000000000001</v>
      </c>
      <c r="I71">
        <v>126.26</v>
      </c>
    </row>
    <row r="72" spans="1:9">
      <c r="A72" t="s">
        <v>108</v>
      </c>
      <c r="B72" t="s">
        <v>29</v>
      </c>
      <c r="C72" t="s">
        <v>30</v>
      </c>
      <c r="D72">
        <v>10</v>
      </c>
      <c r="E72">
        <v>2.3043</v>
      </c>
      <c r="F72">
        <v>0</v>
      </c>
      <c r="G72">
        <v>0</v>
      </c>
      <c r="H72">
        <v>2.3043</v>
      </c>
      <c r="I72">
        <v>23.04</v>
      </c>
    </row>
    <row r="73" spans="1:9">
      <c r="A73" t="s">
        <v>112</v>
      </c>
      <c r="B73" t="s">
        <v>29</v>
      </c>
      <c r="C73" t="s">
        <v>30</v>
      </c>
      <c r="D73">
        <v>10</v>
      </c>
      <c r="E73">
        <v>3.08</v>
      </c>
      <c r="F73">
        <v>0</v>
      </c>
      <c r="G73">
        <v>0</v>
      </c>
      <c r="H73">
        <v>3.08</v>
      </c>
      <c r="I73">
        <v>30.8</v>
      </c>
    </row>
    <row r="74" spans="1:9">
      <c r="A74" t="s">
        <v>112</v>
      </c>
      <c r="B74" t="s">
        <v>21</v>
      </c>
      <c r="C74" t="s">
        <v>22</v>
      </c>
      <c r="D74">
        <v>60</v>
      </c>
      <c r="E74">
        <v>4.0599999999999996</v>
      </c>
      <c r="F74">
        <v>0</v>
      </c>
      <c r="G74">
        <v>0</v>
      </c>
      <c r="H74">
        <v>4.0599999999999996</v>
      </c>
      <c r="I74">
        <v>243.6</v>
      </c>
    </row>
    <row r="75" spans="1:9">
      <c r="A75" t="s">
        <v>112</v>
      </c>
      <c r="B75" t="s">
        <v>23</v>
      </c>
      <c r="C75" t="s">
        <v>24</v>
      </c>
      <c r="D75">
        <v>60</v>
      </c>
      <c r="E75">
        <v>2.83</v>
      </c>
      <c r="F75">
        <v>0</v>
      </c>
      <c r="G75">
        <v>0</v>
      </c>
      <c r="H75">
        <v>2.83</v>
      </c>
      <c r="I75">
        <v>169.8</v>
      </c>
    </row>
    <row r="76" spans="1:9">
      <c r="A76" t="s">
        <v>112</v>
      </c>
      <c r="B76" t="s">
        <v>113</v>
      </c>
      <c r="C76" t="s">
        <v>114</v>
      </c>
      <c r="D76">
        <v>1</v>
      </c>
      <c r="E76">
        <v>13.71</v>
      </c>
      <c r="F76">
        <v>0</v>
      </c>
      <c r="G76">
        <v>0</v>
      </c>
      <c r="H76">
        <v>13.71</v>
      </c>
      <c r="I76">
        <v>13.71</v>
      </c>
    </row>
    <row r="77" spans="1:9">
      <c r="A77" t="s">
        <v>115</v>
      </c>
      <c r="B77" t="s">
        <v>42</v>
      </c>
      <c r="C77" t="s">
        <v>43</v>
      </c>
      <c r="D77">
        <v>10</v>
      </c>
      <c r="E77">
        <v>1.4020999999999999</v>
      </c>
      <c r="F77">
        <v>0</v>
      </c>
      <c r="G77">
        <v>0</v>
      </c>
      <c r="H77">
        <v>1.4020999999999999</v>
      </c>
      <c r="I77">
        <v>14.02</v>
      </c>
    </row>
    <row r="78" spans="1:9">
      <c r="A78" t="s">
        <v>116</v>
      </c>
      <c r="B78" t="s">
        <v>117</v>
      </c>
      <c r="C78" t="s">
        <v>118</v>
      </c>
      <c r="D78">
        <v>21</v>
      </c>
      <c r="E78">
        <v>5.55</v>
      </c>
      <c r="F78">
        <v>0.25</v>
      </c>
      <c r="G78">
        <v>0</v>
      </c>
      <c r="H78">
        <v>4.1624999999999996</v>
      </c>
      <c r="I78">
        <v>87.41</v>
      </c>
    </row>
    <row r="79" spans="1:9">
      <c r="A79" t="s">
        <v>119</v>
      </c>
      <c r="B79" t="s">
        <v>31</v>
      </c>
      <c r="C79" t="s">
        <v>120</v>
      </c>
      <c r="D79">
        <v>50</v>
      </c>
      <c r="E79">
        <v>6.48</v>
      </c>
      <c r="F79">
        <v>0.6</v>
      </c>
      <c r="G79">
        <v>0</v>
      </c>
      <c r="H79">
        <v>2.5920000000000005</v>
      </c>
      <c r="I79">
        <v>129.6</v>
      </c>
    </row>
    <row r="80" spans="1:9">
      <c r="A80" t="s">
        <v>121</v>
      </c>
      <c r="B80" t="s">
        <v>122</v>
      </c>
      <c r="C80" t="s">
        <v>123</v>
      </c>
      <c r="D80">
        <v>10</v>
      </c>
      <c r="E80">
        <v>3.11</v>
      </c>
      <c r="F80">
        <v>0</v>
      </c>
      <c r="G80">
        <v>0</v>
      </c>
      <c r="H80">
        <v>3.11</v>
      </c>
      <c r="I80">
        <v>31.1</v>
      </c>
    </row>
    <row r="81" spans="1:9">
      <c r="A81" t="s">
        <v>121</v>
      </c>
      <c r="B81" t="s">
        <v>124</v>
      </c>
      <c r="C81" t="s">
        <v>125</v>
      </c>
      <c r="D81">
        <v>1</v>
      </c>
      <c r="E81">
        <v>4.7300000000000004</v>
      </c>
      <c r="F81">
        <v>0.5</v>
      </c>
      <c r="G81">
        <v>0</v>
      </c>
      <c r="H81">
        <v>2.3650000000000002</v>
      </c>
      <c r="I81">
        <v>2.37</v>
      </c>
    </row>
    <row r="82" spans="1:9">
      <c r="A82" t="s">
        <v>121</v>
      </c>
      <c r="B82" t="s">
        <v>126</v>
      </c>
      <c r="C82" t="s">
        <v>127</v>
      </c>
      <c r="D82">
        <v>1</v>
      </c>
      <c r="E82">
        <v>2.97</v>
      </c>
      <c r="F82">
        <v>0.5</v>
      </c>
      <c r="G82">
        <v>0</v>
      </c>
      <c r="H82">
        <v>1.4850000000000001</v>
      </c>
      <c r="I82">
        <v>1.49</v>
      </c>
    </row>
    <row r="83" spans="1:9">
      <c r="A83" t="s">
        <v>128</v>
      </c>
      <c r="B83" t="s">
        <v>129</v>
      </c>
      <c r="C83" t="s">
        <v>130</v>
      </c>
      <c r="D83">
        <v>9</v>
      </c>
      <c r="E83">
        <v>4.5199999999999996</v>
      </c>
      <c r="F83">
        <v>0.25</v>
      </c>
      <c r="G83">
        <v>0</v>
      </c>
      <c r="H83">
        <v>3.3899999999999997</v>
      </c>
      <c r="I83">
        <v>30.51</v>
      </c>
    </row>
    <row r="84" spans="1:9">
      <c r="A84" t="s">
        <v>131</v>
      </c>
      <c r="B84" t="s">
        <v>76</v>
      </c>
      <c r="C84" t="s">
        <v>109</v>
      </c>
      <c r="D84">
        <v>18</v>
      </c>
      <c r="E84">
        <v>4.9782000000000002</v>
      </c>
      <c r="F84">
        <v>0</v>
      </c>
      <c r="G84">
        <v>0</v>
      </c>
      <c r="H84">
        <v>4.9782000000000002</v>
      </c>
      <c r="I84">
        <v>89.61</v>
      </c>
    </row>
    <row r="85" spans="1:9">
      <c r="A85" t="s">
        <v>131</v>
      </c>
      <c r="B85" t="s">
        <v>132</v>
      </c>
      <c r="C85" t="s">
        <v>133</v>
      </c>
      <c r="D85">
        <v>12</v>
      </c>
      <c r="E85">
        <v>7.88</v>
      </c>
      <c r="F85">
        <v>0</v>
      </c>
      <c r="G85">
        <v>0</v>
      </c>
      <c r="H85">
        <v>7.88</v>
      </c>
      <c r="I85">
        <v>94.56</v>
      </c>
    </row>
    <row r="86" spans="1:9">
      <c r="A86" t="s">
        <v>131</v>
      </c>
      <c r="B86" t="s">
        <v>110</v>
      </c>
      <c r="C86" t="s">
        <v>111</v>
      </c>
      <c r="D86">
        <v>12</v>
      </c>
      <c r="E86">
        <v>13.05</v>
      </c>
      <c r="F86">
        <v>0.7</v>
      </c>
      <c r="G86">
        <v>0</v>
      </c>
      <c r="H86">
        <v>3.9150000000000009</v>
      </c>
      <c r="I86">
        <v>46.98</v>
      </c>
    </row>
    <row r="87" spans="1:9">
      <c r="A87" t="s">
        <v>131</v>
      </c>
      <c r="B87" t="s">
        <v>134</v>
      </c>
      <c r="C87" t="s">
        <v>135</v>
      </c>
      <c r="D87">
        <v>6</v>
      </c>
      <c r="E87">
        <v>7</v>
      </c>
      <c r="F87">
        <v>0</v>
      </c>
      <c r="G87">
        <v>0</v>
      </c>
      <c r="H87">
        <v>7</v>
      </c>
      <c r="I87">
        <v>42</v>
      </c>
    </row>
    <row r="88" spans="1:9">
      <c r="A88" t="s">
        <v>131</v>
      </c>
      <c r="B88" t="s">
        <v>29</v>
      </c>
      <c r="C88" t="s">
        <v>30</v>
      </c>
      <c r="D88">
        <v>10</v>
      </c>
      <c r="E88">
        <v>2.3043</v>
      </c>
      <c r="F88">
        <v>0</v>
      </c>
      <c r="G88">
        <v>0</v>
      </c>
      <c r="H88">
        <v>2.3043</v>
      </c>
      <c r="I88">
        <v>23.04</v>
      </c>
    </row>
    <row r="89" spans="1:9">
      <c r="A89" t="s">
        <v>131</v>
      </c>
      <c r="B89" t="s">
        <v>25</v>
      </c>
      <c r="C89" t="s">
        <v>26</v>
      </c>
      <c r="D89">
        <v>10</v>
      </c>
      <c r="E89">
        <v>2.7717000000000001</v>
      </c>
      <c r="F89">
        <v>0</v>
      </c>
      <c r="G89">
        <v>0</v>
      </c>
      <c r="H89">
        <v>2.7717000000000001</v>
      </c>
      <c r="I89">
        <v>27.72</v>
      </c>
    </row>
    <row r="90" spans="1:9">
      <c r="A90" t="s">
        <v>136</v>
      </c>
      <c r="B90" t="s">
        <v>137</v>
      </c>
      <c r="C90" t="s">
        <v>138</v>
      </c>
      <c r="D90">
        <v>400</v>
      </c>
      <c r="E90">
        <v>0.87</v>
      </c>
      <c r="F90">
        <v>0</v>
      </c>
      <c r="G90">
        <v>0</v>
      </c>
      <c r="H90">
        <v>0.87</v>
      </c>
      <c r="I90">
        <v>348</v>
      </c>
    </row>
    <row r="91" spans="1:9">
      <c r="A91" t="s">
        <v>136</v>
      </c>
      <c r="B91" t="s">
        <v>132</v>
      </c>
      <c r="C91" t="s">
        <v>133</v>
      </c>
      <c r="D91">
        <v>102</v>
      </c>
      <c r="E91">
        <v>7.88</v>
      </c>
      <c r="F91">
        <v>0</v>
      </c>
      <c r="G91">
        <v>0</v>
      </c>
      <c r="H91">
        <v>7.88</v>
      </c>
      <c r="I91">
        <v>803.76</v>
      </c>
    </row>
    <row r="92" spans="1:9">
      <c r="A92" t="s">
        <v>136</v>
      </c>
      <c r="B92" t="s">
        <v>139</v>
      </c>
      <c r="C92" t="s">
        <v>140</v>
      </c>
      <c r="D92">
        <v>500</v>
      </c>
      <c r="E92">
        <v>2.95</v>
      </c>
      <c r="F92">
        <v>0</v>
      </c>
      <c r="G92">
        <v>0</v>
      </c>
      <c r="H92">
        <v>2.95</v>
      </c>
      <c r="I92">
        <v>1475</v>
      </c>
    </row>
    <row r="93" spans="1:9">
      <c r="A93" t="s">
        <v>136</v>
      </c>
      <c r="B93" t="s">
        <v>31</v>
      </c>
      <c r="C93" t="s">
        <v>32</v>
      </c>
      <c r="D93">
        <v>50</v>
      </c>
      <c r="E93">
        <v>2.27</v>
      </c>
      <c r="F93">
        <v>0</v>
      </c>
      <c r="G93">
        <v>0</v>
      </c>
      <c r="H93">
        <v>2.27</v>
      </c>
      <c r="I93">
        <v>113.5</v>
      </c>
    </row>
    <row r="94" spans="1:9">
      <c r="A94" t="s">
        <v>136</v>
      </c>
      <c r="B94" t="s">
        <v>134</v>
      </c>
      <c r="C94" t="s">
        <v>135</v>
      </c>
      <c r="D94">
        <v>102</v>
      </c>
      <c r="E94">
        <v>7</v>
      </c>
      <c r="F94">
        <v>0</v>
      </c>
      <c r="G94">
        <v>0</v>
      </c>
      <c r="H94">
        <v>7</v>
      </c>
      <c r="I94">
        <v>714</v>
      </c>
    </row>
    <row r="95" spans="1:9">
      <c r="A95" t="s">
        <v>136</v>
      </c>
      <c r="B95" t="s">
        <v>35</v>
      </c>
      <c r="C95" t="s">
        <v>141</v>
      </c>
      <c r="D95">
        <v>1</v>
      </c>
      <c r="E95">
        <v>125</v>
      </c>
      <c r="F95">
        <v>0</v>
      </c>
      <c r="G95">
        <v>0</v>
      </c>
      <c r="H95">
        <v>125</v>
      </c>
      <c r="I95">
        <v>125</v>
      </c>
    </row>
    <row r="96" spans="1:9">
      <c r="A96" t="s">
        <v>142</v>
      </c>
      <c r="B96" t="s">
        <v>38</v>
      </c>
      <c r="C96" t="s">
        <v>39</v>
      </c>
      <c r="D96">
        <v>252</v>
      </c>
      <c r="E96">
        <v>2.44</v>
      </c>
      <c r="F96">
        <v>0</v>
      </c>
      <c r="G96">
        <v>0</v>
      </c>
      <c r="H96">
        <v>2.44</v>
      </c>
      <c r="I96">
        <v>614.88</v>
      </c>
    </row>
    <row r="97" spans="1:9">
      <c r="A97" t="s">
        <v>142</v>
      </c>
      <c r="B97" t="s">
        <v>21</v>
      </c>
      <c r="C97" t="s">
        <v>22</v>
      </c>
      <c r="D97">
        <v>249</v>
      </c>
      <c r="E97">
        <v>3.56</v>
      </c>
      <c r="F97">
        <v>0</v>
      </c>
      <c r="G97">
        <v>0</v>
      </c>
      <c r="H97">
        <v>3.56</v>
      </c>
      <c r="I97">
        <v>886.44</v>
      </c>
    </row>
    <row r="98" spans="1:9">
      <c r="A98" t="s">
        <v>142</v>
      </c>
      <c r="B98" t="s">
        <v>23</v>
      </c>
      <c r="C98" t="s">
        <v>24</v>
      </c>
      <c r="D98">
        <v>48</v>
      </c>
      <c r="E98">
        <v>2.41</v>
      </c>
      <c r="F98">
        <v>0</v>
      </c>
      <c r="G98">
        <v>0</v>
      </c>
      <c r="H98">
        <v>2.41</v>
      </c>
      <c r="I98">
        <v>115.68</v>
      </c>
    </row>
    <row r="99" spans="1:9">
      <c r="A99" t="s">
        <v>143</v>
      </c>
      <c r="B99" t="s">
        <v>27</v>
      </c>
      <c r="C99" t="s">
        <v>28</v>
      </c>
      <c r="D99">
        <v>10</v>
      </c>
      <c r="E99">
        <v>11.09</v>
      </c>
      <c r="F99">
        <v>0.6</v>
      </c>
      <c r="G99">
        <v>0</v>
      </c>
      <c r="H99">
        <v>4.4359999999999999</v>
      </c>
      <c r="I99">
        <v>44.36</v>
      </c>
    </row>
    <row r="100" spans="1:9">
      <c r="A100" t="s">
        <v>144</v>
      </c>
      <c r="B100" t="s">
        <v>23</v>
      </c>
      <c r="C100" t="s">
        <v>145</v>
      </c>
      <c r="D100">
        <v>453</v>
      </c>
      <c r="E100">
        <v>2.41</v>
      </c>
      <c r="F100">
        <v>0</v>
      </c>
      <c r="G100">
        <v>0</v>
      </c>
      <c r="H100">
        <v>2.41</v>
      </c>
      <c r="I100">
        <v>1091.73</v>
      </c>
    </row>
    <row r="101" spans="1:9">
      <c r="A101" t="s">
        <v>146</v>
      </c>
      <c r="B101" t="s">
        <v>42</v>
      </c>
      <c r="C101" t="s">
        <v>43</v>
      </c>
      <c r="D101">
        <v>10</v>
      </c>
      <c r="E101">
        <v>1.4020999999999999</v>
      </c>
      <c r="F101">
        <v>0</v>
      </c>
      <c r="G101">
        <v>0</v>
      </c>
      <c r="H101">
        <v>1.4020999999999999</v>
      </c>
      <c r="I101">
        <v>14.02</v>
      </c>
    </row>
    <row r="102" spans="1:9">
      <c r="A102" t="s">
        <v>147</v>
      </c>
      <c r="B102" t="s">
        <v>148</v>
      </c>
      <c r="C102" t="s">
        <v>149</v>
      </c>
      <c r="D102">
        <v>16</v>
      </c>
      <c r="E102">
        <v>2.3199999999999998</v>
      </c>
      <c r="F102">
        <v>0.45</v>
      </c>
      <c r="G102">
        <v>0</v>
      </c>
      <c r="H102">
        <v>1.276</v>
      </c>
      <c r="I102">
        <v>20.420000000000002</v>
      </c>
    </row>
    <row r="103" spans="1:9">
      <c r="A103" t="s">
        <v>147</v>
      </c>
      <c r="B103" t="s">
        <v>150</v>
      </c>
      <c r="C103" t="s">
        <v>151</v>
      </c>
      <c r="D103">
        <v>3</v>
      </c>
      <c r="E103">
        <v>0.7</v>
      </c>
      <c r="F103">
        <v>0.45</v>
      </c>
      <c r="G103">
        <v>0</v>
      </c>
      <c r="H103">
        <v>0.38500000000000001</v>
      </c>
      <c r="I103">
        <v>1.1599999999999999</v>
      </c>
    </row>
    <row r="104" spans="1:9">
      <c r="A104" t="s">
        <v>147</v>
      </c>
      <c r="B104" t="s">
        <v>152</v>
      </c>
      <c r="C104" t="s">
        <v>153</v>
      </c>
      <c r="D104">
        <v>1</v>
      </c>
      <c r="E104">
        <v>0.7</v>
      </c>
      <c r="F104">
        <v>0.45</v>
      </c>
      <c r="G104">
        <v>0</v>
      </c>
      <c r="H104">
        <v>0.38500000000000001</v>
      </c>
      <c r="I104">
        <v>0.39</v>
      </c>
    </row>
    <row r="105" spans="1:9">
      <c r="A105" t="s">
        <v>147</v>
      </c>
      <c r="B105" t="s">
        <v>154</v>
      </c>
      <c r="C105" t="s">
        <v>155</v>
      </c>
      <c r="D105">
        <v>3</v>
      </c>
      <c r="E105">
        <v>0.7</v>
      </c>
      <c r="F105">
        <v>0.45</v>
      </c>
      <c r="G105">
        <v>0</v>
      </c>
      <c r="H105">
        <v>0.38500000000000001</v>
      </c>
      <c r="I105">
        <v>1.1599999999999999</v>
      </c>
    </row>
    <row r="106" spans="1:9">
      <c r="A106" t="s">
        <v>147</v>
      </c>
      <c r="B106" t="s">
        <v>156</v>
      </c>
      <c r="C106" t="s">
        <v>157</v>
      </c>
      <c r="D106">
        <v>1</v>
      </c>
      <c r="E106">
        <v>2.6</v>
      </c>
      <c r="F106">
        <v>0.4</v>
      </c>
      <c r="G106">
        <v>0</v>
      </c>
      <c r="H106">
        <v>1.56</v>
      </c>
      <c r="I106">
        <v>1.56</v>
      </c>
    </row>
    <row r="107" spans="1:9">
      <c r="A107" t="s">
        <v>158</v>
      </c>
      <c r="B107" t="s">
        <v>159</v>
      </c>
      <c r="C107" t="s">
        <v>160</v>
      </c>
      <c r="D107">
        <v>1</v>
      </c>
      <c r="E107">
        <v>100</v>
      </c>
      <c r="F107">
        <v>0</v>
      </c>
      <c r="G107">
        <v>0</v>
      </c>
      <c r="H107">
        <v>100</v>
      </c>
      <c r="I107">
        <v>100</v>
      </c>
    </row>
    <row r="108" spans="1:9">
      <c r="A108" t="s">
        <v>161</v>
      </c>
      <c r="B108" t="s">
        <v>162</v>
      </c>
      <c r="C108" t="s">
        <v>163</v>
      </c>
      <c r="D108">
        <v>3</v>
      </c>
      <c r="E108">
        <v>39.74</v>
      </c>
      <c r="F108">
        <v>0.45</v>
      </c>
      <c r="G108">
        <v>0</v>
      </c>
      <c r="H108">
        <v>21.857000000000003</v>
      </c>
      <c r="I108">
        <v>65.569999999999993</v>
      </c>
    </row>
    <row r="109" spans="1:9">
      <c r="A109" t="s">
        <v>164</v>
      </c>
      <c r="B109" t="s">
        <v>165</v>
      </c>
      <c r="C109" t="s">
        <v>166</v>
      </c>
      <c r="D109">
        <v>21</v>
      </c>
      <c r="E109">
        <v>8.7799999999999994</v>
      </c>
      <c r="F109">
        <v>0.25</v>
      </c>
      <c r="G109">
        <v>0</v>
      </c>
      <c r="H109">
        <v>6.5849999999999991</v>
      </c>
      <c r="I109">
        <v>138.29</v>
      </c>
    </row>
    <row r="110" spans="1:9">
      <c r="A110" t="s">
        <v>164</v>
      </c>
      <c r="B110" t="s">
        <v>45</v>
      </c>
      <c r="C110" t="s">
        <v>46</v>
      </c>
      <c r="D110">
        <v>21</v>
      </c>
      <c r="E110">
        <v>7.23</v>
      </c>
      <c r="F110">
        <v>0.25</v>
      </c>
      <c r="G110">
        <v>0</v>
      </c>
      <c r="H110">
        <v>5.4225000000000003</v>
      </c>
      <c r="I110">
        <v>113.87</v>
      </c>
    </row>
    <row r="111" spans="1:9">
      <c r="A111" t="s">
        <v>164</v>
      </c>
      <c r="B111" t="s">
        <v>47</v>
      </c>
      <c r="C111" t="s">
        <v>48</v>
      </c>
      <c r="D111">
        <v>12</v>
      </c>
      <c r="E111">
        <v>5.55</v>
      </c>
      <c r="F111">
        <v>0.25</v>
      </c>
      <c r="G111">
        <v>0</v>
      </c>
      <c r="H111">
        <v>4.1624999999999996</v>
      </c>
      <c r="I111">
        <v>49.95</v>
      </c>
    </row>
    <row r="112" spans="1:9">
      <c r="A112" t="s">
        <v>167</v>
      </c>
      <c r="B112" t="s">
        <v>168</v>
      </c>
      <c r="C112" t="s">
        <v>169</v>
      </c>
      <c r="D112">
        <v>50</v>
      </c>
      <c r="E112">
        <v>2.17</v>
      </c>
      <c r="F112">
        <v>0.5</v>
      </c>
      <c r="G112">
        <v>0</v>
      </c>
      <c r="H112">
        <v>1.085</v>
      </c>
      <c r="I112">
        <v>54.25</v>
      </c>
    </row>
    <row r="113" spans="1:9">
      <c r="A113" t="s">
        <v>167</v>
      </c>
      <c r="B113" t="s">
        <v>33</v>
      </c>
      <c r="C113" t="s">
        <v>170</v>
      </c>
      <c r="D113">
        <v>100</v>
      </c>
      <c r="E113">
        <v>0.36</v>
      </c>
      <c r="F113">
        <v>0</v>
      </c>
      <c r="G113">
        <v>0</v>
      </c>
      <c r="H113">
        <v>0.36</v>
      </c>
      <c r="I113">
        <v>36</v>
      </c>
    </row>
    <row r="114" spans="1:9">
      <c r="A114" t="s">
        <v>167</v>
      </c>
      <c r="B114" t="s">
        <v>171</v>
      </c>
      <c r="C114" t="s">
        <v>172</v>
      </c>
      <c r="D114">
        <v>1</v>
      </c>
      <c r="E114">
        <v>26</v>
      </c>
      <c r="F114">
        <v>0</v>
      </c>
      <c r="G114">
        <v>0</v>
      </c>
      <c r="H114">
        <v>26</v>
      </c>
      <c r="I114">
        <v>26</v>
      </c>
    </row>
    <row r="115" spans="1:9">
      <c r="A115" t="s">
        <v>167</v>
      </c>
      <c r="B115" t="s">
        <v>173</v>
      </c>
      <c r="C115" t="s">
        <v>174</v>
      </c>
      <c r="D115">
        <v>1</v>
      </c>
      <c r="E115">
        <v>8.1999999999999993</v>
      </c>
      <c r="F115">
        <v>0</v>
      </c>
      <c r="G115">
        <v>0</v>
      </c>
      <c r="H115">
        <v>8.1999999999999993</v>
      </c>
      <c r="I115">
        <v>8.1999999999999993</v>
      </c>
    </row>
    <row r="116" spans="1:9">
      <c r="A116" t="s">
        <v>167</v>
      </c>
      <c r="B116" t="s">
        <v>19</v>
      </c>
      <c r="C116" t="s">
        <v>175</v>
      </c>
      <c r="D116">
        <v>60</v>
      </c>
      <c r="E116">
        <v>12.44</v>
      </c>
      <c r="F116">
        <v>0.65</v>
      </c>
      <c r="G116">
        <v>0</v>
      </c>
      <c r="H116">
        <v>4.3539999999999992</v>
      </c>
      <c r="I116">
        <v>261.24</v>
      </c>
    </row>
    <row r="117" spans="1:9">
      <c r="A117" t="s">
        <v>167</v>
      </c>
      <c r="B117" t="s">
        <v>13</v>
      </c>
      <c r="C117" t="s">
        <v>56</v>
      </c>
      <c r="D117">
        <v>60</v>
      </c>
      <c r="E117">
        <v>10.41</v>
      </c>
      <c r="F117">
        <v>0.65</v>
      </c>
      <c r="G117">
        <v>0</v>
      </c>
      <c r="H117">
        <v>3.6435</v>
      </c>
      <c r="I117">
        <v>218.61</v>
      </c>
    </row>
    <row r="118" spans="1:9">
      <c r="A118" t="s">
        <v>176</v>
      </c>
      <c r="B118" t="s">
        <v>91</v>
      </c>
      <c r="C118" t="s">
        <v>177</v>
      </c>
      <c r="D118">
        <v>3</v>
      </c>
      <c r="E118">
        <v>0.4</v>
      </c>
      <c r="F118">
        <v>0</v>
      </c>
      <c r="G118">
        <v>0</v>
      </c>
      <c r="H118">
        <v>0.4</v>
      </c>
      <c r="I118">
        <v>1.2</v>
      </c>
    </row>
    <row r="119" spans="1:9">
      <c r="A119" t="s">
        <v>178</v>
      </c>
      <c r="B119" t="s">
        <v>179</v>
      </c>
      <c r="C119" t="s">
        <v>180</v>
      </c>
      <c r="D119">
        <v>300</v>
      </c>
      <c r="E119">
        <v>0.59</v>
      </c>
      <c r="F119">
        <v>0</v>
      </c>
      <c r="G119">
        <v>0</v>
      </c>
      <c r="H119">
        <v>0.59</v>
      </c>
      <c r="I119">
        <v>177</v>
      </c>
    </row>
    <row r="120" spans="1:9">
      <c r="A120" t="s">
        <v>181</v>
      </c>
      <c r="B120" t="s">
        <v>179</v>
      </c>
      <c r="C120" t="s">
        <v>182</v>
      </c>
      <c r="D120">
        <v>100</v>
      </c>
      <c r="E120">
        <v>0.65</v>
      </c>
      <c r="F120">
        <v>0</v>
      </c>
      <c r="G120">
        <v>0</v>
      </c>
      <c r="H120">
        <v>0.65</v>
      </c>
      <c r="I120">
        <v>65</v>
      </c>
    </row>
    <row r="121" spans="1:9">
      <c r="A121" t="s">
        <v>183</v>
      </c>
      <c r="B121" t="s">
        <v>184</v>
      </c>
      <c r="C121" t="s">
        <v>185</v>
      </c>
      <c r="D121">
        <v>224</v>
      </c>
      <c r="E121">
        <v>1.1499999999999999</v>
      </c>
      <c r="F121">
        <v>0</v>
      </c>
      <c r="G121">
        <v>0</v>
      </c>
      <c r="H121">
        <v>1.1499999999999999</v>
      </c>
      <c r="I121">
        <v>257.60000000000002</v>
      </c>
    </row>
    <row r="122" spans="1:9">
      <c r="A122" t="s">
        <v>186</v>
      </c>
      <c r="B122" t="s">
        <v>19</v>
      </c>
      <c r="C122" t="s">
        <v>187</v>
      </c>
      <c r="D122">
        <v>60</v>
      </c>
      <c r="E122">
        <v>12.44</v>
      </c>
      <c r="F122">
        <v>0.65</v>
      </c>
      <c r="G122">
        <v>0</v>
      </c>
      <c r="H122">
        <v>4.3539999999999992</v>
      </c>
      <c r="I122">
        <v>261.24</v>
      </c>
    </row>
    <row r="123" spans="1:9">
      <c r="A123" t="s">
        <v>188</v>
      </c>
      <c r="B123" t="s">
        <v>189</v>
      </c>
      <c r="C123" t="s">
        <v>190</v>
      </c>
      <c r="D123">
        <v>20</v>
      </c>
      <c r="E123">
        <v>4.5</v>
      </c>
      <c r="F123">
        <v>0</v>
      </c>
      <c r="G123">
        <v>0</v>
      </c>
      <c r="H123">
        <v>4.5</v>
      </c>
      <c r="I123">
        <v>90</v>
      </c>
    </row>
    <row r="124" spans="1:9">
      <c r="A124" t="s">
        <v>188</v>
      </c>
      <c r="B124" t="s">
        <v>148</v>
      </c>
      <c r="C124" t="s">
        <v>149</v>
      </c>
      <c r="D124">
        <v>2</v>
      </c>
      <c r="E124">
        <v>2.3199999999999998</v>
      </c>
      <c r="F124">
        <v>0.3</v>
      </c>
      <c r="G124">
        <v>0</v>
      </c>
      <c r="H124">
        <v>1.6239999999999999</v>
      </c>
      <c r="I124">
        <v>3.25</v>
      </c>
    </row>
    <row r="125" spans="1:9">
      <c r="A125" t="s">
        <v>188</v>
      </c>
      <c r="B125" t="s">
        <v>150</v>
      </c>
      <c r="C125" t="s">
        <v>151</v>
      </c>
      <c r="D125">
        <v>2</v>
      </c>
      <c r="E125">
        <v>0.7</v>
      </c>
      <c r="F125">
        <v>0.3</v>
      </c>
      <c r="G125">
        <v>0</v>
      </c>
      <c r="H125">
        <v>0.48999999999999994</v>
      </c>
      <c r="I125">
        <v>0.98</v>
      </c>
    </row>
    <row r="126" spans="1:9">
      <c r="A126" t="s">
        <v>188</v>
      </c>
      <c r="B126" t="s">
        <v>191</v>
      </c>
      <c r="C126" t="s">
        <v>192</v>
      </c>
      <c r="D126">
        <v>1</v>
      </c>
      <c r="E126">
        <v>46.51</v>
      </c>
      <c r="F126">
        <v>0.4</v>
      </c>
      <c r="G126">
        <v>0</v>
      </c>
      <c r="H126">
        <v>27.905999999999999</v>
      </c>
      <c r="I126">
        <v>27.91</v>
      </c>
    </row>
    <row r="127" spans="1:9">
      <c r="A127" t="s">
        <v>188</v>
      </c>
      <c r="B127" t="s">
        <v>193</v>
      </c>
      <c r="C127" t="s">
        <v>194</v>
      </c>
      <c r="D127">
        <v>2</v>
      </c>
      <c r="E127">
        <v>2.4</v>
      </c>
      <c r="F127">
        <v>0.3</v>
      </c>
      <c r="G127">
        <v>0</v>
      </c>
      <c r="H127">
        <v>1.68</v>
      </c>
      <c r="I127">
        <v>3.36</v>
      </c>
    </row>
    <row r="128" spans="1:9">
      <c r="A128" t="s">
        <v>195</v>
      </c>
      <c r="B128" t="s">
        <v>196</v>
      </c>
      <c r="C128" t="s">
        <v>197</v>
      </c>
      <c r="D128">
        <v>360</v>
      </c>
      <c r="E128">
        <v>3.4</v>
      </c>
      <c r="F128">
        <v>0</v>
      </c>
      <c r="G128">
        <v>0</v>
      </c>
      <c r="H128">
        <v>3.4</v>
      </c>
      <c r="I128">
        <v>1224</v>
      </c>
    </row>
    <row r="129" spans="1:9">
      <c r="A129" t="s">
        <v>195</v>
      </c>
      <c r="B129" t="s">
        <v>198</v>
      </c>
      <c r="C129" t="s">
        <v>199</v>
      </c>
      <c r="D129">
        <v>1</v>
      </c>
      <c r="E129">
        <v>135</v>
      </c>
      <c r="F129">
        <v>0</v>
      </c>
      <c r="G129">
        <v>0</v>
      </c>
      <c r="H129">
        <v>135</v>
      </c>
      <c r="I129">
        <v>135</v>
      </c>
    </row>
    <row r="130" spans="1:9">
      <c r="A130" t="s">
        <v>195</v>
      </c>
      <c r="B130" t="s">
        <v>200</v>
      </c>
      <c r="C130" t="s">
        <v>201</v>
      </c>
      <c r="D130">
        <v>265</v>
      </c>
      <c r="E130">
        <v>1.83</v>
      </c>
      <c r="F130">
        <v>0</v>
      </c>
      <c r="G130">
        <v>0</v>
      </c>
      <c r="H130">
        <v>1.83</v>
      </c>
      <c r="I130">
        <v>484.95</v>
      </c>
    </row>
    <row r="131" spans="1:9">
      <c r="A131" t="s">
        <v>195</v>
      </c>
      <c r="B131" t="s">
        <v>202</v>
      </c>
      <c r="C131" t="s">
        <v>203</v>
      </c>
      <c r="D131">
        <v>1</v>
      </c>
      <c r="E131">
        <v>90</v>
      </c>
      <c r="F131">
        <v>0</v>
      </c>
      <c r="G131">
        <v>0</v>
      </c>
      <c r="H131">
        <v>90</v>
      </c>
      <c r="I131">
        <v>90</v>
      </c>
    </row>
    <row r="132" spans="1:9">
      <c r="A132" t="s">
        <v>204</v>
      </c>
      <c r="B132" t="s">
        <v>38</v>
      </c>
      <c r="C132" t="s">
        <v>39</v>
      </c>
      <c r="D132">
        <v>24</v>
      </c>
      <c r="E132">
        <v>7.68</v>
      </c>
      <c r="F132">
        <v>0.65</v>
      </c>
      <c r="G132">
        <v>0</v>
      </c>
      <c r="H132">
        <v>2.6879999999999997</v>
      </c>
      <c r="I132">
        <v>64.510000000000005</v>
      </c>
    </row>
    <row r="133" spans="1:9">
      <c r="A133" t="s">
        <v>204</v>
      </c>
      <c r="B133" t="s">
        <v>23</v>
      </c>
      <c r="C133" t="s">
        <v>24</v>
      </c>
      <c r="D133">
        <v>24</v>
      </c>
      <c r="E133">
        <v>7.59</v>
      </c>
      <c r="F133">
        <v>0.63</v>
      </c>
      <c r="G133">
        <v>0</v>
      </c>
      <c r="H133">
        <v>2.8083</v>
      </c>
      <c r="I133">
        <v>67.400000000000006</v>
      </c>
    </row>
    <row r="134" spans="1:9">
      <c r="A134" t="s">
        <v>204</v>
      </c>
      <c r="B134" t="s">
        <v>205</v>
      </c>
      <c r="C134" t="s">
        <v>206</v>
      </c>
      <c r="D134">
        <v>2</v>
      </c>
      <c r="E134">
        <v>0.36020000000000002</v>
      </c>
      <c r="F134">
        <v>0.5</v>
      </c>
      <c r="G134">
        <v>0</v>
      </c>
      <c r="H134">
        <v>0.18010000000000001</v>
      </c>
      <c r="I134">
        <v>0.36</v>
      </c>
    </row>
    <row r="135" spans="1:9">
      <c r="A135" t="s">
        <v>207</v>
      </c>
      <c r="B135" t="s">
        <v>42</v>
      </c>
      <c r="C135" t="s">
        <v>43</v>
      </c>
      <c r="D135">
        <v>25</v>
      </c>
      <c r="E135">
        <v>1.99</v>
      </c>
      <c r="F135">
        <v>0</v>
      </c>
      <c r="G135">
        <v>0</v>
      </c>
      <c r="H135">
        <v>1.99</v>
      </c>
    </row>
    <row r="136" spans="1:9">
      <c r="A136" t="s">
        <v>207</v>
      </c>
      <c r="B136" t="s">
        <v>40</v>
      </c>
      <c r="C136" t="s">
        <v>41</v>
      </c>
      <c r="D136">
        <v>50</v>
      </c>
      <c r="E136">
        <v>0.4</v>
      </c>
      <c r="F136">
        <v>0</v>
      </c>
      <c r="G136">
        <v>0</v>
      </c>
      <c r="H136">
        <v>0.4</v>
      </c>
    </row>
    <row r="137" spans="1:9">
      <c r="A137" t="s">
        <v>208</v>
      </c>
      <c r="B137" t="s">
        <v>23</v>
      </c>
      <c r="C137" t="s">
        <v>24</v>
      </c>
      <c r="D137">
        <v>30</v>
      </c>
      <c r="E137">
        <v>7.59</v>
      </c>
      <c r="F137">
        <v>0.63</v>
      </c>
      <c r="G137">
        <v>0</v>
      </c>
      <c r="H137">
        <v>2.8083</v>
      </c>
      <c r="I137">
        <v>84.25</v>
      </c>
    </row>
    <row r="138" spans="1:9">
      <c r="A138" t="s">
        <v>208</v>
      </c>
      <c r="B138" t="s">
        <v>209</v>
      </c>
      <c r="C138" t="s">
        <v>210</v>
      </c>
      <c r="D138">
        <v>30</v>
      </c>
      <c r="E138">
        <v>12.57</v>
      </c>
      <c r="F138">
        <v>0.66</v>
      </c>
      <c r="G138">
        <v>0</v>
      </c>
      <c r="H138">
        <v>4.2737999999999996</v>
      </c>
      <c r="I138">
        <v>128.21</v>
      </c>
    </row>
    <row r="139" spans="1:9">
      <c r="A139" t="s">
        <v>211</v>
      </c>
      <c r="B139" t="s">
        <v>33</v>
      </c>
      <c r="C139" t="s">
        <v>34</v>
      </c>
      <c r="D139">
        <v>80</v>
      </c>
      <c r="E139">
        <v>0.42</v>
      </c>
      <c r="F139">
        <v>0</v>
      </c>
      <c r="G139">
        <v>0</v>
      </c>
      <c r="H139">
        <v>0.42</v>
      </c>
    </row>
    <row r="140" spans="1:9">
      <c r="A140" t="s">
        <v>211</v>
      </c>
      <c r="B140" t="s">
        <v>212</v>
      </c>
      <c r="C140" t="s">
        <v>213</v>
      </c>
      <c r="D140">
        <v>200</v>
      </c>
      <c r="E140">
        <v>6.7799999999999999E-2</v>
      </c>
      <c r="F140">
        <v>0</v>
      </c>
      <c r="G140">
        <v>0</v>
      </c>
      <c r="H140">
        <v>6.7799999999999999E-2</v>
      </c>
    </row>
    <row r="141" spans="1:9">
      <c r="A141" t="s">
        <v>214</v>
      </c>
      <c r="B141" t="s">
        <v>38</v>
      </c>
      <c r="C141" t="s">
        <v>39</v>
      </c>
      <c r="D141">
        <v>90</v>
      </c>
      <c r="E141">
        <v>7.68</v>
      </c>
      <c r="F141">
        <v>0.65</v>
      </c>
      <c r="G141">
        <v>0</v>
      </c>
      <c r="H141">
        <v>2.6879999999999997</v>
      </c>
      <c r="I141">
        <v>241.92</v>
      </c>
    </row>
    <row r="142" spans="1:9">
      <c r="A142" t="s">
        <v>214</v>
      </c>
      <c r="B142" t="s">
        <v>23</v>
      </c>
      <c r="C142" t="s">
        <v>24</v>
      </c>
      <c r="D142">
        <v>12</v>
      </c>
      <c r="E142">
        <v>7.59</v>
      </c>
      <c r="F142">
        <v>0.63</v>
      </c>
      <c r="G142">
        <v>0</v>
      </c>
      <c r="H142">
        <v>2.8083</v>
      </c>
      <c r="I142">
        <v>33.700000000000003</v>
      </c>
    </row>
    <row r="143" spans="1:9">
      <c r="A143" t="s">
        <v>215</v>
      </c>
      <c r="B143" t="s">
        <v>216</v>
      </c>
      <c r="C143" t="s">
        <v>217</v>
      </c>
      <c r="D143">
        <v>21</v>
      </c>
      <c r="E143">
        <v>6.95</v>
      </c>
      <c r="F143">
        <v>0.28000000000000003</v>
      </c>
      <c r="G143">
        <v>0</v>
      </c>
      <c r="H143">
        <v>5.0039999999999996</v>
      </c>
      <c r="I143">
        <v>105.08</v>
      </c>
    </row>
    <row r="144" spans="1:9">
      <c r="A144" t="s">
        <v>215</v>
      </c>
      <c r="B144" t="s">
        <v>218</v>
      </c>
      <c r="C144" t="s">
        <v>219</v>
      </c>
      <c r="D144">
        <v>21</v>
      </c>
      <c r="E144">
        <v>8.44</v>
      </c>
      <c r="F144">
        <v>0.28000000000000003</v>
      </c>
      <c r="G144">
        <v>0</v>
      </c>
      <c r="H144">
        <v>6.0767999999999995</v>
      </c>
      <c r="I144">
        <v>127.61</v>
      </c>
    </row>
    <row r="145" spans="1:9">
      <c r="A145" t="s">
        <v>215</v>
      </c>
      <c r="B145" t="s">
        <v>220</v>
      </c>
      <c r="C145" t="s">
        <v>221</v>
      </c>
      <c r="D145">
        <v>50</v>
      </c>
      <c r="E145">
        <v>2.9336000000000002</v>
      </c>
      <c r="F145">
        <v>0.28000000000000003</v>
      </c>
      <c r="G145">
        <v>0</v>
      </c>
      <c r="H145">
        <v>2.1121920000000003</v>
      </c>
      <c r="I145">
        <v>105.61</v>
      </c>
    </row>
    <row r="146" spans="1:9">
      <c r="A146" t="s">
        <v>222</v>
      </c>
      <c r="B146" t="s">
        <v>79</v>
      </c>
      <c r="C146" t="s">
        <v>80</v>
      </c>
      <c r="D146">
        <v>10</v>
      </c>
      <c r="E146">
        <v>62</v>
      </c>
      <c r="F146">
        <v>0</v>
      </c>
      <c r="G146">
        <v>0</v>
      </c>
      <c r="H146">
        <v>62</v>
      </c>
      <c r="I146">
        <v>620</v>
      </c>
    </row>
    <row r="147" spans="1:9">
      <c r="A147" t="s">
        <v>223</v>
      </c>
      <c r="B147" t="s">
        <v>45</v>
      </c>
      <c r="C147" t="s">
        <v>46</v>
      </c>
      <c r="D147">
        <v>9</v>
      </c>
      <c r="E147">
        <v>7.23</v>
      </c>
      <c r="F147">
        <v>0.25</v>
      </c>
      <c r="G147">
        <v>0</v>
      </c>
      <c r="H147">
        <v>5.4225000000000003</v>
      </c>
    </row>
    <row r="148" spans="1:9">
      <c r="A148" t="s">
        <v>223</v>
      </c>
      <c r="B148" t="s">
        <v>47</v>
      </c>
      <c r="C148" t="s">
        <v>48</v>
      </c>
      <c r="D148">
        <v>12</v>
      </c>
      <c r="E148">
        <v>5.55</v>
      </c>
      <c r="F148">
        <v>0.25</v>
      </c>
      <c r="G148">
        <v>0</v>
      </c>
      <c r="H148">
        <v>4.1624999999999996</v>
      </c>
    </row>
    <row r="149" spans="1:9">
      <c r="A149" t="s">
        <v>224</v>
      </c>
      <c r="B149" t="s">
        <v>110</v>
      </c>
      <c r="C149" t="s">
        <v>111</v>
      </c>
      <c r="D149">
        <v>9</v>
      </c>
      <c r="E149">
        <v>13.05</v>
      </c>
      <c r="F149">
        <v>0.6</v>
      </c>
      <c r="G149">
        <v>0</v>
      </c>
      <c r="H149">
        <v>5.2200000000000006</v>
      </c>
    </row>
    <row r="150" spans="1:9">
      <c r="A150" t="s">
        <v>224</v>
      </c>
      <c r="B150" t="s">
        <v>212</v>
      </c>
      <c r="C150" t="s">
        <v>213</v>
      </c>
      <c r="D150">
        <v>100</v>
      </c>
      <c r="E150">
        <v>6.7799999999999999E-2</v>
      </c>
      <c r="F150">
        <v>0</v>
      </c>
      <c r="G150">
        <v>0</v>
      </c>
      <c r="H150">
        <v>6.7799999999999999E-2</v>
      </c>
    </row>
    <row r="151" spans="1:9">
      <c r="A151" t="s">
        <v>225</v>
      </c>
      <c r="B151" t="s">
        <v>38</v>
      </c>
      <c r="C151" t="s">
        <v>39</v>
      </c>
      <c r="D151">
        <v>60</v>
      </c>
      <c r="E151">
        <v>7.68</v>
      </c>
      <c r="F151">
        <v>0.67</v>
      </c>
      <c r="G151">
        <v>0</v>
      </c>
      <c r="H151">
        <v>2.5343999999999998</v>
      </c>
      <c r="I151">
        <v>152.06</v>
      </c>
    </row>
    <row r="152" spans="1:9">
      <c r="A152" t="s">
        <v>225</v>
      </c>
      <c r="B152" t="s">
        <v>23</v>
      </c>
      <c r="C152" t="s">
        <v>24</v>
      </c>
      <c r="D152">
        <v>60</v>
      </c>
      <c r="E152">
        <v>7.59</v>
      </c>
      <c r="F152">
        <v>0.63</v>
      </c>
      <c r="G152">
        <v>0</v>
      </c>
      <c r="H152">
        <v>2.8083</v>
      </c>
      <c r="I152">
        <v>168.5</v>
      </c>
    </row>
    <row r="153" spans="1:9">
      <c r="A153" t="s">
        <v>225</v>
      </c>
      <c r="B153" t="s">
        <v>31</v>
      </c>
      <c r="C153" t="s">
        <v>32</v>
      </c>
      <c r="D153">
        <v>10</v>
      </c>
      <c r="E153">
        <v>6.48</v>
      </c>
      <c r="F153">
        <v>0.63</v>
      </c>
      <c r="G153">
        <v>0</v>
      </c>
      <c r="H153">
        <v>2.3976000000000002</v>
      </c>
      <c r="I153">
        <v>23.98</v>
      </c>
    </row>
    <row r="154" spans="1:9">
      <c r="A154" t="s">
        <v>225</v>
      </c>
      <c r="B154" t="s">
        <v>33</v>
      </c>
      <c r="C154" t="s">
        <v>34</v>
      </c>
      <c r="D154">
        <v>30</v>
      </c>
      <c r="E154">
        <v>1.05</v>
      </c>
      <c r="F154">
        <v>0.63</v>
      </c>
      <c r="G154">
        <v>0</v>
      </c>
      <c r="H154">
        <v>0.38850000000000001</v>
      </c>
      <c r="I154">
        <v>11.66</v>
      </c>
    </row>
    <row r="155" spans="1:9">
      <c r="A155" t="s">
        <v>225</v>
      </c>
      <c r="B155" t="s">
        <v>40</v>
      </c>
      <c r="C155" t="s">
        <v>226</v>
      </c>
      <c r="D155">
        <v>40</v>
      </c>
      <c r="E155">
        <v>1.1399999999999999</v>
      </c>
      <c r="F155">
        <v>0.63</v>
      </c>
      <c r="G155">
        <v>0</v>
      </c>
      <c r="H155">
        <v>0.42179999999999995</v>
      </c>
      <c r="I155">
        <v>16.87</v>
      </c>
    </row>
    <row r="156" spans="1:9">
      <c r="A156" t="s">
        <v>225</v>
      </c>
      <c r="B156" t="s">
        <v>42</v>
      </c>
      <c r="C156" t="s">
        <v>43</v>
      </c>
      <c r="D156">
        <v>3</v>
      </c>
      <c r="E156">
        <v>4.78</v>
      </c>
      <c r="F156">
        <v>0.63</v>
      </c>
      <c r="G156">
        <v>0</v>
      </c>
      <c r="H156">
        <v>1.7686000000000002</v>
      </c>
      <c r="I156">
        <v>5.31</v>
      </c>
    </row>
    <row r="157" spans="1:9">
      <c r="A157" t="s">
        <v>225</v>
      </c>
      <c r="B157" t="s">
        <v>227</v>
      </c>
      <c r="C157" t="s">
        <v>228</v>
      </c>
      <c r="D157">
        <v>2</v>
      </c>
      <c r="E157">
        <v>0.88</v>
      </c>
      <c r="F157">
        <v>0</v>
      </c>
      <c r="G157">
        <v>0</v>
      </c>
      <c r="H157">
        <v>0.88</v>
      </c>
      <c r="I157">
        <v>1.76</v>
      </c>
    </row>
    <row r="158" spans="1:9">
      <c r="A158" t="s">
        <v>225</v>
      </c>
      <c r="B158" t="s">
        <v>229</v>
      </c>
      <c r="C158" t="s">
        <v>228</v>
      </c>
      <c r="D158">
        <v>2</v>
      </c>
      <c r="E158">
        <v>0.88</v>
      </c>
      <c r="F158">
        <v>0</v>
      </c>
      <c r="G158">
        <v>0</v>
      </c>
      <c r="H158">
        <v>0.88</v>
      </c>
      <c r="I158">
        <v>1.76</v>
      </c>
    </row>
    <row r="159" spans="1:9">
      <c r="A159" t="s">
        <v>225</v>
      </c>
      <c r="B159" t="s">
        <v>230</v>
      </c>
      <c r="C159" t="s">
        <v>228</v>
      </c>
      <c r="D159">
        <v>2</v>
      </c>
      <c r="E159">
        <v>0.88</v>
      </c>
      <c r="F159">
        <v>0</v>
      </c>
      <c r="G159">
        <v>0</v>
      </c>
      <c r="H159">
        <v>0.88</v>
      </c>
      <c r="I159">
        <v>1.76</v>
      </c>
    </row>
    <row r="160" spans="1:9">
      <c r="A160" t="s">
        <v>225</v>
      </c>
      <c r="B160" t="s">
        <v>231</v>
      </c>
      <c r="C160" t="s">
        <v>228</v>
      </c>
      <c r="D160">
        <v>2</v>
      </c>
      <c r="E160">
        <v>0.88</v>
      </c>
      <c r="F160">
        <v>0</v>
      </c>
      <c r="G160">
        <v>0</v>
      </c>
      <c r="H160">
        <v>0.88</v>
      </c>
      <c r="I160">
        <v>1.76</v>
      </c>
    </row>
    <row r="161" spans="1:9">
      <c r="A161" t="s">
        <v>225</v>
      </c>
      <c r="B161" t="s">
        <v>232</v>
      </c>
      <c r="C161" t="s">
        <v>228</v>
      </c>
      <c r="D161">
        <v>2</v>
      </c>
      <c r="E161">
        <v>0.88</v>
      </c>
      <c r="F161">
        <v>0</v>
      </c>
      <c r="G161">
        <v>0</v>
      </c>
      <c r="H161">
        <v>0.88</v>
      </c>
      <c r="I161">
        <v>1.76</v>
      </c>
    </row>
    <row r="162" spans="1:9">
      <c r="A162" t="s">
        <v>225</v>
      </c>
      <c r="B162" t="s">
        <v>233</v>
      </c>
      <c r="C162" t="s">
        <v>228</v>
      </c>
      <c r="D162">
        <v>2</v>
      </c>
      <c r="E162">
        <v>0.88</v>
      </c>
      <c r="F162">
        <v>0</v>
      </c>
      <c r="G162">
        <v>0</v>
      </c>
      <c r="H162">
        <v>0.88</v>
      </c>
      <c r="I162">
        <v>1.76</v>
      </c>
    </row>
    <row r="163" spans="1:9">
      <c r="A163" t="s">
        <v>225</v>
      </c>
      <c r="B163" t="s">
        <v>234</v>
      </c>
      <c r="C163" t="s">
        <v>235</v>
      </c>
      <c r="D163">
        <v>2</v>
      </c>
      <c r="E163">
        <v>0.88</v>
      </c>
      <c r="F163">
        <v>0</v>
      </c>
      <c r="G163">
        <v>0</v>
      </c>
      <c r="H163">
        <v>0.88</v>
      </c>
      <c r="I163">
        <v>1.76</v>
      </c>
    </row>
    <row r="164" spans="1:9">
      <c r="A164" t="s">
        <v>225</v>
      </c>
      <c r="B164" t="s">
        <v>236</v>
      </c>
      <c r="C164" t="s">
        <v>235</v>
      </c>
      <c r="D164">
        <v>2</v>
      </c>
      <c r="E164">
        <v>0.88</v>
      </c>
      <c r="F164">
        <v>0</v>
      </c>
      <c r="G164">
        <v>0</v>
      </c>
      <c r="H164">
        <v>0.88</v>
      </c>
      <c r="I164">
        <v>1.76</v>
      </c>
    </row>
    <row r="165" spans="1:9">
      <c r="A165" t="s">
        <v>225</v>
      </c>
      <c r="B165" t="s">
        <v>237</v>
      </c>
      <c r="C165" t="s">
        <v>238</v>
      </c>
      <c r="D165">
        <v>1</v>
      </c>
      <c r="E165">
        <v>2.8</v>
      </c>
      <c r="F165">
        <v>0</v>
      </c>
      <c r="G165">
        <v>0</v>
      </c>
      <c r="H165">
        <v>2.8</v>
      </c>
      <c r="I165">
        <v>2.8</v>
      </c>
    </row>
    <row r="166" spans="1:9">
      <c r="A166" t="s">
        <v>239</v>
      </c>
      <c r="B166" t="s">
        <v>110</v>
      </c>
      <c r="C166" t="s">
        <v>111</v>
      </c>
      <c r="D166">
        <v>6</v>
      </c>
      <c r="E166">
        <v>13.05</v>
      </c>
      <c r="F166">
        <v>0.63</v>
      </c>
      <c r="G166">
        <v>0</v>
      </c>
      <c r="H166">
        <v>4.8285</v>
      </c>
      <c r="I166">
        <v>28.97</v>
      </c>
    </row>
    <row r="167" spans="1:9">
      <c r="A167" t="s">
        <v>240</v>
      </c>
      <c r="B167" t="s">
        <v>241</v>
      </c>
      <c r="C167" t="s">
        <v>242</v>
      </c>
      <c r="D167">
        <v>1</v>
      </c>
      <c r="E167">
        <v>3.85</v>
      </c>
      <c r="F167">
        <v>0.45</v>
      </c>
      <c r="G167">
        <v>0</v>
      </c>
      <c r="H167">
        <v>2.1175000000000002</v>
      </c>
      <c r="I167">
        <v>2.12</v>
      </c>
    </row>
    <row r="168" spans="1:9">
      <c r="A168" t="s">
        <v>240</v>
      </c>
      <c r="B168" t="s">
        <v>243</v>
      </c>
      <c r="C168" t="s">
        <v>244</v>
      </c>
      <c r="D168">
        <v>1</v>
      </c>
      <c r="E168">
        <v>3.85</v>
      </c>
      <c r="F168">
        <v>0.45</v>
      </c>
      <c r="G168">
        <v>0</v>
      </c>
      <c r="H168">
        <v>2.1175000000000002</v>
      </c>
      <c r="I168">
        <v>2.12</v>
      </c>
    </row>
    <row r="169" spans="1:9">
      <c r="A169" t="s">
        <v>240</v>
      </c>
      <c r="B169" t="s">
        <v>245</v>
      </c>
      <c r="C169" t="s">
        <v>246</v>
      </c>
      <c r="D169">
        <v>1</v>
      </c>
      <c r="E169">
        <v>3.85</v>
      </c>
      <c r="F169">
        <v>0.45</v>
      </c>
      <c r="G169">
        <v>0</v>
      </c>
      <c r="H169">
        <v>2.1175000000000002</v>
      </c>
      <c r="I169">
        <v>2.12</v>
      </c>
    </row>
    <row r="170" spans="1:9">
      <c r="A170" t="s">
        <v>240</v>
      </c>
      <c r="B170" t="s">
        <v>247</v>
      </c>
      <c r="C170" t="s">
        <v>248</v>
      </c>
      <c r="D170">
        <v>1</v>
      </c>
      <c r="E170">
        <v>3.85</v>
      </c>
      <c r="F170">
        <v>0.45</v>
      </c>
      <c r="G170">
        <v>0</v>
      </c>
      <c r="H170">
        <v>2.1175000000000002</v>
      </c>
      <c r="I170">
        <v>2.12</v>
      </c>
    </row>
    <row r="171" spans="1:9">
      <c r="A171" t="s">
        <v>240</v>
      </c>
      <c r="B171" t="s">
        <v>249</v>
      </c>
      <c r="C171" t="s">
        <v>250</v>
      </c>
      <c r="D171">
        <v>1</v>
      </c>
      <c r="E171">
        <v>12.33</v>
      </c>
      <c r="F171">
        <v>0.45</v>
      </c>
      <c r="G171">
        <v>0</v>
      </c>
      <c r="H171">
        <v>6.7815000000000003</v>
      </c>
      <c r="I171">
        <v>6.78</v>
      </c>
    </row>
    <row r="172" spans="1:9">
      <c r="A172" t="s">
        <v>240</v>
      </c>
      <c r="B172" t="s">
        <v>251</v>
      </c>
      <c r="C172" t="s">
        <v>252</v>
      </c>
      <c r="D172">
        <v>1</v>
      </c>
      <c r="E172">
        <v>5.15</v>
      </c>
      <c r="F172">
        <v>0.45</v>
      </c>
      <c r="G172">
        <v>0</v>
      </c>
      <c r="H172">
        <v>2.8325000000000005</v>
      </c>
      <c r="I172">
        <v>2.83</v>
      </c>
    </row>
    <row r="173" spans="1:9">
      <c r="A173" t="s">
        <v>240</v>
      </c>
      <c r="B173" t="s">
        <v>253</v>
      </c>
      <c r="C173" t="s">
        <v>254</v>
      </c>
      <c r="D173">
        <v>1</v>
      </c>
      <c r="E173">
        <v>5.15</v>
      </c>
      <c r="F173">
        <v>0.45</v>
      </c>
      <c r="G173">
        <v>0</v>
      </c>
      <c r="H173">
        <v>2.8325000000000005</v>
      </c>
      <c r="I173">
        <v>2.83</v>
      </c>
    </row>
    <row r="174" spans="1:9">
      <c r="A174" t="s">
        <v>240</v>
      </c>
      <c r="B174" t="s">
        <v>255</v>
      </c>
      <c r="C174" t="s">
        <v>256</v>
      </c>
      <c r="D174">
        <v>1</v>
      </c>
      <c r="E174">
        <v>5.15</v>
      </c>
      <c r="F174">
        <v>0.45</v>
      </c>
      <c r="G174">
        <v>0</v>
      </c>
      <c r="H174">
        <v>2.8325000000000005</v>
      </c>
      <c r="I174">
        <v>2.83</v>
      </c>
    </row>
    <row r="175" spans="1:9">
      <c r="A175" t="s">
        <v>240</v>
      </c>
      <c r="B175" t="s">
        <v>257</v>
      </c>
      <c r="C175" t="s">
        <v>258</v>
      </c>
      <c r="D175">
        <v>1</v>
      </c>
      <c r="E175">
        <v>5.15</v>
      </c>
      <c r="F175">
        <v>0.45</v>
      </c>
      <c r="G175">
        <v>0</v>
      </c>
      <c r="H175">
        <v>2.8325000000000005</v>
      </c>
      <c r="I175">
        <v>2.83</v>
      </c>
    </row>
    <row r="176" spans="1:9">
      <c r="A176" t="s">
        <v>240</v>
      </c>
      <c r="B176" t="s">
        <v>259</v>
      </c>
      <c r="C176" t="s">
        <v>260</v>
      </c>
      <c r="D176">
        <v>1</v>
      </c>
      <c r="E176">
        <v>15.29</v>
      </c>
      <c r="F176">
        <v>0.45</v>
      </c>
      <c r="G176">
        <v>0</v>
      </c>
      <c r="H176">
        <v>8.4094999999999995</v>
      </c>
      <c r="I176">
        <v>8.41</v>
      </c>
    </row>
    <row r="177" spans="1:9">
      <c r="A177" t="s">
        <v>240</v>
      </c>
      <c r="B177" t="s">
        <v>27</v>
      </c>
      <c r="C177" t="s">
        <v>261</v>
      </c>
      <c r="D177">
        <v>10</v>
      </c>
      <c r="E177">
        <v>11.09</v>
      </c>
      <c r="F177">
        <v>0.63</v>
      </c>
      <c r="G177">
        <v>0</v>
      </c>
      <c r="H177">
        <v>4.1032999999999999</v>
      </c>
      <c r="I177">
        <v>41.03</v>
      </c>
    </row>
    <row r="178" spans="1:9">
      <c r="A178" t="s">
        <v>240</v>
      </c>
      <c r="B178" t="s">
        <v>40</v>
      </c>
      <c r="C178" t="s">
        <v>41</v>
      </c>
      <c r="D178">
        <v>50</v>
      </c>
      <c r="E178">
        <v>1.1399999999999999</v>
      </c>
      <c r="F178">
        <v>0.63</v>
      </c>
      <c r="G178">
        <v>0</v>
      </c>
      <c r="H178">
        <v>0.42179999999999995</v>
      </c>
      <c r="I178">
        <v>21.09</v>
      </c>
    </row>
    <row r="179" spans="1:9">
      <c r="A179" t="s">
        <v>240</v>
      </c>
      <c r="B179" t="s">
        <v>76</v>
      </c>
      <c r="C179" t="s">
        <v>77</v>
      </c>
      <c r="D179">
        <v>12</v>
      </c>
      <c r="E179">
        <v>16.98</v>
      </c>
      <c r="F179">
        <v>0.66</v>
      </c>
      <c r="G179">
        <v>0</v>
      </c>
      <c r="H179">
        <v>5.7731999999999992</v>
      </c>
      <c r="I179">
        <v>69.28</v>
      </c>
    </row>
    <row r="180" spans="1:9">
      <c r="A180" t="s">
        <v>262</v>
      </c>
      <c r="B180" t="s">
        <v>42</v>
      </c>
      <c r="C180" t="s">
        <v>43</v>
      </c>
      <c r="D180">
        <v>10</v>
      </c>
      <c r="E180">
        <v>4.78</v>
      </c>
      <c r="F180">
        <v>0.6</v>
      </c>
      <c r="G180">
        <v>0</v>
      </c>
      <c r="H180">
        <v>1.9120000000000001</v>
      </c>
      <c r="I180">
        <v>19.12</v>
      </c>
    </row>
    <row r="181" spans="1:9">
      <c r="A181" t="s">
        <v>263</v>
      </c>
      <c r="B181" t="s">
        <v>38</v>
      </c>
      <c r="C181" t="s">
        <v>39</v>
      </c>
      <c r="D181">
        <v>81</v>
      </c>
      <c r="E181">
        <v>7.68</v>
      </c>
      <c r="F181">
        <v>0.6</v>
      </c>
      <c r="G181">
        <v>0</v>
      </c>
      <c r="H181">
        <v>3.0720000000000001</v>
      </c>
      <c r="I181">
        <v>248.83</v>
      </c>
    </row>
    <row r="182" spans="1:9">
      <c r="A182" t="s">
        <v>263</v>
      </c>
      <c r="B182" t="s">
        <v>23</v>
      </c>
      <c r="C182" t="s">
        <v>24</v>
      </c>
      <c r="D182">
        <v>81</v>
      </c>
      <c r="E182">
        <v>7.59</v>
      </c>
      <c r="F182">
        <v>0.6</v>
      </c>
      <c r="G182">
        <v>0</v>
      </c>
      <c r="H182">
        <v>3.036</v>
      </c>
      <c r="I182">
        <v>245.92</v>
      </c>
    </row>
    <row r="183" spans="1:9">
      <c r="A183" t="s">
        <v>263</v>
      </c>
      <c r="B183" t="s">
        <v>33</v>
      </c>
      <c r="C183" t="s">
        <v>34</v>
      </c>
      <c r="D183">
        <v>150</v>
      </c>
      <c r="E183">
        <v>1.05</v>
      </c>
      <c r="F183">
        <v>0.5</v>
      </c>
      <c r="G183">
        <v>0</v>
      </c>
      <c r="H183">
        <v>0.52500000000000002</v>
      </c>
      <c r="I183">
        <v>78.75</v>
      </c>
    </row>
    <row r="184" spans="1:9">
      <c r="A184" t="s">
        <v>263</v>
      </c>
      <c r="B184" t="s">
        <v>40</v>
      </c>
      <c r="C184" t="s">
        <v>41</v>
      </c>
      <c r="D184">
        <v>100</v>
      </c>
      <c r="E184">
        <v>1.1399999999999999</v>
      </c>
      <c r="F184">
        <v>0.6</v>
      </c>
      <c r="G184">
        <v>0</v>
      </c>
      <c r="H184">
        <v>0.45599999999999996</v>
      </c>
      <c r="I184">
        <v>45.6</v>
      </c>
    </row>
    <row r="185" spans="1:9">
      <c r="A185" t="s">
        <v>263</v>
      </c>
      <c r="B185" t="s">
        <v>31</v>
      </c>
      <c r="C185" t="s">
        <v>32</v>
      </c>
      <c r="D185">
        <v>60</v>
      </c>
      <c r="E185">
        <v>2.54</v>
      </c>
      <c r="F185">
        <v>0</v>
      </c>
      <c r="G185">
        <v>0</v>
      </c>
      <c r="H185">
        <v>2.54</v>
      </c>
      <c r="I185">
        <v>152.4</v>
      </c>
    </row>
    <row r="186" spans="1:9">
      <c r="A186" t="s">
        <v>264</v>
      </c>
      <c r="B186" t="s">
        <v>265</v>
      </c>
      <c r="C186" t="s">
        <v>266</v>
      </c>
      <c r="D186">
        <v>10</v>
      </c>
      <c r="E186">
        <v>3.4</v>
      </c>
      <c r="F186">
        <v>0.45</v>
      </c>
      <c r="G186">
        <v>0</v>
      </c>
      <c r="H186">
        <v>1.87</v>
      </c>
      <c r="I186">
        <v>18.7</v>
      </c>
    </row>
    <row r="187" spans="1:9">
      <c r="A187" t="s">
        <v>264</v>
      </c>
      <c r="B187" t="s">
        <v>267</v>
      </c>
      <c r="C187" t="s">
        <v>268</v>
      </c>
      <c r="D187">
        <v>2</v>
      </c>
      <c r="E187">
        <v>0.74</v>
      </c>
      <c r="F187">
        <v>0.45</v>
      </c>
      <c r="G187">
        <v>0</v>
      </c>
      <c r="H187">
        <v>0.40700000000000003</v>
      </c>
      <c r="I187">
        <v>0.81</v>
      </c>
    </row>
    <row r="188" spans="1:9">
      <c r="A188" t="s">
        <v>264</v>
      </c>
      <c r="B188" t="s">
        <v>269</v>
      </c>
      <c r="C188" t="s">
        <v>270</v>
      </c>
      <c r="D188">
        <v>2</v>
      </c>
      <c r="E188">
        <v>0.74</v>
      </c>
      <c r="F188">
        <v>0.45</v>
      </c>
      <c r="G188">
        <v>0</v>
      </c>
      <c r="H188">
        <v>0.40700000000000003</v>
      </c>
      <c r="I188">
        <v>0.81</v>
      </c>
    </row>
    <row r="189" spans="1:9">
      <c r="A189" t="s">
        <v>264</v>
      </c>
      <c r="B189" t="s">
        <v>271</v>
      </c>
      <c r="C189" t="s">
        <v>272</v>
      </c>
      <c r="D189">
        <v>100</v>
      </c>
      <c r="E189">
        <v>4.03</v>
      </c>
      <c r="F189">
        <v>0.55000000000000004</v>
      </c>
      <c r="G189">
        <v>0</v>
      </c>
      <c r="H189">
        <v>1.8134999999999999</v>
      </c>
      <c r="I189">
        <v>181.35</v>
      </c>
    </row>
    <row r="190" spans="1:9">
      <c r="A190" t="s">
        <v>264</v>
      </c>
      <c r="B190" t="s">
        <v>273</v>
      </c>
      <c r="C190" t="s">
        <v>274</v>
      </c>
      <c r="D190">
        <v>50</v>
      </c>
      <c r="E190">
        <v>2.2599999999999998</v>
      </c>
      <c r="F190">
        <v>0.55000000000000004</v>
      </c>
      <c r="G190">
        <v>0</v>
      </c>
      <c r="H190">
        <v>1.0169999999999999</v>
      </c>
      <c r="I190">
        <v>50.85</v>
      </c>
    </row>
    <row r="191" spans="1:9">
      <c r="A191" t="s">
        <v>264</v>
      </c>
      <c r="B191" t="s">
        <v>275</v>
      </c>
      <c r="C191" t="s">
        <v>276</v>
      </c>
      <c r="D191">
        <v>100</v>
      </c>
      <c r="E191">
        <v>0.82</v>
      </c>
      <c r="F191">
        <v>0.55000000000000004</v>
      </c>
      <c r="G191">
        <v>0</v>
      </c>
      <c r="H191">
        <v>0.36899999999999994</v>
      </c>
      <c r="I191">
        <v>36.9</v>
      </c>
    </row>
    <row r="192" spans="1:9">
      <c r="A192" t="s">
        <v>264</v>
      </c>
      <c r="B192" t="s">
        <v>277</v>
      </c>
      <c r="C192" t="s">
        <v>278</v>
      </c>
      <c r="D192">
        <v>100</v>
      </c>
      <c r="E192">
        <v>0.05</v>
      </c>
      <c r="F192">
        <v>0</v>
      </c>
      <c r="G192">
        <v>0</v>
      </c>
      <c r="H192">
        <v>0.05</v>
      </c>
      <c r="I192">
        <v>5</v>
      </c>
    </row>
    <row r="193" spans="1:9">
      <c r="A193" t="s">
        <v>264</v>
      </c>
      <c r="B193" t="s">
        <v>279</v>
      </c>
      <c r="C193" t="s">
        <v>280</v>
      </c>
      <c r="D193">
        <v>1</v>
      </c>
      <c r="E193">
        <v>1.5</v>
      </c>
      <c r="F193">
        <v>0</v>
      </c>
      <c r="G193">
        <v>0</v>
      </c>
      <c r="H193">
        <v>1.5</v>
      </c>
      <c r="I193">
        <v>1.5</v>
      </c>
    </row>
    <row r="194" spans="1:9">
      <c r="A194" t="s">
        <v>281</v>
      </c>
      <c r="B194" t="s">
        <v>38</v>
      </c>
      <c r="C194" t="s">
        <v>282</v>
      </c>
      <c r="D194">
        <v>300</v>
      </c>
      <c r="E194">
        <v>2.46</v>
      </c>
      <c r="F194">
        <v>0</v>
      </c>
      <c r="G194">
        <v>0</v>
      </c>
      <c r="H194">
        <v>2.46</v>
      </c>
      <c r="I194">
        <v>738</v>
      </c>
    </row>
    <row r="195" spans="1:9">
      <c r="A195" t="s">
        <v>281</v>
      </c>
      <c r="B195" t="s">
        <v>23</v>
      </c>
      <c r="C195" t="s">
        <v>24</v>
      </c>
      <c r="D195">
        <v>300</v>
      </c>
      <c r="E195">
        <v>2.4300000000000002</v>
      </c>
      <c r="F195">
        <v>0</v>
      </c>
      <c r="G195">
        <v>0</v>
      </c>
      <c r="H195">
        <v>2.4300000000000002</v>
      </c>
      <c r="I195">
        <v>729</v>
      </c>
    </row>
    <row r="196" spans="1:9">
      <c r="A196" t="s">
        <v>281</v>
      </c>
      <c r="B196" t="s">
        <v>40</v>
      </c>
      <c r="C196" t="s">
        <v>41</v>
      </c>
      <c r="D196">
        <v>100</v>
      </c>
      <c r="E196">
        <v>0.36</v>
      </c>
      <c r="F196">
        <v>0</v>
      </c>
      <c r="G196">
        <v>0</v>
      </c>
      <c r="H196">
        <v>0.36</v>
      </c>
      <c r="I196">
        <v>36</v>
      </c>
    </row>
    <row r="197" spans="1:9">
      <c r="A197" t="s">
        <v>281</v>
      </c>
      <c r="B197" t="s">
        <v>283</v>
      </c>
      <c r="C197" t="s">
        <v>284</v>
      </c>
      <c r="D197">
        <v>200</v>
      </c>
      <c r="E197">
        <v>0.36</v>
      </c>
      <c r="F197">
        <v>0</v>
      </c>
      <c r="G197">
        <v>0</v>
      </c>
      <c r="H197">
        <v>0.36</v>
      </c>
      <c r="I197">
        <v>72</v>
      </c>
    </row>
    <row r="198" spans="1:9">
      <c r="A198" t="s">
        <v>281</v>
      </c>
      <c r="B198" t="s">
        <v>31</v>
      </c>
      <c r="C198" t="s">
        <v>32</v>
      </c>
      <c r="D198">
        <v>100</v>
      </c>
      <c r="E198">
        <v>2.0699999999999998</v>
      </c>
      <c r="F198">
        <v>0</v>
      </c>
      <c r="G198">
        <v>0</v>
      </c>
      <c r="H198">
        <v>2.0699999999999998</v>
      </c>
      <c r="I198">
        <v>207</v>
      </c>
    </row>
    <row r="199" spans="1:9">
      <c r="A199" t="s">
        <v>285</v>
      </c>
      <c r="B199" t="s">
        <v>79</v>
      </c>
      <c r="C199" t="s">
        <v>286</v>
      </c>
      <c r="D199">
        <v>10</v>
      </c>
      <c r="E199">
        <v>52</v>
      </c>
      <c r="F199">
        <v>0</v>
      </c>
      <c r="G199">
        <v>0</v>
      </c>
      <c r="H199">
        <v>52</v>
      </c>
      <c r="I199">
        <v>520</v>
      </c>
    </row>
    <row r="200" spans="1:9">
      <c r="A200" t="s">
        <v>287</v>
      </c>
      <c r="B200" t="s">
        <v>288</v>
      </c>
      <c r="C200" t="s">
        <v>289</v>
      </c>
      <c r="D200">
        <v>50</v>
      </c>
      <c r="E200">
        <v>0.42</v>
      </c>
      <c r="F200">
        <v>0</v>
      </c>
      <c r="G200">
        <v>0</v>
      </c>
      <c r="H200">
        <v>0.42</v>
      </c>
      <c r="I200">
        <v>21</v>
      </c>
    </row>
    <row r="201" spans="1:9">
      <c r="A201" t="s">
        <v>290</v>
      </c>
      <c r="B201" t="s">
        <v>38</v>
      </c>
      <c r="C201" t="s">
        <v>39</v>
      </c>
      <c r="D201">
        <v>81</v>
      </c>
      <c r="E201">
        <v>2.25</v>
      </c>
      <c r="F201">
        <v>0</v>
      </c>
      <c r="G201">
        <v>0</v>
      </c>
      <c r="H201">
        <v>2.25</v>
      </c>
      <c r="I201">
        <v>182.25</v>
      </c>
    </row>
    <row r="202" spans="1:9">
      <c r="A202" t="s">
        <v>290</v>
      </c>
      <c r="B202" t="s">
        <v>23</v>
      </c>
      <c r="C202" t="s">
        <v>24</v>
      </c>
      <c r="D202">
        <v>81</v>
      </c>
      <c r="E202">
        <v>2.23</v>
      </c>
      <c r="F202">
        <v>0</v>
      </c>
      <c r="G202">
        <v>0</v>
      </c>
      <c r="H202">
        <v>2.23</v>
      </c>
      <c r="I202">
        <v>180.63</v>
      </c>
    </row>
    <row r="203" spans="1:9">
      <c r="A203" t="s">
        <v>290</v>
      </c>
      <c r="B203" t="s">
        <v>33</v>
      </c>
      <c r="C203" t="s">
        <v>34</v>
      </c>
      <c r="D203">
        <v>150</v>
      </c>
      <c r="E203">
        <v>0.3</v>
      </c>
      <c r="F203">
        <v>0</v>
      </c>
      <c r="G203">
        <v>0</v>
      </c>
      <c r="H203">
        <v>0.3</v>
      </c>
      <c r="I203">
        <v>45</v>
      </c>
    </row>
    <row r="204" spans="1:9">
      <c r="A204" t="s">
        <v>290</v>
      </c>
      <c r="B204" t="s">
        <v>40</v>
      </c>
      <c r="C204" t="s">
        <v>41</v>
      </c>
      <c r="D204">
        <v>100</v>
      </c>
      <c r="E204">
        <v>0.34</v>
      </c>
      <c r="F204">
        <v>0</v>
      </c>
      <c r="G204">
        <v>0</v>
      </c>
      <c r="H204">
        <v>0.34</v>
      </c>
      <c r="I204">
        <v>34</v>
      </c>
    </row>
    <row r="205" spans="1:9">
      <c r="A205" t="s">
        <v>290</v>
      </c>
      <c r="B205" t="s">
        <v>31</v>
      </c>
      <c r="C205" t="s">
        <v>32</v>
      </c>
      <c r="D205">
        <v>60</v>
      </c>
      <c r="E205">
        <v>1.9</v>
      </c>
      <c r="F205">
        <v>0</v>
      </c>
      <c r="G205">
        <v>0</v>
      </c>
      <c r="H205">
        <v>1.9</v>
      </c>
      <c r="I205">
        <v>114</v>
      </c>
    </row>
    <row r="206" spans="1:9">
      <c r="A206" t="s">
        <v>291</v>
      </c>
      <c r="B206" t="s">
        <v>42</v>
      </c>
      <c r="C206" t="s">
        <v>292</v>
      </c>
      <c r="D206">
        <v>10</v>
      </c>
      <c r="E206">
        <v>1.4019999999999999</v>
      </c>
      <c r="F206">
        <v>0</v>
      </c>
      <c r="G206">
        <v>0</v>
      </c>
      <c r="H206">
        <v>1.4019999999999999</v>
      </c>
      <c r="I206">
        <v>14.02</v>
      </c>
    </row>
    <row r="207" spans="1:9">
      <c r="A207" t="s">
        <v>293</v>
      </c>
      <c r="B207" t="s">
        <v>38</v>
      </c>
      <c r="C207" t="s">
        <v>282</v>
      </c>
      <c r="D207">
        <v>300</v>
      </c>
      <c r="E207">
        <v>2.25</v>
      </c>
      <c r="F207">
        <v>0</v>
      </c>
      <c r="G207">
        <v>0</v>
      </c>
      <c r="H207">
        <v>2.25</v>
      </c>
      <c r="I207">
        <v>675</v>
      </c>
    </row>
    <row r="208" spans="1:9">
      <c r="A208" t="s">
        <v>293</v>
      </c>
      <c r="B208" t="s">
        <v>23</v>
      </c>
      <c r="C208" t="s">
        <v>24</v>
      </c>
      <c r="D208">
        <v>300</v>
      </c>
      <c r="E208">
        <v>2.23</v>
      </c>
      <c r="F208">
        <v>0</v>
      </c>
      <c r="G208">
        <v>0</v>
      </c>
      <c r="H208">
        <v>2.23</v>
      </c>
      <c r="I208">
        <v>669</v>
      </c>
    </row>
    <row r="209" spans="1:9">
      <c r="A209" t="s">
        <v>293</v>
      </c>
      <c r="B209" t="s">
        <v>40</v>
      </c>
      <c r="C209" t="s">
        <v>41</v>
      </c>
      <c r="D209">
        <v>100</v>
      </c>
      <c r="E209">
        <v>0.34</v>
      </c>
      <c r="F209">
        <v>0</v>
      </c>
      <c r="G209">
        <v>0</v>
      </c>
      <c r="H209">
        <v>0.34</v>
      </c>
      <c r="I209">
        <v>34</v>
      </c>
    </row>
    <row r="210" spans="1:9">
      <c r="A210" t="s">
        <v>293</v>
      </c>
      <c r="B210" t="s">
        <v>283</v>
      </c>
      <c r="C210" t="s">
        <v>284</v>
      </c>
      <c r="D210">
        <v>200</v>
      </c>
      <c r="E210">
        <v>0.3</v>
      </c>
      <c r="F210">
        <v>0</v>
      </c>
      <c r="G210">
        <v>0</v>
      </c>
      <c r="H210">
        <v>0.3</v>
      </c>
      <c r="I210">
        <v>60</v>
      </c>
    </row>
    <row r="211" spans="1:9">
      <c r="A211" t="s">
        <v>293</v>
      </c>
      <c r="B211" t="s">
        <v>31</v>
      </c>
      <c r="C211" t="s">
        <v>32</v>
      </c>
      <c r="D211">
        <v>100</v>
      </c>
      <c r="E211">
        <v>1.9</v>
      </c>
      <c r="F211">
        <v>0</v>
      </c>
      <c r="G211">
        <v>0</v>
      </c>
      <c r="H211">
        <v>1.9</v>
      </c>
      <c r="I211">
        <v>190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2E890-ACDE-441A-AC04-10382D9C0F7C}">
  <dimension ref="A1:I198"/>
  <sheetViews>
    <sheetView workbookViewId="0">
      <selection activeCell="C8" sqref="C8"/>
    </sheetView>
  </sheetViews>
  <sheetFormatPr defaultRowHeight="15"/>
  <cols>
    <col min="1" max="1" width="43.28515625" bestFit="1" customWidth="1"/>
    <col min="2" max="2" width="20" bestFit="1" customWidth="1"/>
    <col min="3" max="3" width="81.140625" bestFit="1" customWidth="1"/>
    <col min="4" max="4" width="7.140625" bestFit="1" customWidth="1"/>
    <col min="5" max="5" width="9.5703125" bestFit="1" customWidth="1"/>
    <col min="6" max="7" width="8.85546875" bestFit="1" customWidth="1"/>
    <col min="8" max="8" width="16.42578125" bestFit="1" customWidth="1"/>
    <col min="9" max="9" width="8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294</v>
      </c>
      <c r="B2" t="s">
        <v>295</v>
      </c>
      <c r="C2" t="s">
        <v>296</v>
      </c>
      <c r="D2">
        <v>50</v>
      </c>
      <c r="E2">
        <v>4.51</v>
      </c>
      <c r="F2">
        <v>0</v>
      </c>
      <c r="G2">
        <v>0</v>
      </c>
      <c r="H2">
        <v>4.51</v>
      </c>
      <c r="I2">
        <v>225.5</v>
      </c>
    </row>
    <row r="3" spans="1:9">
      <c r="A3" t="s">
        <v>297</v>
      </c>
      <c r="B3" t="s">
        <v>298</v>
      </c>
      <c r="C3" t="s">
        <v>299</v>
      </c>
      <c r="D3">
        <v>200</v>
      </c>
      <c r="E3">
        <v>0.66</v>
      </c>
      <c r="F3">
        <v>0</v>
      </c>
      <c r="G3">
        <v>0</v>
      </c>
      <c r="H3">
        <v>0.66</v>
      </c>
      <c r="I3">
        <v>132</v>
      </c>
    </row>
    <row r="4" spans="1:9">
      <c r="A4" t="s">
        <v>297</v>
      </c>
      <c r="B4" t="s">
        <v>13</v>
      </c>
      <c r="C4" t="s">
        <v>300</v>
      </c>
      <c r="D4">
        <v>3</v>
      </c>
      <c r="E4">
        <v>3.62</v>
      </c>
      <c r="F4">
        <v>0</v>
      </c>
      <c r="G4">
        <v>0</v>
      </c>
      <c r="H4">
        <v>3.62</v>
      </c>
      <c r="I4">
        <v>10.86</v>
      </c>
    </row>
    <row r="5" spans="1:9">
      <c r="A5" t="s">
        <v>301</v>
      </c>
      <c r="B5" t="s">
        <v>302</v>
      </c>
      <c r="C5" t="s">
        <v>303</v>
      </c>
      <c r="D5">
        <v>305</v>
      </c>
      <c r="E5">
        <v>0.36</v>
      </c>
      <c r="F5">
        <v>0</v>
      </c>
      <c r="G5">
        <v>0</v>
      </c>
      <c r="H5">
        <v>0.36</v>
      </c>
      <c r="I5">
        <v>109.8</v>
      </c>
    </row>
    <row r="6" spans="1:9">
      <c r="A6" t="s">
        <v>301</v>
      </c>
      <c r="B6" t="s">
        <v>79</v>
      </c>
      <c r="C6" t="s">
        <v>304</v>
      </c>
      <c r="D6">
        <v>1</v>
      </c>
      <c r="E6">
        <v>62</v>
      </c>
      <c r="F6">
        <v>0</v>
      </c>
      <c r="G6">
        <v>0</v>
      </c>
      <c r="H6">
        <v>62</v>
      </c>
      <c r="I6">
        <v>62</v>
      </c>
    </row>
    <row r="7" spans="1:9">
      <c r="A7" t="s">
        <v>301</v>
      </c>
      <c r="B7" t="s">
        <v>89</v>
      </c>
      <c r="C7" t="s">
        <v>305</v>
      </c>
      <c r="D7">
        <v>2</v>
      </c>
      <c r="E7">
        <v>12.37</v>
      </c>
      <c r="F7">
        <v>0</v>
      </c>
      <c r="G7">
        <v>0</v>
      </c>
      <c r="H7">
        <v>12.37</v>
      </c>
      <c r="I7">
        <v>24.74</v>
      </c>
    </row>
    <row r="8" spans="1:9">
      <c r="A8" t="s">
        <v>301</v>
      </c>
      <c r="B8" t="s">
        <v>91</v>
      </c>
      <c r="C8" t="s">
        <v>306</v>
      </c>
      <c r="D8">
        <v>6</v>
      </c>
      <c r="E8">
        <v>0.36</v>
      </c>
      <c r="F8">
        <v>0</v>
      </c>
      <c r="G8">
        <v>0</v>
      </c>
      <c r="H8">
        <v>0.36</v>
      </c>
      <c r="I8">
        <v>2.16</v>
      </c>
    </row>
    <row r="9" spans="1:9">
      <c r="A9" t="s">
        <v>307</v>
      </c>
      <c r="B9" t="s">
        <v>308</v>
      </c>
      <c r="C9" t="s">
        <v>309</v>
      </c>
      <c r="D9">
        <v>1</v>
      </c>
      <c r="E9">
        <v>39.53</v>
      </c>
      <c r="F9">
        <v>0</v>
      </c>
      <c r="G9">
        <v>0</v>
      </c>
      <c r="H9">
        <v>39.53</v>
      </c>
      <c r="I9">
        <v>39.53</v>
      </c>
    </row>
    <row r="10" spans="1:9">
      <c r="A10" t="s">
        <v>310</v>
      </c>
      <c r="B10" t="s">
        <v>311</v>
      </c>
      <c r="C10" t="s">
        <v>312</v>
      </c>
      <c r="D10">
        <v>1</v>
      </c>
      <c r="E10">
        <v>67.81</v>
      </c>
      <c r="F10">
        <v>0.53</v>
      </c>
      <c r="G10">
        <v>0</v>
      </c>
      <c r="H10">
        <v>31.870699999999999</v>
      </c>
      <c r="I10">
        <v>31.87</v>
      </c>
    </row>
    <row r="11" spans="1:9">
      <c r="A11" t="s">
        <v>313</v>
      </c>
      <c r="B11" t="s">
        <v>314</v>
      </c>
      <c r="C11" t="s">
        <v>315</v>
      </c>
      <c r="D11">
        <v>300</v>
      </c>
      <c r="E11">
        <v>2.0299999999999998</v>
      </c>
      <c r="F11">
        <v>0</v>
      </c>
      <c r="G11">
        <v>0</v>
      </c>
      <c r="H11">
        <v>2.0299999999999998</v>
      </c>
      <c r="I11">
        <v>609</v>
      </c>
    </row>
    <row r="12" spans="1:9">
      <c r="A12" t="s">
        <v>316</v>
      </c>
      <c r="B12" t="s">
        <v>89</v>
      </c>
      <c r="C12" t="s">
        <v>305</v>
      </c>
      <c r="D12">
        <v>1</v>
      </c>
      <c r="E12">
        <v>13.64</v>
      </c>
      <c r="F12">
        <v>0</v>
      </c>
      <c r="G12">
        <v>0</v>
      </c>
      <c r="H12">
        <v>13.64</v>
      </c>
      <c r="I12">
        <v>13.64</v>
      </c>
    </row>
    <row r="13" spans="1:9">
      <c r="A13" t="s">
        <v>316</v>
      </c>
      <c r="B13" t="s">
        <v>91</v>
      </c>
      <c r="C13" t="s">
        <v>306</v>
      </c>
      <c r="D13">
        <v>3</v>
      </c>
      <c r="E13">
        <v>0.4</v>
      </c>
      <c r="F13">
        <v>0</v>
      </c>
      <c r="G13">
        <v>0</v>
      </c>
      <c r="H13">
        <v>0.4</v>
      </c>
      <c r="I13">
        <v>1.2</v>
      </c>
    </row>
    <row r="14" spans="1:9">
      <c r="A14" t="s">
        <v>316</v>
      </c>
      <c r="B14" t="s">
        <v>317</v>
      </c>
      <c r="C14" t="s">
        <v>318</v>
      </c>
      <c r="D14">
        <v>1</v>
      </c>
      <c r="E14">
        <v>31.52</v>
      </c>
      <c r="F14">
        <v>0</v>
      </c>
      <c r="G14">
        <v>0</v>
      </c>
      <c r="H14">
        <v>31.52</v>
      </c>
      <c r="I14">
        <v>31.52</v>
      </c>
    </row>
    <row r="15" spans="1:9">
      <c r="A15" t="s">
        <v>316</v>
      </c>
      <c r="B15" t="s">
        <v>319</v>
      </c>
      <c r="C15" t="s">
        <v>320</v>
      </c>
      <c r="D15">
        <v>2</v>
      </c>
      <c r="E15">
        <v>2.13</v>
      </c>
      <c r="F15">
        <v>0</v>
      </c>
      <c r="G15">
        <v>0</v>
      </c>
      <c r="H15">
        <v>2.13</v>
      </c>
      <c r="I15">
        <v>4.26</v>
      </c>
    </row>
    <row r="16" spans="1:9">
      <c r="A16" t="s">
        <v>316</v>
      </c>
      <c r="B16" t="s">
        <v>193</v>
      </c>
      <c r="C16" t="s">
        <v>321</v>
      </c>
      <c r="D16">
        <v>2</v>
      </c>
      <c r="E16">
        <v>2.2999999999999998</v>
      </c>
      <c r="F16">
        <v>0</v>
      </c>
      <c r="G16">
        <v>0</v>
      </c>
      <c r="H16">
        <v>2.2999999999999998</v>
      </c>
      <c r="I16">
        <v>4.5999999999999996</v>
      </c>
    </row>
    <row r="17" spans="1:9">
      <c r="A17" t="s">
        <v>316</v>
      </c>
      <c r="B17" t="s">
        <v>322</v>
      </c>
      <c r="C17" t="s">
        <v>323</v>
      </c>
      <c r="D17">
        <v>1</v>
      </c>
      <c r="E17">
        <v>1.98</v>
      </c>
      <c r="F17">
        <v>0</v>
      </c>
      <c r="G17">
        <v>0</v>
      </c>
      <c r="H17">
        <v>1.98</v>
      </c>
      <c r="I17">
        <v>1.98</v>
      </c>
    </row>
    <row r="18" spans="1:9">
      <c r="A18" t="s">
        <v>324</v>
      </c>
      <c r="B18" t="s">
        <v>325</v>
      </c>
      <c r="C18" t="s">
        <v>326</v>
      </c>
      <c r="D18">
        <v>1</v>
      </c>
      <c r="E18">
        <v>15.39</v>
      </c>
      <c r="F18">
        <v>0.53</v>
      </c>
      <c r="G18">
        <v>0</v>
      </c>
      <c r="H18">
        <v>7.2332999999999998</v>
      </c>
      <c r="I18">
        <v>7.23</v>
      </c>
    </row>
    <row r="19" spans="1:9">
      <c r="A19" t="s">
        <v>327</v>
      </c>
      <c r="B19" t="s">
        <v>328</v>
      </c>
      <c r="C19" t="s">
        <v>329</v>
      </c>
      <c r="D19">
        <v>5</v>
      </c>
      <c r="E19">
        <v>1.75</v>
      </c>
      <c r="F19">
        <v>0</v>
      </c>
      <c r="G19">
        <v>0</v>
      </c>
      <c r="H19">
        <v>1.75</v>
      </c>
    </row>
    <row r="20" spans="1:9">
      <c r="A20" t="s">
        <v>327</v>
      </c>
      <c r="B20" t="s">
        <v>330</v>
      </c>
      <c r="C20" t="s">
        <v>331</v>
      </c>
      <c r="D20">
        <v>5</v>
      </c>
      <c r="E20">
        <v>1.33</v>
      </c>
      <c r="F20">
        <v>0</v>
      </c>
      <c r="G20">
        <v>0</v>
      </c>
      <c r="H20">
        <v>1.33</v>
      </c>
    </row>
    <row r="21" spans="1:9">
      <c r="A21" t="s">
        <v>332</v>
      </c>
      <c r="B21" t="s">
        <v>333</v>
      </c>
      <c r="C21" t="s">
        <v>334</v>
      </c>
      <c r="D21">
        <v>3</v>
      </c>
      <c r="E21">
        <v>181.69</v>
      </c>
      <c r="F21">
        <v>0.3</v>
      </c>
      <c r="G21">
        <v>0</v>
      </c>
      <c r="H21">
        <v>127.18299999999999</v>
      </c>
      <c r="I21">
        <v>381.55</v>
      </c>
    </row>
    <row r="22" spans="1:9">
      <c r="A22" t="s">
        <v>332</v>
      </c>
      <c r="B22" t="s">
        <v>335</v>
      </c>
      <c r="C22" t="s">
        <v>336</v>
      </c>
      <c r="D22">
        <v>2</v>
      </c>
      <c r="E22">
        <v>20.37</v>
      </c>
      <c r="F22">
        <v>0</v>
      </c>
      <c r="G22">
        <v>0</v>
      </c>
      <c r="H22">
        <v>20.37</v>
      </c>
      <c r="I22">
        <v>40.74</v>
      </c>
    </row>
    <row r="23" spans="1:9">
      <c r="A23" t="s">
        <v>332</v>
      </c>
      <c r="B23" t="s">
        <v>337</v>
      </c>
      <c r="C23" t="s">
        <v>338</v>
      </c>
      <c r="D23">
        <v>1</v>
      </c>
      <c r="E23">
        <v>20.37</v>
      </c>
      <c r="F23">
        <v>0</v>
      </c>
      <c r="G23">
        <v>0</v>
      </c>
      <c r="H23">
        <v>20.37</v>
      </c>
      <c r="I23">
        <v>20.37</v>
      </c>
    </row>
    <row r="24" spans="1:9">
      <c r="A24" t="s">
        <v>339</v>
      </c>
      <c r="B24" t="s">
        <v>340</v>
      </c>
      <c r="C24" t="s">
        <v>341</v>
      </c>
      <c r="D24">
        <v>100</v>
      </c>
      <c r="E24">
        <v>3.16</v>
      </c>
      <c r="F24">
        <v>0.5</v>
      </c>
      <c r="G24">
        <v>0</v>
      </c>
      <c r="H24">
        <v>1.58</v>
      </c>
      <c r="I24">
        <v>158</v>
      </c>
    </row>
    <row r="25" spans="1:9">
      <c r="A25" t="s">
        <v>342</v>
      </c>
      <c r="B25" t="s">
        <v>38</v>
      </c>
      <c r="C25" t="s">
        <v>343</v>
      </c>
      <c r="D25">
        <v>201</v>
      </c>
      <c r="E25">
        <v>7.68</v>
      </c>
      <c r="F25">
        <v>0.68</v>
      </c>
      <c r="G25">
        <v>0</v>
      </c>
      <c r="H25">
        <v>2.4575999999999993</v>
      </c>
      <c r="I25">
        <v>493.98</v>
      </c>
    </row>
    <row r="26" spans="1:9">
      <c r="A26" t="s">
        <v>342</v>
      </c>
      <c r="B26" t="s">
        <v>21</v>
      </c>
      <c r="C26" t="s">
        <v>344</v>
      </c>
      <c r="D26">
        <v>252</v>
      </c>
      <c r="E26">
        <v>11.2</v>
      </c>
      <c r="F26">
        <v>0.68</v>
      </c>
      <c r="G26">
        <v>0</v>
      </c>
      <c r="H26">
        <v>3.5839999999999992</v>
      </c>
      <c r="I26">
        <v>903.17</v>
      </c>
    </row>
    <row r="27" spans="1:9">
      <c r="A27" t="s">
        <v>342</v>
      </c>
      <c r="B27" t="s">
        <v>23</v>
      </c>
      <c r="C27" t="s">
        <v>345</v>
      </c>
      <c r="D27">
        <v>450</v>
      </c>
      <c r="E27">
        <v>7.59</v>
      </c>
      <c r="F27">
        <v>0.68</v>
      </c>
      <c r="G27">
        <v>0</v>
      </c>
      <c r="H27">
        <v>2.4287999999999994</v>
      </c>
      <c r="I27">
        <v>1092.96</v>
      </c>
    </row>
    <row r="28" spans="1:9">
      <c r="A28" t="s">
        <v>342</v>
      </c>
      <c r="B28" t="s">
        <v>40</v>
      </c>
      <c r="C28" t="s">
        <v>346</v>
      </c>
      <c r="D28">
        <v>200</v>
      </c>
      <c r="E28">
        <v>1.1399999999999999</v>
      </c>
      <c r="F28">
        <v>0.68</v>
      </c>
      <c r="G28">
        <v>0</v>
      </c>
      <c r="H28">
        <v>0.3647999999999999</v>
      </c>
      <c r="I28">
        <v>72.959999999999994</v>
      </c>
    </row>
    <row r="29" spans="1:9">
      <c r="A29" t="s">
        <v>342</v>
      </c>
      <c r="B29" t="s">
        <v>33</v>
      </c>
      <c r="C29" t="s">
        <v>347</v>
      </c>
      <c r="D29">
        <v>150</v>
      </c>
      <c r="E29">
        <v>1.05</v>
      </c>
      <c r="F29">
        <v>0.68</v>
      </c>
      <c r="G29">
        <v>0</v>
      </c>
      <c r="H29">
        <v>0.33599999999999997</v>
      </c>
      <c r="I29">
        <v>50.4</v>
      </c>
    </row>
    <row r="30" spans="1:9">
      <c r="A30" t="s">
        <v>342</v>
      </c>
      <c r="B30" t="s">
        <v>42</v>
      </c>
      <c r="C30" t="s">
        <v>348</v>
      </c>
      <c r="D30">
        <v>10</v>
      </c>
      <c r="E30">
        <v>4.78</v>
      </c>
      <c r="F30">
        <v>0.68</v>
      </c>
      <c r="G30">
        <v>0</v>
      </c>
      <c r="H30">
        <v>1.5295999999999998</v>
      </c>
      <c r="I30">
        <v>15.3</v>
      </c>
    </row>
    <row r="31" spans="1:9">
      <c r="A31" t="s">
        <v>342</v>
      </c>
      <c r="B31" t="s">
        <v>29</v>
      </c>
      <c r="C31" t="s">
        <v>349</v>
      </c>
      <c r="D31">
        <v>10</v>
      </c>
      <c r="E31">
        <v>7.84</v>
      </c>
      <c r="F31">
        <v>0.68</v>
      </c>
      <c r="G31">
        <v>0</v>
      </c>
      <c r="H31">
        <v>2.5087999999999995</v>
      </c>
      <c r="I31">
        <v>25.09</v>
      </c>
    </row>
    <row r="32" spans="1:9">
      <c r="A32" t="s">
        <v>342</v>
      </c>
      <c r="B32" t="s">
        <v>25</v>
      </c>
      <c r="C32" t="s">
        <v>350</v>
      </c>
      <c r="D32">
        <v>10</v>
      </c>
      <c r="E32">
        <v>9.4600000000000009</v>
      </c>
      <c r="F32">
        <v>0.68</v>
      </c>
      <c r="G32">
        <v>0</v>
      </c>
      <c r="H32">
        <v>3.0271999999999997</v>
      </c>
      <c r="I32">
        <v>30.27</v>
      </c>
    </row>
    <row r="33" spans="1:9">
      <c r="A33" t="s">
        <v>342</v>
      </c>
      <c r="B33" t="s">
        <v>31</v>
      </c>
      <c r="C33" t="s">
        <v>351</v>
      </c>
      <c r="D33">
        <v>75</v>
      </c>
      <c r="E33">
        <v>6.48</v>
      </c>
      <c r="F33">
        <v>0.68</v>
      </c>
      <c r="G33">
        <v>0</v>
      </c>
      <c r="H33">
        <v>2.0735999999999999</v>
      </c>
      <c r="I33">
        <v>155.52000000000001</v>
      </c>
    </row>
    <row r="34" spans="1:9">
      <c r="A34" t="s">
        <v>342</v>
      </c>
      <c r="B34" t="s">
        <v>352</v>
      </c>
      <c r="C34" t="s">
        <v>353</v>
      </c>
      <c r="D34">
        <v>100</v>
      </c>
      <c r="E34">
        <v>1.8431999999999999</v>
      </c>
      <c r="F34">
        <v>0.6</v>
      </c>
      <c r="G34">
        <v>0</v>
      </c>
      <c r="H34">
        <v>0.73728000000000005</v>
      </c>
      <c r="I34">
        <v>73.73</v>
      </c>
    </row>
    <row r="35" spans="1:9">
      <c r="A35" t="s">
        <v>342</v>
      </c>
      <c r="B35" t="s">
        <v>354</v>
      </c>
      <c r="C35" t="s">
        <v>355</v>
      </c>
      <c r="D35">
        <v>100</v>
      </c>
      <c r="E35">
        <v>3.0901000000000001</v>
      </c>
      <c r="F35">
        <v>0.6</v>
      </c>
      <c r="G35">
        <v>0</v>
      </c>
      <c r="H35">
        <v>1.23604</v>
      </c>
      <c r="I35">
        <v>123.6</v>
      </c>
    </row>
    <row r="36" spans="1:9">
      <c r="A36" t="s">
        <v>342</v>
      </c>
      <c r="B36" t="s">
        <v>356</v>
      </c>
      <c r="C36" t="s">
        <v>357</v>
      </c>
      <c r="D36">
        <v>100</v>
      </c>
      <c r="E36">
        <v>5.1447000000000003</v>
      </c>
      <c r="F36">
        <v>0.6</v>
      </c>
      <c r="G36">
        <v>0</v>
      </c>
      <c r="H36">
        <v>2.0578800000000004</v>
      </c>
      <c r="I36">
        <v>205.79</v>
      </c>
    </row>
    <row r="37" spans="1:9">
      <c r="A37" t="s">
        <v>358</v>
      </c>
      <c r="B37" t="s">
        <v>359</v>
      </c>
      <c r="C37" t="s">
        <v>360</v>
      </c>
      <c r="D37">
        <v>20</v>
      </c>
      <c r="E37">
        <v>3.1587999999999998</v>
      </c>
      <c r="F37">
        <v>0.25</v>
      </c>
      <c r="G37">
        <v>0</v>
      </c>
      <c r="H37">
        <v>2.3691</v>
      </c>
      <c r="I37">
        <v>47.38</v>
      </c>
    </row>
    <row r="38" spans="1:9">
      <c r="A38" t="s">
        <v>361</v>
      </c>
      <c r="B38" t="s">
        <v>362</v>
      </c>
      <c r="C38" t="s">
        <v>363</v>
      </c>
      <c r="D38">
        <v>1</v>
      </c>
      <c r="E38">
        <v>119.95</v>
      </c>
      <c r="F38">
        <v>0</v>
      </c>
      <c r="G38">
        <v>0</v>
      </c>
      <c r="H38">
        <v>119.95</v>
      </c>
      <c r="I38">
        <v>119.95</v>
      </c>
    </row>
    <row r="39" spans="1:9">
      <c r="A39" t="s">
        <v>364</v>
      </c>
      <c r="B39" t="s">
        <v>79</v>
      </c>
      <c r="C39" t="s">
        <v>304</v>
      </c>
      <c r="D39">
        <v>10</v>
      </c>
      <c r="E39">
        <v>62</v>
      </c>
      <c r="F39">
        <v>0</v>
      </c>
      <c r="G39">
        <v>0</v>
      </c>
      <c r="H39">
        <v>62</v>
      </c>
      <c r="I39">
        <v>620</v>
      </c>
    </row>
    <row r="40" spans="1:9">
      <c r="A40" t="s">
        <v>364</v>
      </c>
      <c r="B40" t="s">
        <v>365</v>
      </c>
      <c r="C40" t="s">
        <v>366</v>
      </c>
      <c r="D40">
        <v>100</v>
      </c>
      <c r="E40">
        <v>0.48</v>
      </c>
      <c r="F40">
        <v>0</v>
      </c>
      <c r="G40">
        <v>0</v>
      </c>
      <c r="H40">
        <v>0.48</v>
      </c>
      <c r="I40">
        <v>48</v>
      </c>
    </row>
    <row r="41" spans="1:9">
      <c r="A41" t="s">
        <v>364</v>
      </c>
      <c r="B41" t="s">
        <v>367</v>
      </c>
      <c r="C41" t="s">
        <v>368</v>
      </c>
      <c r="D41">
        <v>50</v>
      </c>
      <c r="E41">
        <v>1.53</v>
      </c>
      <c r="F41">
        <v>0</v>
      </c>
      <c r="G41">
        <v>0</v>
      </c>
      <c r="H41">
        <v>1.53</v>
      </c>
      <c r="I41">
        <v>76.5</v>
      </c>
    </row>
    <row r="42" spans="1:9">
      <c r="A42" t="s">
        <v>369</v>
      </c>
      <c r="B42" t="s">
        <v>29</v>
      </c>
      <c r="C42" t="s">
        <v>370</v>
      </c>
      <c r="D42">
        <v>10</v>
      </c>
      <c r="E42">
        <v>3.08</v>
      </c>
      <c r="F42">
        <v>0</v>
      </c>
      <c r="G42">
        <v>0</v>
      </c>
      <c r="H42">
        <v>3.08</v>
      </c>
      <c r="I42">
        <v>30.8</v>
      </c>
    </row>
    <row r="43" spans="1:9">
      <c r="A43" t="s">
        <v>371</v>
      </c>
      <c r="B43" t="s">
        <v>372</v>
      </c>
      <c r="C43" t="s">
        <v>373</v>
      </c>
      <c r="D43">
        <v>1</v>
      </c>
      <c r="E43">
        <v>3.66</v>
      </c>
      <c r="F43">
        <v>0</v>
      </c>
      <c r="G43">
        <v>0</v>
      </c>
      <c r="H43">
        <v>3.66</v>
      </c>
      <c r="I43">
        <v>3.66</v>
      </c>
    </row>
    <row r="44" spans="1:9">
      <c r="A44" t="s">
        <v>371</v>
      </c>
      <c r="B44" t="s">
        <v>374</v>
      </c>
      <c r="C44" t="s">
        <v>375</v>
      </c>
      <c r="D44">
        <v>1</v>
      </c>
      <c r="E44">
        <v>3.66</v>
      </c>
      <c r="F44">
        <v>0</v>
      </c>
      <c r="G44">
        <v>0</v>
      </c>
      <c r="H44">
        <v>3.66</v>
      </c>
      <c r="I44">
        <v>3.66</v>
      </c>
    </row>
    <row r="45" spans="1:9">
      <c r="A45" t="s">
        <v>371</v>
      </c>
      <c r="B45" t="s">
        <v>376</v>
      </c>
      <c r="C45" t="s">
        <v>377</v>
      </c>
      <c r="D45">
        <v>1</v>
      </c>
      <c r="E45">
        <v>3.66</v>
      </c>
      <c r="F45">
        <v>0</v>
      </c>
      <c r="G45">
        <v>0</v>
      </c>
      <c r="H45">
        <v>3.66</v>
      </c>
      <c r="I45">
        <v>3.66</v>
      </c>
    </row>
    <row r="46" spans="1:9">
      <c r="A46" t="s">
        <v>371</v>
      </c>
      <c r="B46" t="s">
        <v>378</v>
      </c>
      <c r="C46" t="s">
        <v>379</v>
      </c>
      <c r="D46">
        <v>1</v>
      </c>
      <c r="E46">
        <v>3.66</v>
      </c>
      <c r="F46">
        <v>0</v>
      </c>
      <c r="G46">
        <v>0</v>
      </c>
      <c r="H46">
        <v>3.66</v>
      </c>
      <c r="I46">
        <v>3.66</v>
      </c>
    </row>
    <row r="47" spans="1:9">
      <c r="A47" t="s">
        <v>371</v>
      </c>
      <c r="B47" t="s">
        <v>380</v>
      </c>
      <c r="C47" t="s">
        <v>381</v>
      </c>
      <c r="D47">
        <v>1</v>
      </c>
      <c r="E47">
        <v>7.74</v>
      </c>
      <c r="F47">
        <v>0</v>
      </c>
      <c r="G47">
        <v>0</v>
      </c>
      <c r="H47">
        <v>7.74</v>
      </c>
      <c r="I47">
        <v>7.74</v>
      </c>
    </row>
    <row r="48" spans="1:9">
      <c r="A48" t="s">
        <v>371</v>
      </c>
      <c r="B48" t="s">
        <v>382</v>
      </c>
      <c r="C48" t="s">
        <v>383</v>
      </c>
      <c r="D48">
        <v>1</v>
      </c>
      <c r="E48">
        <v>2.27</v>
      </c>
      <c r="F48">
        <v>0</v>
      </c>
      <c r="G48">
        <v>0</v>
      </c>
      <c r="H48">
        <v>2.27</v>
      </c>
      <c r="I48">
        <v>2.27</v>
      </c>
    </row>
    <row r="49" spans="1:9">
      <c r="A49" t="s">
        <v>371</v>
      </c>
      <c r="B49" t="s">
        <v>384</v>
      </c>
      <c r="C49" t="s">
        <v>385</v>
      </c>
      <c r="D49">
        <v>1</v>
      </c>
      <c r="E49">
        <v>2.27</v>
      </c>
      <c r="F49">
        <v>0</v>
      </c>
      <c r="G49">
        <v>0</v>
      </c>
      <c r="H49">
        <v>2.27</v>
      </c>
      <c r="I49">
        <v>2.27</v>
      </c>
    </row>
    <row r="50" spans="1:9">
      <c r="A50" t="s">
        <v>371</v>
      </c>
      <c r="B50" t="s">
        <v>386</v>
      </c>
      <c r="C50" t="s">
        <v>387</v>
      </c>
      <c r="D50">
        <v>1</v>
      </c>
      <c r="E50">
        <v>2.27</v>
      </c>
      <c r="F50">
        <v>0</v>
      </c>
      <c r="G50">
        <v>0</v>
      </c>
      <c r="H50">
        <v>2.27</v>
      </c>
      <c r="I50">
        <v>2.27</v>
      </c>
    </row>
    <row r="51" spans="1:9">
      <c r="A51" t="s">
        <v>371</v>
      </c>
      <c r="B51" t="s">
        <v>388</v>
      </c>
      <c r="C51" t="s">
        <v>389</v>
      </c>
      <c r="D51">
        <v>1</v>
      </c>
      <c r="E51">
        <v>2.27</v>
      </c>
      <c r="F51">
        <v>0</v>
      </c>
      <c r="G51">
        <v>0</v>
      </c>
      <c r="H51">
        <v>2.27</v>
      </c>
      <c r="I51">
        <v>2.27</v>
      </c>
    </row>
    <row r="52" spans="1:9">
      <c r="A52" t="s">
        <v>371</v>
      </c>
      <c r="B52" t="s">
        <v>390</v>
      </c>
      <c r="C52" t="s">
        <v>391</v>
      </c>
      <c r="D52">
        <v>1</v>
      </c>
      <c r="E52">
        <v>6.91</v>
      </c>
      <c r="F52">
        <v>0</v>
      </c>
      <c r="G52">
        <v>0</v>
      </c>
      <c r="H52">
        <v>6.91</v>
      </c>
      <c r="I52">
        <v>6.91</v>
      </c>
    </row>
    <row r="53" spans="1:9">
      <c r="A53" t="s">
        <v>371</v>
      </c>
      <c r="B53" t="s">
        <v>392</v>
      </c>
      <c r="C53" t="s">
        <v>393</v>
      </c>
      <c r="D53">
        <v>3</v>
      </c>
      <c r="E53">
        <v>1.58</v>
      </c>
      <c r="F53">
        <v>0</v>
      </c>
      <c r="G53">
        <v>0</v>
      </c>
      <c r="H53">
        <v>1.58</v>
      </c>
      <c r="I53">
        <v>4.74</v>
      </c>
    </row>
    <row r="54" spans="1:9">
      <c r="A54" t="s">
        <v>371</v>
      </c>
      <c r="B54" t="s">
        <v>394</v>
      </c>
      <c r="C54" t="s">
        <v>395</v>
      </c>
      <c r="D54">
        <v>3</v>
      </c>
      <c r="E54">
        <v>1.58</v>
      </c>
      <c r="F54">
        <v>0</v>
      </c>
      <c r="G54">
        <v>0</v>
      </c>
      <c r="H54">
        <v>1.58</v>
      </c>
      <c r="I54">
        <v>4.74</v>
      </c>
    </row>
    <row r="55" spans="1:9">
      <c r="A55" t="s">
        <v>371</v>
      </c>
      <c r="B55" t="s">
        <v>396</v>
      </c>
      <c r="C55" t="s">
        <v>397</v>
      </c>
      <c r="D55">
        <v>3</v>
      </c>
      <c r="E55">
        <v>1.58</v>
      </c>
      <c r="F55">
        <v>0</v>
      </c>
      <c r="G55">
        <v>0</v>
      </c>
      <c r="H55">
        <v>1.58</v>
      </c>
      <c r="I55">
        <v>4.74</v>
      </c>
    </row>
    <row r="56" spans="1:9">
      <c r="A56" t="s">
        <v>398</v>
      </c>
      <c r="B56" t="s">
        <v>399</v>
      </c>
      <c r="C56" t="s">
        <v>400</v>
      </c>
      <c r="D56">
        <v>100</v>
      </c>
      <c r="E56">
        <v>0.45</v>
      </c>
      <c r="F56">
        <v>0</v>
      </c>
      <c r="G56">
        <v>0</v>
      </c>
      <c r="H56">
        <v>0.45</v>
      </c>
      <c r="I56">
        <v>45</v>
      </c>
    </row>
    <row r="57" spans="1:9">
      <c r="A57" t="s">
        <v>398</v>
      </c>
      <c r="B57" t="s">
        <v>401</v>
      </c>
      <c r="C57" t="s">
        <v>402</v>
      </c>
      <c r="D57">
        <v>100</v>
      </c>
      <c r="E57">
        <v>0.55000000000000004</v>
      </c>
      <c r="F57">
        <v>0</v>
      </c>
      <c r="G57">
        <v>0</v>
      </c>
      <c r="H57">
        <v>0.55000000000000004</v>
      </c>
      <c r="I57">
        <v>55</v>
      </c>
    </row>
    <row r="58" spans="1:9">
      <c r="A58" t="s">
        <v>398</v>
      </c>
      <c r="B58" t="s">
        <v>403</v>
      </c>
      <c r="C58" t="s">
        <v>404</v>
      </c>
      <c r="D58">
        <v>100</v>
      </c>
      <c r="E58">
        <v>0.94</v>
      </c>
      <c r="F58">
        <v>0</v>
      </c>
      <c r="G58">
        <v>0</v>
      </c>
      <c r="H58">
        <v>0.94</v>
      </c>
      <c r="I58">
        <v>94</v>
      </c>
    </row>
    <row r="59" spans="1:9">
      <c r="A59" t="s">
        <v>398</v>
      </c>
      <c r="B59" t="s">
        <v>405</v>
      </c>
      <c r="C59" t="s">
        <v>406</v>
      </c>
      <c r="D59">
        <v>50</v>
      </c>
      <c r="E59">
        <v>1.88</v>
      </c>
      <c r="F59">
        <v>0</v>
      </c>
      <c r="G59">
        <v>0</v>
      </c>
      <c r="H59">
        <v>1.88</v>
      </c>
      <c r="I59">
        <v>94</v>
      </c>
    </row>
    <row r="60" spans="1:9">
      <c r="A60" t="s">
        <v>398</v>
      </c>
      <c r="B60" t="s">
        <v>407</v>
      </c>
      <c r="C60" t="s">
        <v>408</v>
      </c>
      <c r="D60">
        <v>20</v>
      </c>
      <c r="E60">
        <v>3.96</v>
      </c>
      <c r="F60">
        <v>0</v>
      </c>
      <c r="G60">
        <v>0</v>
      </c>
      <c r="H60">
        <v>3.96</v>
      </c>
      <c r="I60">
        <v>79.2</v>
      </c>
    </row>
    <row r="61" spans="1:9">
      <c r="A61" t="s">
        <v>409</v>
      </c>
      <c r="B61" t="s">
        <v>38</v>
      </c>
      <c r="C61" t="s">
        <v>410</v>
      </c>
      <c r="D61">
        <v>150</v>
      </c>
      <c r="E61">
        <v>7.68</v>
      </c>
      <c r="F61">
        <v>0.63</v>
      </c>
      <c r="G61">
        <v>0</v>
      </c>
      <c r="H61">
        <v>2.8415999999999997</v>
      </c>
      <c r="I61">
        <v>426.24</v>
      </c>
    </row>
    <row r="62" spans="1:9">
      <c r="A62" t="s">
        <v>409</v>
      </c>
      <c r="B62" t="s">
        <v>76</v>
      </c>
      <c r="C62" t="s">
        <v>411</v>
      </c>
      <c r="D62">
        <v>57</v>
      </c>
      <c r="E62">
        <v>16.649999999999999</v>
      </c>
      <c r="F62">
        <v>0.63</v>
      </c>
      <c r="G62">
        <v>0</v>
      </c>
      <c r="H62">
        <v>6.160499999999999</v>
      </c>
      <c r="I62">
        <v>351.15</v>
      </c>
    </row>
    <row r="63" spans="1:9">
      <c r="A63" t="s">
        <v>409</v>
      </c>
      <c r="B63" t="s">
        <v>29</v>
      </c>
      <c r="C63" t="s">
        <v>412</v>
      </c>
      <c r="D63">
        <v>5</v>
      </c>
      <c r="E63">
        <v>7.69</v>
      </c>
      <c r="F63">
        <v>0.6</v>
      </c>
      <c r="G63">
        <v>0</v>
      </c>
      <c r="H63">
        <v>3.0760000000000005</v>
      </c>
      <c r="I63">
        <v>15.38</v>
      </c>
    </row>
    <row r="64" spans="1:9">
      <c r="A64" t="s">
        <v>409</v>
      </c>
      <c r="B64" t="s">
        <v>23</v>
      </c>
      <c r="C64" t="s">
        <v>413</v>
      </c>
      <c r="D64">
        <v>129</v>
      </c>
      <c r="E64">
        <v>7.44</v>
      </c>
      <c r="F64">
        <v>0.6</v>
      </c>
      <c r="G64">
        <v>0</v>
      </c>
      <c r="H64">
        <v>2.9760000000000004</v>
      </c>
      <c r="I64">
        <v>383.9</v>
      </c>
    </row>
    <row r="65" spans="1:9">
      <c r="A65" t="s">
        <v>409</v>
      </c>
      <c r="B65" t="s">
        <v>110</v>
      </c>
      <c r="C65" t="s">
        <v>414</v>
      </c>
      <c r="D65">
        <v>102</v>
      </c>
      <c r="E65">
        <v>12.79</v>
      </c>
      <c r="F65">
        <v>0.6</v>
      </c>
      <c r="G65">
        <v>0</v>
      </c>
      <c r="H65">
        <v>5.1159999999999997</v>
      </c>
      <c r="I65">
        <v>521.83000000000004</v>
      </c>
    </row>
    <row r="66" spans="1:9">
      <c r="A66" t="s">
        <v>409</v>
      </c>
      <c r="B66" t="s">
        <v>415</v>
      </c>
      <c r="C66" t="s">
        <v>416</v>
      </c>
      <c r="D66">
        <v>10</v>
      </c>
      <c r="E66">
        <v>2.3199999999999998</v>
      </c>
      <c r="F66">
        <v>0</v>
      </c>
      <c r="G66">
        <v>0</v>
      </c>
      <c r="H66">
        <v>2.3199999999999998</v>
      </c>
      <c r="I66">
        <v>23.2</v>
      </c>
    </row>
    <row r="67" spans="1:9">
      <c r="A67" t="s">
        <v>409</v>
      </c>
      <c r="B67" t="s">
        <v>417</v>
      </c>
      <c r="C67" t="s">
        <v>418</v>
      </c>
      <c r="D67">
        <v>50</v>
      </c>
      <c r="E67">
        <v>1</v>
      </c>
      <c r="F67">
        <v>0</v>
      </c>
      <c r="G67">
        <v>0</v>
      </c>
      <c r="H67">
        <v>1</v>
      </c>
      <c r="I67">
        <v>50</v>
      </c>
    </row>
    <row r="68" spans="1:9">
      <c r="A68" t="s">
        <v>409</v>
      </c>
      <c r="B68" t="s">
        <v>419</v>
      </c>
      <c r="C68" t="s">
        <v>420</v>
      </c>
      <c r="D68">
        <v>1</v>
      </c>
      <c r="E68">
        <v>5</v>
      </c>
      <c r="F68">
        <v>0</v>
      </c>
      <c r="G68">
        <v>0</v>
      </c>
      <c r="H68">
        <v>5</v>
      </c>
      <c r="I68">
        <v>5</v>
      </c>
    </row>
    <row r="69" spans="1:9">
      <c r="A69" t="s">
        <v>409</v>
      </c>
      <c r="B69" t="s">
        <v>33</v>
      </c>
      <c r="C69" t="s">
        <v>421</v>
      </c>
      <c r="D69">
        <v>80</v>
      </c>
      <c r="E69">
        <v>1.05</v>
      </c>
      <c r="F69">
        <v>0.6</v>
      </c>
      <c r="G69">
        <v>0</v>
      </c>
      <c r="H69">
        <v>0.42000000000000004</v>
      </c>
      <c r="I69">
        <v>33.6</v>
      </c>
    </row>
    <row r="70" spans="1:9">
      <c r="A70" t="s">
        <v>409</v>
      </c>
      <c r="B70" t="s">
        <v>40</v>
      </c>
      <c r="C70" t="s">
        <v>346</v>
      </c>
      <c r="D70">
        <v>150</v>
      </c>
      <c r="E70">
        <v>1.1399999999999999</v>
      </c>
      <c r="F70">
        <v>0.6</v>
      </c>
      <c r="G70">
        <v>0</v>
      </c>
      <c r="H70">
        <v>0.45599999999999996</v>
      </c>
      <c r="I70">
        <v>68.400000000000006</v>
      </c>
    </row>
    <row r="71" spans="1:9">
      <c r="A71" t="s">
        <v>422</v>
      </c>
      <c r="B71" t="s">
        <v>38</v>
      </c>
      <c r="C71" t="s">
        <v>343</v>
      </c>
      <c r="D71">
        <v>219</v>
      </c>
      <c r="E71">
        <v>2.44</v>
      </c>
      <c r="F71">
        <v>0</v>
      </c>
      <c r="G71">
        <v>0</v>
      </c>
      <c r="H71">
        <v>2.44</v>
      </c>
      <c r="I71">
        <v>534.36</v>
      </c>
    </row>
    <row r="72" spans="1:9">
      <c r="A72" t="s">
        <v>422</v>
      </c>
      <c r="B72" t="s">
        <v>21</v>
      </c>
      <c r="C72" t="s">
        <v>344</v>
      </c>
      <c r="D72">
        <v>249</v>
      </c>
      <c r="E72">
        <v>3.56</v>
      </c>
      <c r="F72">
        <v>0</v>
      </c>
      <c r="G72">
        <v>0</v>
      </c>
      <c r="H72">
        <v>3.56</v>
      </c>
      <c r="I72">
        <v>886.44</v>
      </c>
    </row>
    <row r="73" spans="1:9">
      <c r="A73" t="s">
        <v>422</v>
      </c>
      <c r="B73" t="s">
        <v>23</v>
      </c>
      <c r="C73" t="s">
        <v>345</v>
      </c>
      <c r="D73">
        <v>66</v>
      </c>
      <c r="E73">
        <v>2.41</v>
      </c>
      <c r="F73">
        <v>0</v>
      </c>
      <c r="G73">
        <v>0</v>
      </c>
      <c r="H73">
        <v>2.41</v>
      </c>
      <c r="I73">
        <v>159.06</v>
      </c>
    </row>
    <row r="74" spans="1:9">
      <c r="A74" t="s">
        <v>422</v>
      </c>
      <c r="B74" t="s">
        <v>40</v>
      </c>
      <c r="C74" t="s">
        <v>346</v>
      </c>
      <c r="D74">
        <v>250</v>
      </c>
      <c r="E74">
        <v>0.36</v>
      </c>
      <c r="F74">
        <v>0</v>
      </c>
      <c r="G74">
        <v>0</v>
      </c>
      <c r="H74">
        <v>0.36</v>
      </c>
      <c r="I74">
        <v>90</v>
      </c>
    </row>
    <row r="75" spans="1:9">
      <c r="A75" t="s">
        <v>422</v>
      </c>
      <c r="B75" t="s">
        <v>31</v>
      </c>
      <c r="C75" t="s">
        <v>351</v>
      </c>
      <c r="D75">
        <v>100</v>
      </c>
      <c r="E75">
        <v>2.06</v>
      </c>
      <c r="F75">
        <v>0</v>
      </c>
      <c r="G75">
        <v>0</v>
      </c>
      <c r="H75">
        <v>2.06</v>
      </c>
      <c r="I75">
        <v>206</v>
      </c>
    </row>
    <row r="76" spans="1:9">
      <c r="A76" t="s">
        <v>422</v>
      </c>
      <c r="B76" t="s">
        <v>33</v>
      </c>
      <c r="C76" t="s">
        <v>347</v>
      </c>
      <c r="D76">
        <v>250</v>
      </c>
      <c r="E76">
        <v>0.33</v>
      </c>
      <c r="F76">
        <v>0</v>
      </c>
      <c r="G76">
        <v>0</v>
      </c>
      <c r="H76">
        <v>0.33</v>
      </c>
      <c r="I76">
        <v>82.5</v>
      </c>
    </row>
    <row r="77" spans="1:9">
      <c r="A77" t="s">
        <v>422</v>
      </c>
      <c r="B77" t="s">
        <v>42</v>
      </c>
      <c r="C77" t="s">
        <v>348</v>
      </c>
      <c r="D77">
        <v>50</v>
      </c>
      <c r="E77">
        <v>1.99</v>
      </c>
      <c r="F77">
        <v>0</v>
      </c>
      <c r="G77">
        <v>0</v>
      </c>
      <c r="H77">
        <v>1.99</v>
      </c>
      <c r="I77">
        <v>99.5</v>
      </c>
    </row>
    <row r="78" spans="1:9">
      <c r="A78" t="s">
        <v>423</v>
      </c>
      <c r="B78" t="s">
        <v>29</v>
      </c>
      <c r="C78" t="s">
        <v>349</v>
      </c>
      <c r="D78">
        <v>15</v>
      </c>
      <c r="E78">
        <v>7.69</v>
      </c>
      <c r="F78">
        <v>0.6</v>
      </c>
      <c r="G78">
        <v>0</v>
      </c>
      <c r="H78">
        <v>3.0760000000000005</v>
      </c>
    </row>
    <row r="79" spans="1:9">
      <c r="A79" t="s">
        <v>423</v>
      </c>
      <c r="B79" t="s">
        <v>23</v>
      </c>
      <c r="C79" t="s">
        <v>345</v>
      </c>
      <c r="D79">
        <v>21</v>
      </c>
      <c r="E79">
        <v>7.44</v>
      </c>
      <c r="F79">
        <v>0.6</v>
      </c>
      <c r="G79">
        <v>0</v>
      </c>
      <c r="H79">
        <v>2.9760000000000004</v>
      </c>
    </row>
    <row r="80" spans="1:9">
      <c r="A80" t="s">
        <v>424</v>
      </c>
      <c r="B80" t="s">
        <v>38</v>
      </c>
      <c r="C80" t="s">
        <v>343</v>
      </c>
      <c r="D80">
        <v>33</v>
      </c>
      <c r="E80">
        <v>2.44</v>
      </c>
      <c r="F80">
        <v>0</v>
      </c>
      <c r="G80">
        <v>0</v>
      </c>
      <c r="H80">
        <v>2.44</v>
      </c>
      <c r="I80">
        <v>80.52</v>
      </c>
    </row>
    <row r="81" spans="1:9">
      <c r="A81" t="s">
        <v>424</v>
      </c>
      <c r="B81" t="s">
        <v>23</v>
      </c>
      <c r="C81" t="s">
        <v>345</v>
      </c>
      <c r="D81">
        <v>414</v>
      </c>
      <c r="E81">
        <v>2.41</v>
      </c>
      <c r="F81">
        <v>0</v>
      </c>
      <c r="G81">
        <v>0</v>
      </c>
      <c r="H81">
        <v>2.41</v>
      </c>
      <c r="I81">
        <v>997.74</v>
      </c>
    </row>
    <row r="82" spans="1:9">
      <c r="A82" t="s">
        <v>425</v>
      </c>
      <c r="B82" t="s">
        <v>23</v>
      </c>
      <c r="C82" t="s">
        <v>345</v>
      </c>
      <c r="D82">
        <v>6</v>
      </c>
      <c r="E82">
        <v>2.63</v>
      </c>
      <c r="F82">
        <v>0</v>
      </c>
      <c r="G82">
        <v>0</v>
      </c>
      <c r="H82">
        <v>2.63</v>
      </c>
      <c r="I82">
        <v>15.78</v>
      </c>
    </row>
    <row r="83" spans="1:9">
      <c r="A83" t="s">
        <v>425</v>
      </c>
      <c r="B83" t="s">
        <v>426</v>
      </c>
      <c r="C83" t="s">
        <v>427</v>
      </c>
      <c r="D83">
        <v>8</v>
      </c>
      <c r="E83">
        <v>2.4</v>
      </c>
      <c r="F83">
        <v>0</v>
      </c>
      <c r="G83">
        <v>0</v>
      </c>
      <c r="H83">
        <v>2.4</v>
      </c>
      <c r="I83">
        <v>19.2</v>
      </c>
    </row>
    <row r="84" spans="1:9">
      <c r="A84" t="s">
        <v>425</v>
      </c>
      <c r="B84" t="s">
        <v>428</v>
      </c>
      <c r="C84" t="s">
        <v>429</v>
      </c>
      <c r="D84">
        <v>500</v>
      </c>
      <c r="E84">
        <v>0.63300000000000001</v>
      </c>
      <c r="F84">
        <v>0</v>
      </c>
      <c r="G84">
        <v>0</v>
      </c>
      <c r="H84">
        <v>0.63300000000000001</v>
      </c>
      <c r="I84">
        <v>316.5</v>
      </c>
    </row>
    <row r="85" spans="1:9">
      <c r="A85" t="s">
        <v>430</v>
      </c>
      <c r="B85" t="s">
        <v>428</v>
      </c>
      <c r="C85" t="s">
        <v>429</v>
      </c>
      <c r="D85">
        <v>500</v>
      </c>
      <c r="E85">
        <v>0.63300000000000001</v>
      </c>
      <c r="F85">
        <v>0</v>
      </c>
      <c r="G85">
        <v>0</v>
      </c>
      <c r="H85">
        <v>0.63300000000000001</v>
      </c>
      <c r="I85">
        <v>316.5</v>
      </c>
    </row>
    <row r="86" spans="1:9">
      <c r="A86" t="s">
        <v>430</v>
      </c>
      <c r="B86" t="s">
        <v>79</v>
      </c>
      <c r="C86" t="s">
        <v>304</v>
      </c>
      <c r="D86">
        <v>3</v>
      </c>
      <c r="E86">
        <v>62</v>
      </c>
      <c r="F86">
        <v>0</v>
      </c>
      <c r="G86">
        <v>0</v>
      </c>
      <c r="H86">
        <v>62</v>
      </c>
      <c r="I86">
        <v>186</v>
      </c>
    </row>
    <row r="87" spans="1:9">
      <c r="A87" t="s">
        <v>431</v>
      </c>
      <c r="B87" t="s">
        <v>432</v>
      </c>
      <c r="C87" t="s">
        <v>433</v>
      </c>
      <c r="D87">
        <v>208</v>
      </c>
      <c r="E87">
        <v>0.88</v>
      </c>
      <c r="F87">
        <v>0</v>
      </c>
      <c r="G87">
        <v>0</v>
      </c>
      <c r="H87">
        <v>0.88</v>
      </c>
      <c r="I87">
        <v>183.04</v>
      </c>
    </row>
    <row r="88" spans="1:9">
      <c r="A88" t="s">
        <v>431</v>
      </c>
      <c r="B88" t="s">
        <v>54</v>
      </c>
      <c r="C88" t="s">
        <v>434</v>
      </c>
      <c r="D88">
        <v>12</v>
      </c>
      <c r="E88">
        <v>3.97</v>
      </c>
      <c r="F88">
        <v>0</v>
      </c>
      <c r="G88">
        <v>0</v>
      </c>
      <c r="H88">
        <v>3.97</v>
      </c>
      <c r="I88">
        <v>47.64</v>
      </c>
    </row>
    <row r="89" spans="1:9">
      <c r="A89" t="s">
        <v>431</v>
      </c>
      <c r="B89" t="s">
        <v>13</v>
      </c>
      <c r="C89" t="s">
        <v>300</v>
      </c>
      <c r="D89">
        <v>9</v>
      </c>
      <c r="E89">
        <v>3.62</v>
      </c>
      <c r="F89">
        <v>0</v>
      </c>
      <c r="G89">
        <v>0</v>
      </c>
      <c r="H89">
        <v>3.62</v>
      </c>
      <c r="I89">
        <v>32.58</v>
      </c>
    </row>
    <row r="90" spans="1:9">
      <c r="A90" t="s">
        <v>435</v>
      </c>
      <c r="B90" t="s">
        <v>436</v>
      </c>
      <c r="C90" t="s">
        <v>437</v>
      </c>
      <c r="D90">
        <v>100</v>
      </c>
      <c r="E90">
        <v>0.22</v>
      </c>
      <c r="F90">
        <v>0.5</v>
      </c>
      <c r="G90">
        <v>0</v>
      </c>
      <c r="H90">
        <v>0.11</v>
      </c>
      <c r="I90">
        <v>11</v>
      </c>
    </row>
    <row r="91" spans="1:9">
      <c r="A91" t="s">
        <v>435</v>
      </c>
      <c r="B91" t="s">
        <v>438</v>
      </c>
      <c r="C91" t="s">
        <v>439</v>
      </c>
      <c r="D91">
        <v>100</v>
      </c>
      <c r="E91">
        <v>0.23</v>
      </c>
      <c r="F91">
        <v>0.5</v>
      </c>
      <c r="G91">
        <v>0</v>
      </c>
      <c r="H91">
        <v>0.115</v>
      </c>
      <c r="I91">
        <v>11.5</v>
      </c>
    </row>
    <row r="92" spans="1:9">
      <c r="A92" t="s">
        <v>435</v>
      </c>
      <c r="B92" t="s">
        <v>440</v>
      </c>
      <c r="C92" t="s">
        <v>441</v>
      </c>
      <c r="D92">
        <v>100</v>
      </c>
      <c r="E92">
        <v>0.31</v>
      </c>
      <c r="F92">
        <v>0.5</v>
      </c>
      <c r="G92">
        <v>0</v>
      </c>
      <c r="H92">
        <v>0.155</v>
      </c>
      <c r="I92">
        <v>15.5</v>
      </c>
    </row>
    <row r="93" spans="1:9">
      <c r="A93" t="s">
        <v>435</v>
      </c>
      <c r="B93" t="s">
        <v>442</v>
      </c>
      <c r="C93" t="s">
        <v>443</v>
      </c>
      <c r="D93">
        <v>100</v>
      </c>
      <c r="E93">
        <v>0.51</v>
      </c>
      <c r="F93">
        <v>0.5</v>
      </c>
      <c r="G93">
        <v>0</v>
      </c>
      <c r="H93">
        <v>0.255</v>
      </c>
      <c r="I93">
        <v>25.5</v>
      </c>
    </row>
    <row r="94" spans="1:9">
      <c r="A94" t="s">
        <v>435</v>
      </c>
      <c r="B94" t="s">
        <v>444</v>
      </c>
      <c r="C94" t="s">
        <v>445</v>
      </c>
      <c r="D94">
        <v>50</v>
      </c>
      <c r="E94">
        <v>0.78</v>
      </c>
      <c r="F94">
        <v>0.5</v>
      </c>
      <c r="G94">
        <v>0</v>
      </c>
      <c r="H94">
        <v>0.39</v>
      </c>
      <c r="I94">
        <v>19.5</v>
      </c>
    </row>
    <row r="95" spans="1:9">
      <c r="A95" t="s">
        <v>435</v>
      </c>
      <c r="B95" t="s">
        <v>446</v>
      </c>
      <c r="C95" t="s">
        <v>447</v>
      </c>
      <c r="D95">
        <v>20</v>
      </c>
      <c r="E95">
        <v>1.43</v>
      </c>
      <c r="F95">
        <v>0.5</v>
      </c>
      <c r="G95">
        <v>0</v>
      </c>
      <c r="H95">
        <v>0.71499999999999997</v>
      </c>
      <c r="I95">
        <v>14.3</v>
      </c>
    </row>
    <row r="96" spans="1:9">
      <c r="A96" t="s">
        <v>448</v>
      </c>
      <c r="B96" t="s">
        <v>79</v>
      </c>
      <c r="C96" t="s">
        <v>449</v>
      </c>
      <c r="D96">
        <v>7</v>
      </c>
      <c r="E96">
        <v>62</v>
      </c>
      <c r="F96">
        <v>0</v>
      </c>
      <c r="G96">
        <v>0</v>
      </c>
      <c r="H96">
        <v>62</v>
      </c>
      <c r="I96">
        <v>434</v>
      </c>
    </row>
    <row r="97" spans="1:9">
      <c r="A97" t="s">
        <v>450</v>
      </c>
      <c r="B97" t="s">
        <v>79</v>
      </c>
      <c r="C97" t="s">
        <v>451</v>
      </c>
      <c r="D97">
        <v>1</v>
      </c>
      <c r="E97">
        <v>62</v>
      </c>
      <c r="F97">
        <v>0</v>
      </c>
      <c r="G97">
        <v>0</v>
      </c>
      <c r="H97">
        <v>62</v>
      </c>
      <c r="I97">
        <v>62</v>
      </c>
    </row>
    <row r="98" spans="1:9">
      <c r="A98" t="s">
        <v>452</v>
      </c>
      <c r="B98" t="s">
        <v>333</v>
      </c>
      <c r="C98" t="s">
        <v>334</v>
      </c>
      <c r="D98">
        <v>3</v>
      </c>
      <c r="E98">
        <v>130</v>
      </c>
      <c r="F98">
        <v>0</v>
      </c>
      <c r="G98">
        <v>0</v>
      </c>
      <c r="H98">
        <v>130</v>
      </c>
      <c r="I98">
        <v>390</v>
      </c>
    </row>
    <row r="99" spans="1:9">
      <c r="A99" t="s">
        <v>452</v>
      </c>
      <c r="B99" t="s">
        <v>335</v>
      </c>
      <c r="C99" t="s">
        <v>336</v>
      </c>
      <c r="D99">
        <v>3</v>
      </c>
      <c r="E99">
        <v>18.5</v>
      </c>
      <c r="F99">
        <v>0</v>
      </c>
      <c r="G99">
        <v>0</v>
      </c>
      <c r="H99">
        <v>18.5</v>
      </c>
      <c r="I99">
        <v>55.5</v>
      </c>
    </row>
    <row r="100" spans="1:9">
      <c r="A100" t="s">
        <v>453</v>
      </c>
      <c r="B100" t="s">
        <v>62</v>
      </c>
      <c r="C100" t="s">
        <v>454</v>
      </c>
      <c r="D100">
        <v>200</v>
      </c>
      <c r="E100">
        <v>1.6</v>
      </c>
      <c r="F100">
        <v>0</v>
      </c>
      <c r="G100">
        <v>0</v>
      </c>
      <c r="H100">
        <v>1.6</v>
      </c>
      <c r="I100">
        <v>320</v>
      </c>
    </row>
    <row r="101" spans="1:9">
      <c r="A101" t="s">
        <v>455</v>
      </c>
      <c r="B101" t="s">
        <v>456</v>
      </c>
      <c r="C101" t="s">
        <v>457</v>
      </c>
      <c r="D101">
        <v>1</v>
      </c>
      <c r="E101">
        <v>2.5</v>
      </c>
      <c r="F101">
        <v>0</v>
      </c>
      <c r="G101">
        <v>0</v>
      </c>
      <c r="H101">
        <v>2.5</v>
      </c>
    </row>
    <row r="102" spans="1:9">
      <c r="A102" t="s">
        <v>455</v>
      </c>
      <c r="B102" t="s">
        <v>458</v>
      </c>
      <c r="C102" t="s">
        <v>459</v>
      </c>
      <c r="D102">
        <v>20</v>
      </c>
      <c r="E102">
        <v>0.65</v>
      </c>
      <c r="F102">
        <v>0</v>
      </c>
      <c r="G102">
        <v>0</v>
      </c>
      <c r="H102">
        <v>0.65</v>
      </c>
    </row>
    <row r="103" spans="1:9">
      <c r="A103" t="s">
        <v>460</v>
      </c>
      <c r="B103" t="s">
        <v>461</v>
      </c>
      <c r="C103" t="s">
        <v>462</v>
      </c>
      <c r="D103">
        <v>1</v>
      </c>
      <c r="E103">
        <v>5.6</v>
      </c>
      <c r="F103">
        <v>0</v>
      </c>
      <c r="G103">
        <v>0</v>
      </c>
      <c r="H103">
        <v>5.6</v>
      </c>
      <c r="I103">
        <v>5.6</v>
      </c>
    </row>
    <row r="104" spans="1:9">
      <c r="A104" t="s">
        <v>463</v>
      </c>
      <c r="B104" t="s">
        <v>464</v>
      </c>
      <c r="C104" t="s">
        <v>465</v>
      </c>
      <c r="D104">
        <v>30</v>
      </c>
      <c r="E104">
        <v>1.7</v>
      </c>
      <c r="F104">
        <v>0.4</v>
      </c>
      <c r="G104">
        <v>0</v>
      </c>
      <c r="H104">
        <v>1.02</v>
      </c>
      <c r="I104">
        <v>30.6</v>
      </c>
    </row>
    <row r="105" spans="1:9">
      <c r="A105" t="s">
        <v>466</v>
      </c>
      <c r="B105" t="s">
        <v>467</v>
      </c>
      <c r="C105" t="s">
        <v>468</v>
      </c>
      <c r="D105">
        <v>1</v>
      </c>
      <c r="E105">
        <v>1847.75</v>
      </c>
      <c r="F105">
        <v>0</v>
      </c>
      <c r="G105">
        <v>0</v>
      </c>
      <c r="H105">
        <v>1847.75</v>
      </c>
      <c r="I105">
        <v>1847.75</v>
      </c>
    </row>
    <row r="106" spans="1:9">
      <c r="A106" t="s">
        <v>466</v>
      </c>
      <c r="B106" t="s">
        <v>469</v>
      </c>
      <c r="C106" t="s">
        <v>470</v>
      </c>
      <c r="D106">
        <v>1</v>
      </c>
      <c r="E106">
        <v>672.25</v>
      </c>
      <c r="F106">
        <v>0</v>
      </c>
      <c r="G106">
        <v>0</v>
      </c>
      <c r="H106">
        <v>672.25</v>
      </c>
      <c r="I106">
        <v>672.25</v>
      </c>
    </row>
    <row r="107" spans="1:9">
      <c r="A107" t="s">
        <v>466</v>
      </c>
      <c r="B107" t="s">
        <v>471</v>
      </c>
      <c r="C107" t="s">
        <v>472</v>
      </c>
      <c r="D107">
        <v>1</v>
      </c>
      <c r="E107">
        <v>125</v>
      </c>
      <c r="F107">
        <v>0</v>
      </c>
      <c r="G107">
        <v>0</v>
      </c>
      <c r="H107">
        <v>125</v>
      </c>
      <c r="I107">
        <v>125</v>
      </c>
    </row>
    <row r="108" spans="1:9">
      <c r="A108" t="s">
        <v>466</v>
      </c>
      <c r="B108" t="s">
        <v>473</v>
      </c>
      <c r="C108" t="s">
        <v>474</v>
      </c>
      <c r="D108">
        <v>1</v>
      </c>
      <c r="E108">
        <v>239.65</v>
      </c>
      <c r="F108">
        <v>0</v>
      </c>
      <c r="G108">
        <v>0</v>
      </c>
      <c r="H108">
        <v>239.65</v>
      </c>
      <c r="I108">
        <v>239.65</v>
      </c>
    </row>
    <row r="109" spans="1:9">
      <c r="A109" t="s">
        <v>475</v>
      </c>
      <c r="B109" t="s">
        <v>476</v>
      </c>
      <c r="C109" t="s">
        <v>477</v>
      </c>
      <c r="D109">
        <v>50</v>
      </c>
      <c r="E109">
        <v>1.48</v>
      </c>
      <c r="F109">
        <v>0</v>
      </c>
      <c r="G109">
        <v>0</v>
      </c>
      <c r="H109">
        <v>1.48</v>
      </c>
      <c r="I109">
        <v>74</v>
      </c>
    </row>
    <row r="110" spans="1:9">
      <c r="A110" t="s">
        <v>478</v>
      </c>
      <c r="B110" t="s">
        <v>38</v>
      </c>
      <c r="C110" t="s">
        <v>343</v>
      </c>
      <c r="D110">
        <v>132</v>
      </c>
      <c r="E110">
        <v>2.4</v>
      </c>
      <c r="F110">
        <v>0</v>
      </c>
      <c r="G110">
        <v>0</v>
      </c>
      <c r="H110">
        <v>2.4</v>
      </c>
      <c r="I110">
        <v>316.8</v>
      </c>
    </row>
    <row r="111" spans="1:9">
      <c r="A111" t="s">
        <v>478</v>
      </c>
      <c r="B111" t="s">
        <v>23</v>
      </c>
      <c r="C111" t="s">
        <v>345</v>
      </c>
      <c r="D111">
        <v>129</v>
      </c>
      <c r="E111">
        <v>2.63</v>
      </c>
      <c r="F111">
        <v>0</v>
      </c>
      <c r="G111">
        <v>0</v>
      </c>
      <c r="H111">
        <v>2.63</v>
      </c>
      <c r="I111">
        <v>339.27</v>
      </c>
    </row>
    <row r="112" spans="1:9">
      <c r="A112" t="s">
        <v>479</v>
      </c>
      <c r="B112" t="s">
        <v>89</v>
      </c>
      <c r="C112" t="s">
        <v>305</v>
      </c>
      <c r="D112">
        <v>10</v>
      </c>
      <c r="E112">
        <v>13.64</v>
      </c>
      <c r="F112">
        <v>0</v>
      </c>
      <c r="G112">
        <v>0</v>
      </c>
      <c r="H112">
        <v>13.64</v>
      </c>
      <c r="I112">
        <v>136.4</v>
      </c>
    </row>
    <row r="113" spans="1:9">
      <c r="A113" t="s">
        <v>479</v>
      </c>
      <c r="B113" t="s">
        <v>91</v>
      </c>
      <c r="C113" t="s">
        <v>306</v>
      </c>
      <c r="D113">
        <v>30</v>
      </c>
      <c r="E113">
        <v>0.4</v>
      </c>
      <c r="F113">
        <v>0</v>
      </c>
      <c r="G113">
        <v>0</v>
      </c>
      <c r="H113">
        <v>0.4</v>
      </c>
      <c r="I113">
        <v>12</v>
      </c>
    </row>
    <row r="114" spans="1:9">
      <c r="A114" t="s">
        <v>479</v>
      </c>
      <c r="B114" t="s">
        <v>480</v>
      </c>
      <c r="C114" t="s">
        <v>481</v>
      </c>
      <c r="D114">
        <v>1</v>
      </c>
      <c r="E114">
        <v>1.2</v>
      </c>
      <c r="F114">
        <v>0</v>
      </c>
      <c r="G114">
        <v>0</v>
      </c>
      <c r="H114">
        <v>1.2</v>
      </c>
      <c r="I114">
        <v>1.2</v>
      </c>
    </row>
    <row r="115" spans="1:9">
      <c r="A115" t="s">
        <v>479</v>
      </c>
      <c r="B115" t="s">
        <v>482</v>
      </c>
      <c r="C115" t="s">
        <v>483</v>
      </c>
      <c r="D115">
        <v>1</v>
      </c>
      <c r="E115">
        <v>1.5</v>
      </c>
      <c r="F115">
        <v>0</v>
      </c>
      <c r="G115">
        <v>0</v>
      </c>
      <c r="H115">
        <v>1.5</v>
      </c>
      <c r="I115">
        <v>1.5</v>
      </c>
    </row>
    <row r="116" spans="1:9">
      <c r="A116" t="s">
        <v>479</v>
      </c>
      <c r="B116" t="s">
        <v>322</v>
      </c>
      <c r="C116" t="s">
        <v>323</v>
      </c>
      <c r="D116">
        <v>1</v>
      </c>
      <c r="E116">
        <v>1.98</v>
      </c>
      <c r="F116">
        <v>0</v>
      </c>
      <c r="G116">
        <v>0</v>
      </c>
      <c r="H116">
        <v>1.98</v>
      </c>
      <c r="I116">
        <v>1.98</v>
      </c>
    </row>
    <row r="117" spans="1:9">
      <c r="A117" t="s">
        <v>479</v>
      </c>
      <c r="B117" t="s">
        <v>484</v>
      </c>
      <c r="C117" t="s">
        <v>485</v>
      </c>
      <c r="D117">
        <v>1</v>
      </c>
      <c r="E117">
        <v>2.6</v>
      </c>
      <c r="F117">
        <v>0</v>
      </c>
      <c r="G117">
        <v>0</v>
      </c>
      <c r="H117">
        <v>2.6</v>
      </c>
      <c r="I117">
        <v>2.6</v>
      </c>
    </row>
    <row r="118" spans="1:9">
      <c r="A118" t="s">
        <v>486</v>
      </c>
      <c r="B118" t="s">
        <v>487</v>
      </c>
      <c r="C118" t="s">
        <v>488</v>
      </c>
      <c r="D118">
        <v>1</v>
      </c>
      <c r="E118">
        <v>143.5</v>
      </c>
      <c r="F118">
        <v>0.02</v>
      </c>
      <c r="G118">
        <v>0</v>
      </c>
      <c r="H118">
        <v>140.63</v>
      </c>
      <c r="I118">
        <v>140.63</v>
      </c>
    </row>
    <row r="119" spans="1:9">
      <c r="A119" t="s">
        <v>486</v>
      </c>
      <c r="B119" t="s">
        <v>489</v>
      </c>
      <c r="C119" t="s">
        <v>490</v>
      </c>
      <c r="D119">
        <v>1</v>
      </c>
      <c r="E119">
        <v>57.5</v>
      </c>
      <c r="F119">
        <v>0.02</v>
      </c>
      <c r="G119">
        <v>0</v>
      </c>
      <c r="H119">
        <v>56.35</v>
      </c>
      <c r="I119">
        <v>56.35</v>
      </c>
    </row>
    <row r="120" spans="1:9">
      <c r="A120" t="s">
        <v>486</v>
      </c>
      <c r="B120" t="s">
        <v>491</v>
      </c>
      <c r="C120" t="s">
        <v>492</v>
      </c>
      <c r="D120">
        <v>1</v>
      </c>
      <c r="E120">
        <v>57.5</v>
      </c>
      <c r="F120">
        <v>0.02</v>
      </c>
      <c r="G120">
        <v>0</v>
      </c>
      <c r="H120">
        <v>56.35</v>
      </c>
      <c r="I120">
        <v>56.35</v>
      </c>
    </row>
    <row r="121" spans="1:9">
      <c r="A121" t="s">
        <v>493</v>
      </c>
      <c r="B121" t="s">
        <v>494</v>
      </c>
      <c r="C121" t="s">
        <v>495</v>
      </c>
      <c r="D121">
        <v>1</v>
      </c>
      <c r="E121">
        <v>1754</v>
      </c>
      <c r="F121">
        <v>0.15</v>
      </c>
      <c r="G121">
        <v>0</v>
      </c>
      <c r="H121">
        <v>1490.8999999999999</v>
      </c>
      <c r="I121">
        <v>1490.9</v>
      </c>
    </row>
    <row r="122" spans="1:9">
      <c r="A122" t="s">
        <v>496</v>
      </c>
      <c r="B122" t="s">
        <v>487</v>
      </c>
      <c r="C122" t="s">
        <v>488</v>
      </c>
      <c r="D122">
        <v>2</v>
      </c>
      <c r="E122">
        <v>139.9</v>
      </c>
      <c r="F122">
        <v>0.05</v>
      </c>
      <c r="G122">
        <v>0.02</v>
      </c>
      <c r="H122">
        <v>130.24690000000001</v>
      </c>
      <c r="I122">
        <v>260.49</v>
      </c>
    </row>
    <row r="123" spans="1:9">
      <c r="A123" t="s">
        <v>496</v>
      </c>
      <c r="B123" t="s">
        <v>489</v>
      </c>
      <c r="C123" t="s">
        <v>490</v>
      </c>
      <c r="D123">
        <v>2</v>
      </c>
      <c r="E123">
        <v>55.99</v>
      </c>
      <c r="F123">
        <v>0.05</v>
      </c>
      <c r="G123">
        <v>0.02</v>
      </c>
      <c r="H123">
        <v>52.126689999999996</v>
      </c>
      <c r="I123">
        <v>104.25</v>
      </c>
    </row>
    <row r="124" spans="1:9">
      <c r="A124" t="s">
        <v>496</v>
      </c>
      <c r="B124" t="s">
        <v>491</v>
      </c>
      <c r="C124" t="s">
        <v>492</v>
      </c>
      <c r="D124">
        <v>2</v>
      </c>
      <c r="E124">
        <v>55.99</v>
      </c>
      <c r="F124">
        <v>0.05</v>
      </c>
      <c r="G124">
        <v>0.02</v>
      </c>
      <c r="H124">
        <v>52.126689999999996</v>
      </c>
      <c r="I124">
        <v>104.25</v>
      </c>
    </row>
    <row r="125" spans="1:9">
      <c r="A125" t="s">
        <v>496</v>
      </c>
      <c r="B125" t="s">
        <v>497</v>
      </c>
      <c r="C125" t="s">
        <v>498</v>
      </c>
      <c r="D125">
        <v>3</v>
      </c>
      <c r="E125">
        <v>32</v>
      </c>
      <c r="F125">
        <v>0</v>
      </c>
      <c r="G125">
        <v>0</v>
      </c>
      <c r="H125">
        <v>32</v>
      </c>
      <c r="I125">
        <v>96</v>
      </c>
    </row>
    <row r="126" spans="1:9">
      <c r="A126" t="s">
        <v>496</v>
      </c>
      <c r="B126" t="s">
        <v>499</v>
      </c>
      <c r="C126" t="s">
        <v>500</v>
      </c>
      <c r="D126">
        <v>1</v>
      </c>
      <c r="E126">
        <v>116</v>
      </c>
      <c r="F126">
        <v>0</v>
      </c>
      <c r="G126">
        <v>0</v>
      </c>
      <c r="H126">
        <v>116</v>
      </c>
      <c r="I126">
        <v>116</v>
      </c>
    </row>
    <row r="127" spans="1:9">
      <c r="A127" t="s">
        <v>501</v>
      </c>
      <c r="B127" t="s">
        <v>502</v>
      </c>
      <c r="C127" t="s">
        <v>503</v>
      </c>
      <c r="D127">
        <v>1</v>
      </c>
      <c r="E127">
        <v>125</v>
      </c>
      <c r="F127">
        <v>0</v>
      </c>
      <c r="G127">
        <v>0</v>
      </c>
      <c r="H127">
        <v>125</v>
      </c>
      <c r="I127">
        <v>125</v>
      </c>
    </row>
    <row r="128" spans="1:9">
      <c r="A128" t="s">
        <v>504</v>
      </c>
      <c r="B128" t="s">
        <v>505</v>
      </c>
      <c r="C128" t="s">
        <v>506</v>
      </c>
      <c r="D128">
        <v>50</v>
      </c>
      <c r="E128">
        <v>1.36</v>
      </c>
      <c r="F128">
        <v>0</v>
      </c>
      <c r="G128">
        <v>0</v>
      </c>
      <c r="H128">
        <v>1.36</v>
      </c>
      <c r="I128">
        <v>68</v>
      </c>
    </row>
    <row r="129" spans="1:9">
      <c r="A129" t="s">
        <v>504</v>
      </c>
      <c r="B129" t="s">
        <v>507</v>
      </c>
      <c r="C129" t="s">
        <v>508</v>
      </c>
      <c r="D129">
        <v>100</v>
      </c>
      <c r="E129">
        <v>3.93</v>
      </c>
      <c r="F129">
        <v>0</v>
      </c>
      <c r="G129">
        <v>0</v>
      </c>
      <c r="H129">
        <v>3.93</v>
      </c>
      <c r="I129">
        <v>393</v>
      </c>
    </row>
    <row r="130" spans="1:9">
      <c r="A130" t="s">
        <v>509</v>
      </c>
      <c r="B130" t="s">
        <v>40</v>
      </c>
      <c r="C130" t="s">
        <v>510</v>
      </c>
      <c r="D130">
        <v>300</v>
      </c>
      <c r="E130">
        <v>0.39</v>
      </c>
      <c r="F130">
        <v>0</v>
      </c>
      <c r="G130">
        <v>0</v>
      </c>
      <c r="H130">
        <v>0.39</v>
      </c>
      <c r="I130">
        <v>117</v>
      </c>
    </row>
    <row r="131" spans="1:9">
      <c r="A131" t="s">
        <v>509</v>
      </c>
      <c r="B131" t="s">
        <v>31</v>
      </c>
      <c r="C131" t="s">
        <v>351</v>
      </c>
      <c r="D131">
        <v>100</v>
      </c>
      <c r="E131">
        <v>2.2200000000000002</v>
      </c>
      <c r="F131">
        <v>0</v>
      </c>
      <c r="G131">
        <v>0</v>
      </c>
      <c r="H131">
        <v>2.2200000000000002</v>
      </c>
      <c r="I131">
        <v>222</v>
      </c>
    </row>
    <row r="132" spans="1:9">
      <c r="A132" t="s">
        <v>509</v>
      </c>
      <c r="B132" t="s">
        <v>33</v>
      </c>
      <c r="C132" t="s">
        <v>347</v>
      </c>
      <c r="D132">
        <v>200</v>
      </c>
      <c r="E132">
        <v>0.36</v>
      </c>
      <c r="F132">
        <v>0</v>
      </c>
      <c r="G132">
        <v>0</v>
      </c>
      <c r="H132">
        <v>0.36</v>
      </c>
      <c r="I132">
        <v>72</v>
      </c>
    </row>
    <row r="133" spans="1:9">
      <c r="A133" t="s">
        <v>509</v>
      </c>
      <c r="B133" t="s">
        <v>76</v>
      </c>
      <c r="C133" t="s">
        <v>511</v>
      </c>
      <c r="D133">
        <v>60</v>
      </c>
      <c r="E133">
        <v>5.83</v>
      </c>
      <c r="F133">
        <v>0</v>
      </c>
      <c r="G133">
        <v>0</v>
      </c>
      <c r="H133">
        <v>5.83</v>
      </c>
      <c r="I133">
        <v>349.8</v>
      </c>
    </row>
    <row r="134" spans="1:9">
      <c r="A134" t="s">
        <v>509</v>
      </c>
      <c r="B134" t="s">
        <v>110</v>
      </c>
      <c r="C134" t="s">
        <v>512</v>
      </c>
      <c r="D134">
        <v>60</v>
      </c>
      <c r="E134">
        <v>4.4800000000000004</v>
      </c>
      <c r="F134">
        <v>0</v>
      </c>
      <c r="G134">
        <v>0</v>
      </c>
      <c r="H134">
        <v>4.4800000000000004</v>
      </c>
      <c r="I134">
        <v>268.8</v>
      </c>
    </row>
    <row r="135" spans="1:9">
      <c r="A135" t="s">
        <v>513</v>
      </c>
      <c r="B135" t="s">
        <v>335</v>
      </c>
      <c r="C135" t="s">
        <v>336</v>
      </c>
      <c r="D135">
        <v>1</v>
      </c>
      <c r="E135">
        <v>20.37</v>
      </c>
      <c r="F135">
        <v>0</v>
      </c>
      <c r="G135">
        <v>0</v>
      </c>
      <c r="H135">
        <v>20.37</v>
      </c>
      <c r="I135">
        <v>20.37</v>
      </c>
    </row>
    <row r="136" spans="1:9">
      <c r="A136" t="s">
        <v>514</v>
      </c>
      <c r="B136" t="s">
        <v>428</v>
      </c>
      <c r="C136" t="s">
        <v>429</v>
      </c>
      <c r="D136">
        <v>200</v>
      </c>
      <c r="E136">
        <v>0.72</v>
      </c>
      <c r="F136">
        <v>0</v>
      </c>
      <c r="G136">
        <v>0</v>
      </c>
      <c r="H136">
        <v>0.72</v>
      </c>
      <c r="I136">
        <v>144</v>
      </c>
    </row>
    <row r="137" spans="1:9">
      <c r="A137" t="s">
        <v>514</v>
      </c>
      <c r="B137" t="s">
        <v>515</v>
      </c>
      <c r="C137" t="s">
        <v>516</v>
      </c>
      <c r="D137">
        <v>50</v>
      </c>
      <c r="E137">
        <v>0.49869999999999998</v>
      </c>
      <c r="F137">
        <v>0.25</v>
      </c>
      <c r="G137">
        <v>0</v>
      </c>
      <c r="H137">
        <v>0.374025</v>
      </c>
      <c r="I137">
        <v>18.7</v>
      </c>
    </row>
    <row r="138" spans="1:9">
      <c r="A138" t="s">
        <v>514</v>
      </c>
      <c r="B138" t="s">
        <v>517</v>
      </c>
      <c r="C138" t="s">
        <v>518</v>
      </c>
      <c r="D138">
        <v>50</v>
      </c>
      <c r="E138">
        <v>0.7954</v>
      </c>
      <c r="F138">
        <v>0.25</v>
      </c>
      <c r="G138">
        <v>0</v>
      </c>
      <c r="H138">
        <v>0.59655000000000002</v>
      </c>
      <c r="I138">
        <v>29.83</v>
      </c>
    </row>
    <row r="139" spans="1:9">
      <c r="A139" t="s">
        <v>519</v>
      </c>
      <c r="B139" t="s">
        <v>487</v>
      </c>
      <c r="C139" t="s">
        <v>488</v>
      </c>
      <c r="D139">
        <v>1</v>
      </c>
      <c r="E139">
        <v>143.5</v>
      </c>
      <c r="F139">
        <v>0.02</v>
      </c>
      <c r="G139">
        <v>0</v>
      </c>
      <c r="H139">
        <v>140.63</v>
      </c>
      <c r="I139">
        <v>140.63</v>
      </c>
    </row>
    <row r="140" spans="1:9">
      <c r="A140" t="s">
        <v>519</v>
      </c>
      <c r="B140" t="s">
        <v>520</v>
      </c>
      <c r="C140" t="s">
        <v>521</v>
      </c>
      <c r="D140">
        <v>1</v>
      </c>
      <c r="E140">
        <v>0.96</v>
      </c>
      <c r="F140">
        <v>0</v>
      </c>
      <c r="G140">
        <v>0</v>
      </c>
      <c r="H140">
        <v>0.96</v>
      </c>
      <c r="I140">
        <v>0.96</v>
      </c>
    </row>
    <row r="141" spans="1:9">
      <c r="A141" t="s">
        <v>519</v>
      </c>
      <c r="B141" t="s">
        <v>522</v>
      </c>
      <c r="C141" t="s">
        <v>523</v>
      </c>
      <c r="D141">
        <v>1</v>
      </c>
      <c r="E141">
        <v>0.96</v>
      </c>
      <c r="F141">
        <v>0</v>
      </c>
      <c r="G141">
        <v>0</v>
      </c>
      <c r="H141">
        <v>0.96</v>
      </c>
      <c r="I141">
        <v>0.96</v>
      </c>
    </row>
    <row r="142" spans="1:9">
      <c r="A142" t="s">
        <v>519</v>
      </c>
      <c r="B142" t="s">
        <v>524</v>
      </c>
      <c r="C142" t="s">
        <v>525</v>
      </c>
      <c r="D142">
        <v>1</v>
      </c>
      <c r="E142">
        <v>0.96</v>
      </c>
      <c r="F142">
        <v>0</v>
      </c>
      <c r="G142">
        <v>0</v>
      </c>
      <c r="H142">
        <v>0.96</v>
      </c>
      <c r="I142">
        <v>0.96</v>
      </c>
    </row>
    <row r="143" spans="1:9">
      <c r="A143" t="s">
        <v>519</v>
      </c>
      <c r="B143" t="s">
        <v>526</v>
      </c>
      <c r="C143" t="s">
        <v>527</v>
      </c>
      <c r="D143">
        <v>1</v>
      </c>
      <c r="E143">
        <v>0.96</v>
      </c>
      <c r="F143">
        <v>0</v>
      </c>
      <c r="G143">
        <v>0</v>
      </c>
      <c r="H143">
        <v>0.96</v>
      </c>
      <c r="I143">
        <v>0.96</v>
      </c>
    </row>
    <row r="144" spans="1:9">
      <c r="A144" t="s">
        <v>519</v>
      </c>
      <c r="B144" t="s">
        <v>528</v>
      </c>
      <c r="C144" t="s">
        <v>529</v>
      </c>
      <c r="D144">
        <v>1</v>
      </c>
      <c r="E144">
        <v>0.96</v>
      </c>
      <c r="F144">
        <v>0</v>
      </c>
      <c r="G144">
        <v>0</v>
      </c>
      <c r="H144">
        <v>0.96</v>
      </c>
      <c r="I144">
        <v>0.96</v>
      </c>
    </row>
    <row r="145" spans="1:9">
      <c r="A145" t="s">
        <v>530</v>
      </c>
      <c r="B145" t="s">
        <v>531</v>
      </c>
      <c r="C145" t="s">
        <v>532</v>
      </c>
      <c r="D145">
        <v>100</v>
      </c>
      <c r="E145">
        <v>0.4</v>
      </c>
      <c r="F145">
        <v>0</v>
      </c>
      <c r="G145">
        <v>0</v>
      </c>
      <c r="H145">
        <v>0.4</v>
      </c>
      <c r="I145">
        <v>40</v>
      </c>
    </row>
    <row r="146" spans="1:9">
      <c r="A146" t="s">
        <v>530</v>
      </c>
      <c r="B146" t="s">
        <v>533</v>
      </c>
      <c r="C146" t="s">
        <v>534</v>
      </c>
      <c r="D146">
        <v>250</v>
      </c>
      <c r="E146">
        <v>0.44</v>
      </c>
      <c r="F146">
        <v>0</v>
      </c>
      <c r="G146">
        <v>0</v>
      </c>
      <c r="H146">
        <v>0.44</v>
      </c>
      <c r="I146">
        <v>110</v>
      </c>
    </row>
    <row r="147" spans="1:9">
      <c r="A147" t="s">
        <v>530</v>
      </c>
      <c r="B147" t="s">
        <v>535</v>
      </c>
      <c r="C147" t="s">
        <v>536</v>
      </c>
      <c r="D147">
        <v>250</v>
      </c>
      <c r="E147">
        <v>0.66</v>
      </c>
      <c r="F147">
        <v>0</v>
      </c>
      <c r="G147">
        <v>0</v>
      </c>
      <c r="H147">
        <v>0.66</v>
      </c>
      <c r="I147">
        <v>165</v>
      </c>
    </row>
    <row r="148" spans="1:9">
      <c r="A148" t="s">
        <v>530</v>
      </c>
      <c r="B148" t="s">
        <v>537</v>
      </c>
      <c r="C148" t="s">
        <v>538</v>
      </c>
      <c r="D148">
        <v>200</v>
      </c>
      <c r="E148">
        <v>1.83</v>
      </c>
      <c r="F148">
        <v>0</v>
      </c>
      <c r="G148">
        <v>0</v>
      </c>
      <c r="H148">
        <v>1.83</v>
      </c>
      <c r="I148">
        <v>366</v>
      </c>
    </row>
    <row r="149" spans="1:9">
      <c r="A149" t="s">
        <v>539</v>
      </c>
      <c r="B149" t="s">
        <v>489</v>
      </c>
      <c r="C149" t="s">
        <v>490</v>
      </c>
      <c r="D149">
        <v>1</v>
      </c>
      <c r="E149">
        <v>57.5</v>
      </c>
      <c r="F149">
        <v>0.02</v>
      </c>
      <c r="G149">
        <v>0</v>
      </c>
      <c r="H149">
        <v>56.35</v>
      </c>
      <c r="I149">
        <v>56.35</v>
      </c>
    </row>
    <row r="150" spans="1:9">
      <c r="A150" t="s">
        <v>539</v>
      </c>
      <c r="B150" t="s">
        <v>491</v>
      </c>
      <c r="C150" t="s">
        <v>492</v>
      </c>
      <c r="D150">
        <v>1</v>
      </c>
      <c r="E150">
        <v>57.5</v>
      </c>
      <c r="F150">
        <v>0.02</v>
      </c>
      <c r="G150">
        <v>0</v>
      </c>
      <c r="H150">
        <v>56.35</v>
      </c>
      <c r="I150">
        <v>56.35</v>
      </c>
    </row>
    <row r="151" spans="1:9">
      <c r="A151" t="s">
        <v>539</v>
      </c>
      <c r="B151" t="s">
        <v>113</v>
      </c>
      <c r="C151" t="s">
        <v>540</v>
      </c>
      <c r="D151">
        <v>1</v>
      </c>
      <c r="E151">
        <v>29</v>
      </c>
      <c r="F151">
        <v>0.02</v>
      </c>
      <c r="G151">
        <v>0</v>
      </c>
      <c r="H151">
        <v>28.419999999999998</v>
      </c>
      <c r="I151">
        <v>28.42</v>
      </c>
    </row>
    <row r="152" spans="1:9">
      <c r="A152" t="s">
        <v>539</v>
      </c>
      <c r="B152" t="s">
        <v>541</v>
      </c>
      <c r="C152" t="s">
        <v>542</v>
      </c>
      <c r="D152">
        <v>1</v>
      </c>
      <c r="E152">
        <v>59.71</v>
      </c>
      <c r="F152">
        <v>0.4</v>
      </c>
      <c r="G152">
        <v>0.02</v>
      </c>
      <c r="H152">
        <v>35.109479999999998</v>
      </c>
      <c r="I152">
        <v>35.11</v>
      </c>
    </row>
    <row r="153" spans="1:9">
      <c r="A153" t="s">
        <v>539</v>
      </c>
      <c r="B153" t="s">
        <v>543</v>
      </c>
      <c r="C153" t="s">
        <v>544</v>
      </c>
      <c r="D153">
        <v>1</v>
      </c>
      <c r="E153">
        <v>29.76</v>
      </c>
      <c r="F153">
        <v>0.4</v>
      </c>
      <c r="G153">
        <v>0.02</v>
      </c>
      <c r="H153">
        <v>17.49888</v>
      </c>
      <c r="I153">
        <v>17.5</v>
      </c>
    </row>
    <row r="154" spans="1:9">
      <c r="A154" t="s">
        <v>545</v>
      </c>
      <c r="B154" t="s">
        <v>340</v>
      </c>
      <c r="C154" t="s">
        <v>341</v>
      </c>
      <c r="D154">
        <v>150</v>
      </c>
      <c r="E154">
        <v>3.1545000000000001</v>
      </c>
      <c r="F154">
        <v>0.5</v>
      </c>
      <c r="G154">
        <v>0</v>
      </c>
      <c r="H154">
        <v>1.57725</v>
      </c>
      <c r="I154">
        <v>236.59</v>
      </c>
    </row>
    <row r="155" spans="1:9">
      <c r="A155" t="s">
        <v>545</v>
      </c>
      <c r="B155" t="s">
        <v>546</v>
      </c>
      <c r="C155" t="s">
        <v>547</v>
      </c>
      <c r="D155">
        <v>1</v>
      </c>
      <c r="E155">
        <v>75.39</v>
      </c>
      <c r="F155">
        <v>0.02</v>
      </c>
      <c r="G155">
        <v>0</v>
      </c>
      <c r="H155">
        <v>73.882199999999997</v>
      </c>
      <c r="I155">
        <v>73.88</v>
      </c>
    </row>
    <row r="156" spans="1:9">
      <c r="A156" t="s">
        <v>545</v>
      </c>
      <c r="B156" t="s">
        <v>548</v>
      </c>
      <c r="C156" t="s">
        <v>549</v>
      </c>
      <c r="D156">
        <v>2</v>
      </c>
      <c r="E156">
        <v>145</v>
      </c>
      <c r="F156">
        <v>0</v>
      </c>
      <c r="G156">
        <v>0</v>
      </c>
      <c r="H156">
        <v>145</v>
      </c>
      <c r="I156">
        <v>290</v>
      </c>
    </row>
    <row r="157" spans="1:9">
      <c r="A157" t="s">
        <v>545</v>
      </c>
      <c r="B157" t="s">
        <v>550</v>
      </c>
      <c r="C157" t="s">
        <v>551</v>
      </c>
      <c r="D157">
        <v>1</v>
      </c>
      <c r="E157">
        <v>139</v>
      </c>
      <c r="F157">
        <v>0.4</v>
      </c>
      <c r="G157">
        <v>0.02</v>
      </c>
      <c r="H157">
        <v>81.731999999999985</v>
      </c>
      <c r="I157">
        <v>81.73</v>
      </c>
    </row>
    <row r="158" spans="1:9">
      <c r="A158" t="s">
        <v>552</v>
      </c>
      <c r="B158" t="s">
        <v>553</v>
      </c>
      <c r="C158" t="s">
        <v>554</v>
      </c>
      <c r="D158">
        <v>50</v>
      </c>
      <c r="E158">
        <v>0.52</v>
      </c>
      <c r="F158">
        <v>0</v>
      </c>
      <c r="G158">
        <v>0</v>
      </c>
      <c r="H158">
        <v>0.52</v>
      </c>
    </row>
    <row r="159" spans="1:9">
      <c r="A159" t="s">
        <v>552</v>
      </c>
      <c r="B159" t="s">
        <v>555</v>
      </c>
      <c r="C159" t="s">
        <v>556</v>
      </c>
      <c r="D159">
        <v>50</v>
      </c>
      <c r="E159">
        <v>0.61</v>
      </c>
      <c r="F159">
        <v>0</v>
      </c>
      <c r="G159">
        <v>0</v>
      </c>
      <c r="H159">
        <v>0.61</v>
      </c>
    </row>
    <row r="160" spans="1:9">
      <c r="A160" t="s">
        <v>557</v>
      </c>
      <c r="B160" t="s">
        <v>23</v>
      </c>
      <c r="C160" t="s">
        <v>558</v>
      </c>
      <c r="D160">
        <v>225</v>
      </c>
      <c r="E160">
        <v>2.63</v>
      </c>
      <c r="F160">
        <v>0</v>
      </c>
      <c r="G160">
        <v>0</v>
      </c>
      <c r="H160">
        <v>2.63</v>
      </c>
      <c r="I160">
        <v>591.75</v>
      </c>
    </row>
    <row r="161" spans="1:9">
      <c r="A161" t="s">
        <v>559</v>
      </c>
      <c r="B161" t="s">
        <v>38</v>
      </c>
      <c r="C161" t="s">
        <v>343</v>
      </c>
      <c r="D161">
        <v>60</v>
      </c>
      <c r="E161">
        <v>2.25</v>
      </c>
      <c r="F161">
        <v>0</v>
      </c>
      <c r="G161">
        <v>0</v>
      </c>
      <c r="H161">
        <v>2.25</v>
      </c>
      <c r="I161">
        <v>135</v>
      </c>
    </row>
    <row r="162" spans="1:9">
      <c r="A162" t="s">
        <v>559</v>
      </c>
      <c r="B162" t="s">
        <v>23</v>
      </c>
      <c r="C162" t="s">
        <v>345</v>
      </c>
      <c r="D162">
        <v>60</v>
      </c>
      <c r="E162">
        <v>2.23</v>
      </c>
      <c r="F162">
        <v>0</v>
      </c>
      <c r="G162">
        <v>0</v>
      </c>
      <c r="H162">
        <v>2.23</v>
      </c>
      <c r="I162">
        <v>133.80000000000001</v>
      </c>
    </row>
    <row r="163" spans="1:9">
      <c r="A163" t="s">
        <v>559</v>
      </c>
      <c r="B163" t="s">
        <v>76</v>
      </c>
      <c r="C163" t="s">
        <v>511</v>
      </c>
      <c r="D163">
        <v>90</v>
      </c>
      <c r="E163">
        <v>4.9782000000000002</v>
      </c>
      <c r="F163">
        <v>0</v>
      </c>
      <c r="G163">
        <v>0</v>
      </c>
      <c r="H163">
        <v>4.9782000000000002</v>
      </c>
      <c r="I163">
        <v>448.04</v>
      </c>
    </row>
    <row r="164" spans="1:9">
      <c r="A164" t="s">
        <v>559</v>
      </c>
      <c r="B164" t="s">
        <v>110</v>
      </c>
      <c r="C164" t="s">
        <v>512</v>
      </c>
      <c r="D164">
        <v>90</v>
      </c>
      <c r="E164">
        <v>3.82</v>
      </c>
      <c r="F164">
        <v>0</v>
      </c>
      <c r="G164">
        <v>0</v>
      </c>
      <c r="H164">
        <v>3.82</v>
      </c>
      <c r="I164">
        <v>343.8</v>
      </c>
    </row>
    <row r="165" spans="1:9">
      <c r="A165" t="s">
        <v>559</v>
      </c>
      <c r="B165" t="s">
        <v>31</v>
      </c>
      <c r="C165" t="s">
        <v>351</v>
      </c>
      <c r="D165">
        <v>50</v>
      </c>
      <c r="E165">
        <v>1.9</v>
      </c>
      <c r="F165">
        <v>0</v>
      </c>
      <c r="G165">
        <v>0</v>
      </c>
      <c r="H165">
        <v>1.9</v>
      </c>
      <c r="I165">
        <v>95</v>
      </c>
    </row>
    <row r="166" spans="1:9">
      <c r="A166" t="s">
        <v>559</v>
      </c>
      <c r="B166" t="s">
        <v>33</v>
      </c>
      <c r="C166" t="s">
        <v>347</v>
      </c>
      <c r="D166">
        <v>50</v>
      </c>
      <c r="E166">
        <v>0.3</v>
      </c>
      <c r="F166">
        <v>0</v>
      </c>
      <c r="G166">
        <v>0</v>
      </c>
      <c r="H166">
        <v>0.3</v>
      </c>
      <c r="I166">
        <v>15</v>
      </c>
    </row>
    <row r="167" spans="1:9">
      <c r="A167" t="s">
        <v>560</v>
      </c>
      <c r="B167" t="s">
        <v>561</v>
      </c>
      <c r="C167" t="s">
        <v>562</v>
      </c>
      <c r="D167">
        <v>50</v>
      </c>
      <c r="E167">
        <v>3.4</v>
      </c>
      <c r="F167">
        <v>0</v>
      </c>
      <c r="G167">
        <v>0</v>
      </c>
      <c r="H167">
        <v>3.4</v>
      </c>
      <c r="I167">
        <v>170</v>
      </c>
    </row>
    <row r="168" spans="1:9">
      <c r="A168" t="s">
        <v>560</v>
      </c>
      <c r="B168" t="s">
        <v>563</v>
      </c>
      <c r="C168" t="s">
        <v>564</v>
      </c>
      <c r="D168">
        <v>50</v>
      </c>
      <c r="E168">
        <v>1.1499999999999999</v>
      </c>
      <c r="F168">
        <v>0</v>
      </c>
      <c r="G168">
        <v>0</v>
      </c>
      <c r="H168">
        <v>1.1499999999999999</v>
      </c>
      <c r="I168">
        <v>57.5</v>
      </c>
    </row>
    <row r="169" spans="1:9">
      <c r="A169" t="s">
        <v>560</v>
      </c>
      <c r="B169" t="s">
        <v>565</v>
      </c>
      <c r="C169" t="s">
        <v>566</v>
      </c>
      <c r="D169">
        <v>300</v>
      </c>
      <c r="E169">
        <v>0.59</v>
      </c>
      <c r="F169">
        <v>0</v>
      </c>
      <c r="G169">
        <v>0</v>
      </c>
      <c r="H169">
        <v>0.59</v>
      </c>
      <c r="I169">
        <v>177</v>
      </c>
    </row>
    <row r="170" spans="1:9">
      <c r="A170" t="s">
        <v>567</v>
      </c>
      <c r="B170" t="s">
        <v>568</v>
      </c>
      <c r="C170" t="s">
        <v>569</v>
      </c>
      <c r="D170">
        <v>20</v>
      </c>
      <c r="E170">
        <v>0.95109999999999995</v>
      </c>
      <c r="F170">
        <v>0.25</v>
      </c>
      <c r="G170">
        <v>0</v>
      </c>
      <c r="H170">
        <v>0.71332499999999999</v>
      </c>
    </row>
    <row r="171" spans="1:9">
      <c r="A171" t="s">
        <v>567</v>
      </c>
      <c r="B171" t="s">
        <v>570</v>
      </c>
      <c r="C171" t="s">
        <v>571</v>
      </c>
      <c r="D171">
        <v>0</v>
      </c>
      <c r="E171">
        <v>36.799999999999997</v>
      </c>
      <c r="F171">
        <v>0.35</v>
      </c>
      <c r="G171">
        <v>0</v>
      </c>
      <c r="H171">
        <v>23.919999999999998</v>
      </c>
    </row>
    <row r="172" spans="1:9">
      <c r="A172" t="s">
        <v>572</v>
      </c>
      <c r="B172" t="s">
        <v>573</v>
      </c>
      <c r="C172" t="s">
        <v>574</v>
      </c>
      <c r="D172">
        <v>1</v>
      </c>
      <c r="E172">
        <v>7.8</v>
      </c>
      <c r="F172">
        <v>0</v>
      </c>
      <c r="G172">
        <v>0</v>
      </c>
      <c r="H172">
        <v>7.8</v>
      </c>
      <c r="I172">
        <v>7.8</v>
      </c>
    </row>
    <row r="173" spans="1:9">
      <c r="A173" t="s">
        <v>572</v>
      </c>
      <c r="B173" t="s">
        <v>575</v>
      </c>
      <c r="C173" t="s">
        <v>576</v>
      </c>
      <c r="D173">
        <v>1</v>
      </c>
      <c r="E173">
        <v>1.1499999999999999</v>
      </c>
      <c r="F173">
        <v>0</v>
      </c>
      <c r="G173">
        <v>0</v>
      </c>
      <c r="H173">
        <v>1.1499999999999999</v>
      </c>
      <c r="I173">
        <v>1.1499999999999999</v>
      </c>
    </row>
    <row r="174" spans="1:9">
      <c r="A174" t="s">
        <v>572</v>
      </c>
      <c r="B174" t="s">
        <v>577</v>
      </c>
      <c r="C174" t="s">
        <v>578</v>
      </c>
      <c r="D174">
        <v>1</v>
      </c>
      <c r="E174">
        <v>4.75</v>
      </c>
      <c r="F174">
        <v>0</v>
      </c>
      <c r="G174">
        <v>0</v>
      </c>
      <c r="H174">
        <v>4.75</v>
      </c>
      <c r="I174">
        <v>4.75</v>
      </c>
    </row>
    <row r="175" spans="1:9">
      <c r="A175" t="s">
        <v>572</v>
      </c>
      <c r="B175" t="s">
        <v>579</v>
      </c>
      <c r="C175" t="s">
        <v>580</v>
      </c>
      <c r="D175">
        <v>200</v>
      </c>
      <c r="E175">
        <v>0.93</v>
      </c>
      <c r="F175">
        <v>0</v>
      </c>
      <c r="G175">
        <v>0</v>
      </c>
      <c r="H175">
        <v>0.93</v>
      </c>
      <c r="I175">
        <v>186</v>
      </c>
    </row>
    <row r="176" spans="1:9">
      <c r="A176" t="s">
        <v>581</v>
      </c>
      <c r="B176" t="s">
        <v>582</v>
      </c>
      <c r="C176" t="s">
        <v>583</v>
      </c>
      <c r="D176">
        <v>1</v>
      </c>
      <c r="E176">
        <v>108</v>
      </c>
      <c r="F176">
        <v>0</v>
      </c>
      <c r="G176">
        <v>0</v>
      </c>
      <c r="H176">
        <v>108</v>
      </c>
      <c r="I176">
        <v>108</v>
      </c>
    </row>
    <row r="177" spans="1:9">
      <c r="A177" t="s">
        <v>581</v>
      </c>
      <c r="B177" t="s">
        <v>584</v>
      </c>
      <c r="C177" t="s">
        <v>583</v>
      </c>
      <c r="D177">
        <v>1</v>
      </c>
      <c r="E177">
        <v>113</v>
      </c>
      <c r="F177">
        <v>0</v>
      </c>
      <c r="G177">
        <v>0</v>
      </c>
      <c r="H177">
        <v>113</v>
      </c>
      <c r="I177">
        <v>113</v>
      </c>
    </row>
    <row r="178" spans="1:9">
      <c r="A178" t="s">
        <v>585</v>
      </c>
      <c r="B178" t="s">
        <v>586</v>
      </c>
      <c r="C178" t="s">
        <v>587</v>
      </c>
      <c r="D178">
        <v>51</v>
      </c>
      <c r="E178">
        <v>3.66</v>
      </c>
      <c r="F178">
        <v>0</v>
      </c>
      <c r="G178">
        <v>0</v>
      </c>
      <c r="H178">
        <v>3.66</v>
      </c>
      <c r="I178">
        <v>186.66</v>
      </c>
    </row>
    <row r="179" spans="1:9">
      <c r="A179" t="s">
        <v>585</v>
      </c>
      <c r="B179" t="s">
        <v>38</v>
      </c>
      <c r="C179" t="s">
        <v>343</v>
      </c>
      <c r="D179">
        <v>120</v>
      </c>
      <c r="E179">
        <v>2.4</v>
      </c>
      <c r="F179">
        <v>0</v>
      </c>
      <c r="G179">
        <v>0</v>
      </c>
      <c r="H179">
        <v>2.4</v>
      </c>
      <c r="I179">
        <v>288</v>
      </c>
    </row>
    <row r="180" spans="1:9">
      <c r="A180" t="s">
        <v>585</v>
      </c>
      <c r="B180" t="s">
        <v>23</v>
      </c>
      <c r="C180" t="s">
        <v>345</v>
      </c>
      <c r="D180">
        <v>99</v>
      </c>
      <c r="E180">
        <v>2.63</v>
      </c>
      <c r="F180">
        <v>0</v>
      </c>
      <c r="G180">
        <v>0</v>
      </c>
      <c r="H180">
        <v>2.63</v>
      </c>
      <c r="I180">
        <v>260.37</v>
      </c>
    </row>
    <row r="181" spans="1:9">
      <c r="A181" t="s">
        <v>585</v>
      </c>
      <c r="B181" t="s">
        <v>40</v>
      </c>
      <c r="C181" t="s">
        <v>346</v>
      </c>
      <c r="D181">
        <v>200</v>
      </c>
      <c r="E181">
        <v>0.4</v>
      </c>
      <c r="F181">
        <v>0</v>
      </c>
      <c r="G181">
        <v>0</v>
      </c>
      <c r="H181">
        <v>0.4</v>
      </c>
      <c r="I181">
        <v>80</v>
      </c>
    </row>
    <row r="182" spans="1:9">
      <c r="A182" t="s">
        <v>585</v>
      </c>
      <c r="B182" t="s">
        <v>31</v>
      </c>
      <c r="C182" t="s">
        <v>351</v>
      </c>
      <c r="D182">
        <v>50</v>
      </c>
      <c r="E182">
        <v>2.25</v>
      </c>
      <c r="F182">
        <v>0</v>
      </c>
      <c r="G182">
        <v>0</v>
      </c>
      <c r="H182">
        <v>2.25</v>
      </c>
      <c r="I182">
        <v>112.5</v>
      </c>
    </row>
    <row r="183" spans="1:9">
      <c r="A183" t="s">
        <v>585</v>
      </c>
      <c r="B183" t="s">
        <v>33</v>
      </c>
      <c r="C183" t="s">
        <v>347</v>
      </c>
      <c r="D183">
        <v>150</v>
      </c>
      <c r="E183">
        <v>0.39</v>
      </c>
      <c r="F183">
        <v>0</v>
      </c>
      <c r="G183">
        <v>0</v>
      </c>
      <c r="H183">
        <v>0.39</v>
      </c>
      <c r="I183">
        <v>58.5</v>
      </c>
    </row>
    <row r="184" spans="1:9">
      <c r="A184" t="s">
        <v>588</v>
      </c>
      <c r="B184" t="s">
        <v>589</v>
      </c>
      <c r="C184" t="s">
        <v>590</v>
      </c>
      <c r="D184">
        <v>260</v>
      </c>
      <c r="E184">
        <v>0.35</v>
      </c>
      <c r="F184">
        <v>0</v>
      </c>
      <c r="G184">
        <v>0</v>
      </c>
      <c r="H184">
        <v>0.35</v>
      </c>
      <c r="I184">
        <v>91</v>
      </c>
    </row>
    <row r="185" spans="1:9">
      <c r="A185" t="s">
        <v>591</v>
      </c>
      <c r="B185" t="s">
        <v>23</v>
      </c>
      <c r="C185" t="s">
        <v>592</v>
      </c>
      <c r="D185">
        <v>24</v>
      </c>
      <c r="E185">
        <v>2.63</v>
      </c>
      <c r="F185">
        <v>0</v>
      </c>
      <c r="G185">
        <v>0</v>
      </c>
      <c r="H185">
        <v>2.63</v>
      </c>
      <c r="I185">
        <v>63.12</v>
      </c>
    </row>
    <row r="186" spans="1:9">
      <c r="A186" t="s">
        <v>593</v>
      </c>
      <c r="B186" t="s">
        <v>594</v>
      </c>
      <c r="C186" t="s">
        <v>595</v>
      </c>
      <c r="D186">
        <v>3</v>
      </c>
      <c r="E186">
        <v>24</v>
      </c>
      <c r="F186">
        <v>0</v>
      </c>
      <c r="G186">
        <v>0</v>
      </c>
      <c r="H186">
        <v>24</v>
      </c>
      <c r="I186">
        <v>72</v>
      </c>
    </row>
    <row r="187" spans="1:9">
      <c r="A187" t="s">
        <v>593</v>
      </c>
      <c r="B187" t="s">
        <v>596</v>
      </c>
      <c r="C187" t="s">
        <v>597</v>
      </c>
      <c r="D187">
        <v>3</v>
      </c>
      <c r="E187">
        <v>39.9</v>
      </c>
      <c r="F187">
        <v>0</v>
      </c>
      <c r="G187">
        <v>0</v>
      </c>
      <c r="H187">
        <v>39.9</v>
      </c>
      <c r="I187">
        <v>119.7</v>
      </c>
    </row>
    <row r="188" spans="1:9">
      <c r="A188" t="s">
        <v>593</v>
      </c>
      <c r="B188" t="s">
        <v>598</v>
      </c>
      <c r="C188" t="s">
        <v>599</v>
      </c>
      <c r="D188">
        <v>3</v>
      </c>
      <c r="E188">
        <v>44.7</v>
      </c>
      <c r="F188">
        <v>0</v>
      </c>
      <c r="G188">
        <v>0</v>
      </c>
      <c r="H188">
        <v>44.7</v>
      </c>
      <c r="I188">
        <v>134.1</v>
      </c>
    </row>
    <row r="189" spans="1:9">
      <c r="A189" t="s">
        <v>600</v>
      </c>
      <c r="B189" t="s">
        <v>340</v>
      </c>
      <c r="C189" t="s">
        <v>601</v>
      </c>
      <c r="D189">
        <v>50</v>
      </c>
      <c r="E189">
        <v>3.16</v>
      </c>
      <c r="F189">
        <v>0.5</v>
      </c>
      <c r="G189">
        <v>0</v>
      </c>
      <c r="H189">
        <v>1.58</v>
      </c>
      <c r="I189">
        <v>79</v>
      </c>
    </row>
    <row r="190" spans="1:9">
      <c r="A190" t="s">
        <v>602</v>
      </c>
      <c r="B190" t="s">
        <v>603</v>
      </c>
      <c r="C190" t="s">
        <v>604</v>
      </c>
      <c r="D190">
        <v>50</v>
      </c>
      <c r="E190">
        <v>5.68</v>
      </c>
      <c r="F190">
        <v>0.5</v>
      </c>
      <c r="G190">
        <v>0</v>
      </c>
      <c r="H190">
        <v>2.84</v>
      </c>
      <c r="I190">
        <v>142</v>
      </c>
    </row>
    <row r="191" spans="1:9">
      <c r="A191" t="s">
        <v>605</v>
      </c>
      <c r="B191" t="s">
        <v>340</v>
      </c>
      <c r="C191" t="s">
        <v>341</v>
      </c>
      <c r="D191">
        <v>150</v>
      </c>
      <c r="E191">
        <v>3.1545000000000001</v>
      </c>
      <c r="F191">
        <v>0.5</v>
      </c>
      <c r="G191">
        <v>0</v>
      </c>
      <c r="H191">
        <v>1.57725</v>
      </c>
      <c r="I191">
        <v>236.59</v>
      </c>
    </row>
    <row r="192" spans="1:9">
      <c r="A192" t="s">
        <v>606</v>
      </c>
      <c r="B192" t="s">
        <v>382</v>
      </c>
      <c r="C192" t="s">
        <v>383</v>
      </c>
      <c r="D192">
        <v>6</v>
      </c>
      <c r="E192">
        <v>2.27</v>
      </c>
      <c r="F192">
        <v>0</v>
      </c>
      <c r="G192">
        <v>0</v>
      </c>
      <c r="H192">
        <v>2.27</v>
      </c>
      <c r="I192">
        <v>13.62</v>
      </c>
    </row>
    <row r="193" spans="1:9">
      <c r="A193" t="s">
        <v>606</v>
      </c>
      <c r="B193" t="s">
        <v>384</v>
      </c>
      <c r="C193" t="s">
        <v>385</v>
      </c>
      <c r="D193">
        <v>2</v>
      </c>
      <c r="E193">
        <v>2.27</v>
      </c>
      <c r="F193">
        <v>0</v>
      </c>
      <c r="G193">
        <v>0</v>
      </c>
      <c r="H193">
        <v>2.27</v>
      </c>
      <c r="I193">
        <v>4.54</v>
      </c>
    </row>
    <row r="194" spans="1:9">
      <c r="A194" t="s">
        <v>606</v>
      </c>
      <c r="B194" t="s">
        <v>386</v>
      </c>
      <c r="C194" t="s">
        <v>387</v>
      </c>
      <c r="D194">
        <v>6</v>
      </c>
      <c r="E194">
        <v>2.27</v>
      </c>
      <c r="F194">
        <v>0</v>
      </c>
      <c r="G194">
        <v>0</v>
      </c>
      <c r="H194">
        <v>2.27</v>
      </c>
      <c r="I194">
        <v>13.62</v>
      </c>
    </row>
    <row r="195" spans="1:9">
      <c r="A195" t="s">
        <v>606</v>
      </c>
      <c r="B195" t="s">
        <v>388</v>
      </c>
      <c r="C195" t="s">
        <v>389</v>
      </c>
      <c r="D195">
        <v>5</v>
      </c>
      <c r="E195">
        <v>2.27</v>
      </c>
      <c r="F195">
        <v>0</v>
      </c>
      <c r="G195">
        <v>0</v>
      </c>
      <c r="H195">
        <v>2.27</v>
      </c>
      <c r="I195">
        <v>11.35</v>
      </c>
    </row>
    <row r="196" spans="1:9">
      <c r="A196" t="s">
        <v>606</v>
      </c>
      <c r="B196" t="s">
        <v>390</v>
      </c>
      <c r="C196" t="s">
        <v>391</v>
      </c>
      <c r="D196">
        <v>3</v>
      </c>
      <c r="E196">
        <v>6.91</v>
      </c>
      <c r="F196">
        <v>0</v>
      </c>
      <c r="G196">
        <v>0</v>
      </c>
      <c r="H196">
        <v>6.91</v>
      </c>
      <c r="I196">
        <v>20.73</v>
      </c>
    </row>
    <row r="197" spans="1:9">
      <c r="A197" t="s">
        <v>606</v>
      </c>
      <c r="B197" t="s">
        <v>607</v>
      </c>
      <c r="C197" t="s">
        <v>608</v>
      </c>
      <c r="D197">
        <v>6</v>
      </c>
      <c r="E197">
        <v>1.01</v>
      </c>
      <c r="F197">
        <v>0</v>
      </c>
      <c r="G197">
        <v>0</v>
      </c>
      <c r="H197">
        <v>1.01</v>
      </c>
      <c r="I197">
        <v>6.06</v>
      </c>
    </row>
    <row r="198" spans="1:9">
      <c r="A198" t="s">
        <v>606</v>
      </c>
      <c r="B198" t="s">
        <v>609</v>
      </c>
      <c r="C198" t="s">
        <v>610</v>
      </c>
      <c r="D198">
        <v>3</v>
      </c>
      <c r="E198">
        <v>0.49</v>
      </c>
      <c r="F198">
        <v>0</v>
      </c>
      <c r="G198">
        <v>0</v>
      </c>
      <c r="H198">
        <v>0.49</v>
      </c>
      <c r="I198">
        <v>1.47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B98D9-D48C-4398-85FC-A78EA9C461C4}">
  <dimension ref="A1:I408"/>
  <sheetViews>
    <sheetView workbookViewId="0">
      <selection activeCell="C23" sqref="C23"/>
    </sheetView>
  </sheetViews>
  <sheetFormatPr defaultRowHeight="15"/>
  <cols>
    <col min="1" max="1" width="43.28515625" bestFit="1" customWidth="1"/>
    <col min="2" max="2" width="20.28515625" bestFit="1" customWidth="1"/>
    <col min="3" max="3" width="81.140625" bestFit="1" customWidth="1"/>
    <col min="4" max="4" width="7.140625" bestFit="1" customWidth="1"/>
    <col min="5" max="5" width="9.5703125" bestFit="1" customWidth="1"/>
    <col min="6" max="7" width="8.85546875" bestFit="1" customWidth="1"/>
    <col min="8" max="8" width="16.42578125" bestFit="1" customWidth="1"/>
    <col min="9" max="9" width="8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>
        <v>80</v>
      </c>
      <c r="E2">
        <v>4.0999999999999996</v>
      </c>
      <c r="F2">
        <v>0</v>
      </c>
      <c r="G2">
        <v>0</v>
      </c>
      <c r="H2">
        <v>4.0999999999999996</v>
      </c>
      <c r="I2">
        <v>328</v>
      </c>
    </row>
    <row r="3" spans="1:9">
      <c r="A3" t="s">
        <v>12</v>
      </c>
      <c r="B3" t="s">
        <v>13</v>
      </c>
      <c r="C3" t="s">
        <v>14</v>
      </c>
      <c r="D3">
        <v>3</v>
      </c>
      <c r="E3">
        <v>3.62</v>
      </c>
      <c r="F3">
        <v>0</v>
      </c>
      <c r="G3">
        <v>0</v>
      </c>
      <c r="H3">
        <v>3.62</v>
      </c>
      <c r="I3">
        <v>10.86</v>
      </c>
    </row>
    <row r="4" spans="1:9">
      <c r="A4" t="s">
        <v>15</v>
      </c>
      <c r="B4" t="s">
        <v>16</v>
      </c>
      <c r="C4" t="s">
        <v>17</v>
      </c>
      <c r="D4">
        <v>10</v>
      </c>
      <c r="E4">
        <v>7.5282999999999998</v>
      </c>
      <c r="F4">
        <v>0.5</v>
      </c>
      <c r="G4">
        <v>0</v>
      </c>
      <c r="H4">
        <v>3.7641499999999999</v>
      </c>
      <c r="I4">
        <v>37.64</v>
      </c>
    </row>
    <row r="5" spans="1:9">
      <c r="A5" t="s">
        <v>18</v>
      </c>
      <c r="B5" t="s">
        <v>19</v>
      </c>
      <c r="C5" t="s">
        <v>20</v>
      </c>
      <c r="D5">
        <v>30</v>
      </c>
      <c r="E5">
        <v>12.44</v>
      </c>
      <c r="F5">
        <v>0.65</v>
      </c>
      <c r="G5">
        <v>0</v>
      </c>
      <c r="H5">
        <v>4.3539999999999992</v>
      </c>
      <c r="I5">
        <v>130.62</v>
      </c>
    </row>
    <row r="6" spans="1:9">
      <c r="A6" t="s">
        <v>18</v>
      </c>
      <c r="B6" t="s">
        <v>13</v>
      </c>
      <c r="C6" t="s">
        <v>14</v>
      </c>
      <c r="D6">
        <v>30</v>
      </c>
      <c r="E6">
        <v>10.41</v>
      </c>
      <c r="F6">
        <v>0.65</v>
      </c>
      <c r="G6">
        <v>0</v>
      </c>
      <c r="H6">
        <v>3.6435</v>
      </c>
      <c r="I6">
        <v>109.31</v>
      </c>
    </row>
    <row r="7" spans="1:9">
      <c r="A7" t="s">
        <v>18</v>
      </c>
      <c r="B7" t="s">
        <v>21</v>
      </c>
      <c r="C7" t="s">
        <v>22</v>
      </c>
      <c r="D7">
        <v>150</v>
      </c>
      <c r="E7">
        <v>3.56</v>
      </c>
      <c r="F7">
        <v>0</v>
      </c>
      <c r="G7">
        <v>0</v>
      </c>
      <c r="H7">
        <v>3.56</v>
      </c>
      <c r="I7">
        <v>534</v>
      </c>
    </row>
    <row r="8" spans="1:9">
      <c r="A8" t="s">
        <v>18</v>
      </c>
      <c r="B8" t="s">
        <v>23</v>
      </c>
      <c r="C8" t="s">
        <v>24</v>
      </c>
      <c r="D8">
        <v>150</v>
      </c>
      <c r="E8">
        <v>2.41</v>
      </c>
      <c r="F8">
        <v>0</v>
      </c>
      <c r="G8">
        <v>0</v>
      </c>
      <c r="H8">
        <v>2.41</v>
      </c>
      <c r="I8">
        <v>361.5</v>
      </c>
    </row>
    <row r="9" spans="1:9">
      <c r="A9" t="s">
        <v>18</v>
      </c>
      <c r="B9" t="s">
        <v>25</v>
      </c>
      <c r="C9" t="s">
        <v>26</v>
      </c>
      <c r="D9">
        <v>10</v>
      </c>
      <c r="E9">
        <v>9.4600000000000009</v>
      </c>
      <c r="F9">
        <v>0.65</v>
      </c>
      <c r="G9">
        <v>0</v>
      </c>
      <c r="H9">
        <v>3.3109999999999999</v>
      </c>
      <c r="I9">
        <v>33.11</v>
      </c>
    </row>
    <row r="10" spans="1:9">
      <c r="A10" t="s">
        <v>18</v>
      </c>
      <c r="B10" t="s">
        <v>27</v>
      </c>
      <c r="C10" t="s">
        <v>28</v>
      </c>
      <c r="D10">
        <v>10</v>
      </c>
      <c r="E10">
        <v>11.09</v>
      </c>
      <c r="F10">
        <v>0.65</v>
      </c>
      <c r="G10">
        <v>0</v>
      </c>
      <c r="H10">
        <v>3.8814999999999995</v>
      </c>
      <c r="I10">
        <v>38.82</v>
      </c>
    </row>
    <row r="11" spans="1:9">
      <c r="A11" t="s">
        <v>18</v>
      </c>
      <c r="B11" t="s">
        <v>29</v>
      </c>
      <c r="C11" t="s">
        <v>30</v>
      </c>
      <c r="D11">
        <v>10</v>
      </c>
      <c r="E11">
        <v>7.84</v>
      </c>
      <c r="F11">
        <v>0.65</v>
      </c>
      <c r="G11">
        <v>0</v>
      </c>
      <c r="H11">
        <v>2.7439999999999998</v>
      </c>
      <c r="I11">
        <v>27.44</v>
      </c>
    </row>
    <row r="12" spans="1:9">
      <c r="A12" t="s">
        <v>18</v>
      </c>
      <c r="B12" t="s">
        <v>31</v>
      </c>
      <c r="C12" t="s">
        <v>32</v>
      </c>
      <c r="D12">
        <v>100</v>
      </c>
      <c r="E12">
        <v>2.27</v>
      </c>
      <c r="F12">
        <v>0</v>
      </c>
      <c r="G12">
        <v>0</v>
      </c>
      <c r="H12">
        <v>2.27</v>
      </c>
      <c r="I12">
        <v>227</v>
      </c>
    </row>
    <row r="13" spans="1:9">
      <c r="A13" t="s">
        <v>18</v>
      </c>
      <c r="B13" t="s">
        <v>33</v>
      </c>
      <c r="C13" t="s">
        <v>34</v>
      </c>
      <c r="D13">
        <v>150</v>
      </c>
      <c r="E13">
        <v>0.33</v>
      </c>
      <c r="F13">
        <v>0</v>
      </c>
      <c r="G13">
        <v>0</v>
      </c>
      <c r="H13">
        <v>0.33</v>
      </c>
      <c r="I13">
        <v>49.5</v>
      </c>
    </row>
    <row r="14" spans="1:9">
      <c r="A14" t="s">
        <v>18</v>
      </c>
      <c r="B14" t="s">
        <v>35</v>
      </c>
      <c r="C14" t="s">
        <v>36</v>
      </c>
      <c r="D14">
        <v>1</v>
      </c>
      <c r="E14">
        <v>160</v>
      </c>
      <c r="F14">
        <v>0</v>
      </c>
      <c r="G14">
        <v>0</v>
      </c>
      <c r="H14">
        <v>160</v>
      </c>
      <c r="I14">
        <v>160</v>
      </c>
    </row>
    <row r="15" spans="1:9">
      <c r="A15" t="s">
        <v>37</v>
      </c>
      <c r="B15" t="s">
        <v>38</v>
      </c>
      <c r="C15" t="s">
        <v>39</v>
      </c>
      <c r="D15">
        <v>150</v>
      </c>
      <c r="E15">
        <v>2.25</v>
      </c>
      <c r="F15">
        <v>0</v>
      </c>
      <c r="G15">
        <v>0</v>
      </c>
      <c r="H15">
        <v>2.25</v>
      </c>
      <c r="I15">
        <v>337.5</v>
      </c>
    </row>
    <row r="16" spans="1:9">
      <c r="A16" t="s">
        <v>37</v>
      </c>
      <c r="B16" t="s">
        <v>21</v>
      </c>
      <c r="C16" t="s">
        <v>22</v>
      </c>
      <c r="D16">
        <v>150</v>
      </c>
      <c r="E16">
        <v>3.2826</v>
      </c>
      <c r="F16">
        <v>0</v>
      </c>
      <c r="G16">
        <v>0</v>
      </c>
      <c r="H16">
        <v>3.2826</v>
      </c>
      <c r="I16">
        <v>492.39</v>
      </c>
    </row>
    <row r="17" spans="1:9">
      <c r="A17" t="s">
        <v>37</v>
      </c>
      <c r="B17" t="s">
        <v>23</v>
      </c>
      <c r="C17" t="s">
        <v>24</v>
      </c>
      <c r="D17">
        <v>300</v>
      </c>
      <c r="E17">
        <v>2.23</v>
      </c>
      <c r="F17">
        <v>0</v>
      </c>
      <c r="G17">
        <v>0</v>
      </c>
      <c r="H17">
        <v>2.23</v>
      </c>
      <c r="I17">
        <v>669</v>
      </c>
    </row>
    <row r="18" spans="1:9">
      <c r="A18" t="s">
        <v>37</v>
      </c>
      <c r="B18" t="s">
        <v>31</v>
      </c>
      <c r="C18" t="s">
        <v>32</v>
      </c>
      <c r="D18">
        <v>100</v>
      </c>
      <c r="E18">
        <v>1.9020999999999999</v>
      </c>
      <c r="F18">
        <v>0</v>
      </c>
      <c r="G18">
        <v>0</v>
      </c>
      <c r="H18">
        <v>1.9020999999999999</v>
      </c>
      <c r="I18">
        <v>190.21</v>
      </c>
    </row>
    <row r="19" spans="1:9">
      <c r="A19" t="s">
        <v>37</v>
      </c>
      <c r="B19" t="s">
        <v>40</v>
      </c>
      <c r="C19" t="s">
        <v>41</v>
      </c>
      <c r="D19">
        <v>200</v>
      </c>
      <c r="E19">
        <v>0.33689999999999998</v>
      </c>
      <c r="F19">
        <v>0</v>
      </c>
      <c r="G19">
        <v>0</v>
      </c>
      <c r="H19">
        <v>0.33689999999999998</v>
      </c>
      <c r="I19">
        <v>67.38</v>
      </c>
    </row>
    <row r="20" spans="1:9">
      <c r="A20" t="s">
        <v>37</v>
      </c>
      <c r="B20" t="s">
        <v>42</v>
      </c>
      <c r="C20" t="s">
        <v>43</v>
      </c>
      <c r="D20">
        <v>10</v>
      </c>
      <c r="E20">
        <v>1.4020999999999999</v>
      </c>
      <c r="F20">
        <v>0</v>
      </c>
      <c r="G20">
        <v>0</v>
      </c>
      <c r="H20">
        <v>1.4020999999999999</v>
      </c>
      <c r="I20">
        <v>14.02</v>
      </c>
    </row>
    <row r="21" spans="1:9">
      <c r="A21" t="s">
        <v>37</v>
      </c>
      <c r="B21" t="s">
        <v>29</v>
      </c>
      <c r="C21" t="s">
        <v>30</v>
      </c>
      <c r="D21">
        <v>10</v>
      </c>
      <c r="E21">
        <v>2.3043</v>
      </c>
      <c r="F21">
        <v>0</v>
      </c>
      <c r="G21">
        <v>0</v>
      </c>
      <c r="H21">
        <v>2.3043</v>
      </c>
      <c r="I21">
        <v>23.04</v>
      </c>
    </row>
    <row r="22" spans="1:9">
      <c r="A22" t="s">
        <v>37</v>
      </c>
      <c r="B22" t="s">
        <v>25</v>
      </c>
      <c r="C22" t="s">
        <v>26</v>
      </c>
      <c r="D22">
        <v>10</v>
      </c>
      <c r="E22">
        <v>2.7717000000000001</v>
      </c>
      <c r="F22">
        <v>0</v>
      </c>
      <c r="G22">
        <v>0</v>
      </c>
      <c r="H22">
        <v>2.7717000000000001</v>
      </c>
      <c r="I22">
        <v>27.72</v>
      </c>
    </row>
    <row r="23" spans="1:9">
      <c r="A23" t="s">
        <v>44</v>
      </c>
      <c r="B23" t="s">
        <v>45</v>
      </c>
      <c r="C23" t="s">
        <v>46</v>
      </c>
      <c r="D23">
        <v>15</v>
      </c>
      <c r="E23">
        <v>7.23</v>
      </c>
      <c r="F23">
        <v>0.25</v>
      </c>
      <c r="G23">
        <v>0</v>
      </c>
      <c r="H23">
        <v>5.4225000000000003</v>
      </c>
    </row>
    <row r="24" spans="1:9">
      <c r="A24" t="s">
        <v>44</v>
      </c>
      <c r="B24" t="s">
        <v>47</v>
      </c>
      <c r="C24" t="s">
        <v>48</v>
      </c>
      <c r="D24">
        <v>12</v>
      </c>
      <c r="E24">
        <v>5.55</v>
      </c>
      <c r="F24">
        <v>0.25</v>
      </c>
      <c r="G24">
        <v>0</v>
      </c>
      <c r="H24">
        <v>4.1624999999999996</v>
      </c>
    </row>
    <row r="25" spans="1:9">
      <c r="A25" t="s">
        <v>49</v>
      </c>
      <c r="B25" t="s">
        <v>38</v>
      </c>
      <c r="C25" t="s">
        <v>50</v>
      </c>
      <c r="D25">
        <v>30</v>
      </c>
      <c r="E25">
        <v>2.4</v>
      </c>
      <c r="F25">
        <v>0</v>
      </c>
      <c r="G25">
        <v>0</v>
      </c>
      <c r="H25">
        <v>2.4</v>
      </c>
      <c r="I25">
        <v>72</v>
      </c>
    </row>
    <row r="26" spans="1:9">
      <c r="A26" t="s">
        <v>49</v>
      </c>
      <c r="B26" t="s">
        <v>23</v>
      </c>
      <c r="C26" t="s">
        <v>51</v>
      </c>
      <c r="D26">
        <v>24</v>
      </c>
      <c r="E26">
        <v>2.63</v>
      </c>
      <c r="F26">
        <v>0</v>
      </c>
      <c r="G26">
        <v>0</v>
      </c>
      <c r="H26">
        <v>2.63</v>
      </c>
      <c r="I26">
        <v>63.12</v>
      </c>
    </row>
    <row r="27" spans="1:9">
      <c r="A27" t="s">
        <v>49</v>
      </c>
      <c r="B27" t="s">
        <v>40</v>
      </c>
      <c r="C27" t="s">
        <v>52</v>
      </c>
      <c r="D27">
        <v>50</v>
      </c>
      <c r="E27">
        <v>0.4</v>
      </c>
      <c r="F27">
        <v>0</v>
      </c>
      <c r="G27">
        <v>0</v>
      </c>
      <c r="H27">
        <v>0.4</v>
      </c>
      <c r="I27">
        <v>20</v>
      </c>
    </row>
    <row r="28" spans="1:9">
      <c r="A28" t="s">
        <v>49</v>
      </c>
      <c r="B28" t="s">
        <v>31</v>
      </c>
      <c r="C28" t="s">
        <v>53</v>
      </c>
      <c r="D28">
        <v>10</v>
      </c>
      <c r="E28">
        <v>2.25</v>
      </c>
      <c r="F28">
        <v>0</v>
      </c>
      <c r="G28">
        <v>0</v>
      </c>
      <c r="H28">
        <v>2.25</v>
      </c>
      <c r="I28">
        <v>22.5</v>
      </c>
    </row>
    <row r="29" spans="1:9">
      <c r="A29" t="s">
        <v>49</v>
      </c>
      <c r="B29" t="s">
        <v>54</v>
      </c>
      <c r="C29" t="s">
        <v>55</v>
      </c>
      <c r="D29">
        <v>33</v>
      </c>
      <c r="E29">
        <v>3.97</v>
      </c>
      <c r="F29">
        <v>0</v>
      </c>
      <c r="G29">
        <v>0</v>
      </c>
      <c r="H29">
        <v>3.97</v>
      </c>
      <c r="I29">
        <v>131.01</v>
      </c>
    </row>
    <row r="30" spans="1:9">
      <c r="A30" t="s">
        <v>49</v>
      </c>
      <c r="B30" t="s">
        <v>13</v>
      </c>
      <c r="C30" t="s">
        <v>56</v>
      </c>
      <c r="D30">
        <v>12</v>
      </c>
      <c r="E30">
        <v>3.62</v>
      </c>
      <c r="F30">
        <v>0</v>
      </c>
      <c r="G30">
        <v>0</v>
      </c>
      <c r="H30">
        <v>3.62</v>
      </c>
      <c r="I30">
        <v>43.44</v>
      </c>
    </row>
    <row r="31" spans="1:9">
      <c r="A31" t="s">
        <v>49</v>
      </c>
      <c r="B31" t="s">
        <v>57</v>
      </c>
      <c r="C31" t="s">
        <v>58</v>
      </c>
      <c r="D31">
        <v>4</v>
      </c>
      <c r="E31">
        <v>3.85</v>
      </c>
      <c r="F31">
        <v>0</v>
      </c>
      <c r="G31">
        <v>0</v>
      </c>
      <c r="H31">
        <v>3.85</v>
      </c>
      <c r="I31">
        <v>15.4</v>
      </c>
    </row>
    <row r="32" spans="1:9">
      <c r="A32" t="s">
        <v>49</v>
      </c>
      <c r="B32" t="s">
        <v>59</v>
      </c>
      <c r="C32" t="s">
        <v>60</v>
      </c>
      <c r="D32">
        <v>2</v>
      </c>
      <c r="E32">
        <v>1.84</v>
      </c>
      <c r="F32">
        <v>0</v>
      </c>
      <c r="G32">
        <v>0</v>
      </c>
      <c r="H32">
        <v>1.84</v>
      </c>
      <c r="I32">
        <v>3.68</v>
      </c>
    </row>
    <row r="33" spans="1:9">
      <c r="A33" t="s">
        <v>61</v>
      </c>
      <c r="B33" t="s">
        <v>62</v>
      </c>
      <c r="C33" t="s">
        <v>63</v>
      </c>
      <c r="D33">
        <v>320</v>
      </c>
      <c r="E33">
        <v>1.6</v>
      </c>
      <c r="F33">
        <v>0</v>
      </c>
      <c r="G33">
        <v>0</v>
      </c>
      <c r="H33">
        <v>1.6</v>
      </c>
      <c r="I33">
        <v>-512</v>
      </c>
    </row>
    <row r="34" spans="1:9">
      <c r="A34" t="s">
        <v>64</v>
      </c>
      <c r="B34" t="s">
        <v>65</v>
      </c>
      <c r="C34" t="s">
        <v>66</v>
      </c>
      <c r="D34">
        <v>1</v>
      </c>
      <c r="E34">
        <v>5.7</v>
      </c>
      <c r="F34">
        <v>0</v>
      </c>
      <c r="G34">
        <v>0</v>
      </c>
      <c r="H34">
        <v>5.7</v>
      </c>
      <c r="I34">
        <v>5.7</v>
      </c>
    </row>
    <row r="35" spans="1:9">
      <c r="A35" t="s">
        <v>64</v>
      </c>
      <c r="B35" t="s">
        <v>67</v>
      </c>
      <c r="C35" t="s">
        <v>68</v>
      </c>
      <c r="D35">
        <v>2</v>
      </c>
      <c r="E35">
        <v>5.25</v>
      </c>
      <c r="F35">
        <v>0</v>
      </c>
      <c r="G35">
        <v>0</v>
      </c>
      <c r="H35">
        <v>5.25</v>
      </c>
      <c r="I35">
        <v>10.5</v>
      </c>
    </row>
    <row r="36" spans="1:9">
      <c r="A36" t="s">
        <v>64</v>
      </c>
      <c r="B36" t="s">
        <v>69</v>
      </c>
      <c r="C36" t="s">
        <v>70</v>
      </c>
      <c r="D36">
        <v>1</v>
      </c>
      <c r="E36">
        <v>209.7</v>
      </c>
      <c r="F36">
        <v>0.35</v>
      </c>
      <c r="G36">
        <v>0</v>
      </c>
      <c r="H36">
        <v>136.30500000000001</v>
      </c>
      <c r="I36">
        <v>136.31</v>
      </c>
    </row>
    <row r="37" spans="1:9">
      <c r="A37" t="s">
        <v>64</v>
      </c>
      <c r="B37" t="s">
        <v>33</v>
      </c>
      <c r="C37" t="s">
        <v>34</v>
      </c>
      <c r="D37">
        <v>40</v>
      </c>
      <c r="E37">
        <v>1.03</v>
      </c>
      <c r="F37">
        <v>0.55000000000000004</v>
      </c>
      <c r="G37">
        <v>0</v>
      </c>
      <c r="H37">
        <v>0.46349999999999997</v>
      </c>
      <c r="I37">
        <v>18.54</v>
      </c>
    </row>
    <row r="38" spans="1:9">
      <c r="A38" t="s">
        <v>71</v>
      </c>
      <c r="B38" t="s">
        <v>38</v>
      </c>
      <c r="C38" t="s">
        <v>39</v>
      </c>
      <c r="D38">
        <v>270</v>
      </c>
      <c r="E38">
        <v>2.4</v>
      </c>
      <c r="F38">
        <v>0</v>
      </c>
      <c r="G38">
        <v>0</v>
      </c>
      <c r="H38">
        <v>2.4</v>
      </c>
      <c r="I38">
        <v>648</v>
      </c>
    </row>
    <row r="39" spans="1:9">
      <c r="A39" t="s">
        <v>71</v>
      </c>
      <c r="B39" t="s">
        <v>23</v>
      </c>
      <c r="C39" t="s">
        <v>24</v>
      </c>
      <c r="D39">
        <v>48</v>
      </c>
      <c r="E39">
        <v>2.63</v>
      </c>
      <c r="F39">
        <v>0</v>
      </c>
      <c r="G39">
        <v>0</v>
      </c>
      <c r="H39">
        <v>2.63</v>
      </c>
      <c r="I39">
        <v>126.24</v>
      </c>
    </row>
    <row r="40" spans="1:9">
      <c r="A40" t="s">
        <v>71</v>
      </c>
      <c r="B40" t="s">
        <v>40</v>
      </c>
      <c r="C40" t="s">
        <v>41</v>
      </c>
      <c r="D40">
        <v>150</v>
      </c>
      <c r="E40">
        <v>0.4</v>
      </c>
      <c r="F40">
        <v>0</v>
      </c>
      <c r="G40">
        <v>0</v>
      </c>
      <c r="H40">
        <v>0.4</v>
      </c>
      <c r="I40">
        <v>60</v>
      </c>
    </row>
    <row r="41" spans="1:9">
      <c r="A41" t="s">
        <v>71</v>
      </c>
      <c r="B41" t="s">
        <v>33</v>
      </c>
      <c r="C41" t="s">
        <v>34</v>
      </c>
      <c r="D41">
        <v>160</v>
      </c>
      <c r="E41">
        <v>1.03</v>
      </c>
      <c r="F41">
        <v>0.55000000000000004</v>
      </c>
      <c r="G41">
        <v>0</v>
      </c>
      <c r="H41">
        <v>0.46349999999999997</v>
      </c>
      <c r="I41">
        <v>74.16</v>
      </c>
    </row>
    <row r="42" spans="1:9">
      <c r="A42" t="s">
        <v>72</v>
      </c>
      <c r="B42" t="s">
        <v>23</v>
      </c>
      <c r="C42" t="s">
        <v>24</v>
      </c>
      <c r="D42">
        <v>222</v>
      </c>
      <c r="E42">
        <v>2.63</v>
      </c>
      <c r="F42">
        <v>0</v>
      </c>
      <c r="G42">
        <v>0</v>
      </c>
      <c r="H42">
        <v>2.63</v>
      </c>
      <c r="I42">
        <v>583.86</v>
      </c>
    </row>
    <row r="43" spans="1:9">
      <c r="A43" t="s">
        <v>73</v>
      </c>
      <c r="B43" t="s">
        <v>62</v>
      </c>
      <c r="C43" t="s">
        <v>74</v>
      </c>
      <c r="D43">
        <v>320</v>
      </c>
      <c r="E43">
        <v>1.6</v>
      </c>
      <c r="F43">
        <v>0</v>
      </c>
      <c r="G43">
        <v>0</v>
      </c>
      <c r="H43">
        <v>1.6</v>
      </c>
      <c r="I43">
        <v>512</v>
      </c>
    </row>
    <row r="44" spans="1:9">
      <c r="A44" t="s">
        <v>75</v>
      </c>
      <c r="B44" t="s">
        <v>76</v>
      </c>
      <c r="C44" t="s">
        <v>77</v>
      </c>
      <c r="D44">
        <v>108</v>
      </c>
      <c r="E44">
        <v>16.649999999999999</v>
      </c>
      <c r="F44">
        <v>0.63</v>
      </c>
      <c r="G44">
        <v>0</v>
      </c>
      <c r="H44">
        <v>6.160499999999999</v>
      </c>
      <c r="I44">
        <v>665.33</v>
      </c>
    </row>
    <row r="45" spans="1:9">
      <c r="A45" t="s">
        <v>75</v>
      </c>
      <c r="B45" t="s">
        <v>29</v>
      </c>
      <c r="C45" t="s">
        <v>30</v>
      </c>
      <c r="D45">
        <v>15</v>
      </c>
      <c r="E45">
        <v>7.69</v>
      </c>
      <c r="F45">
        <v>0.6</v>
      </c>
      <c r="G45">
        <v>0</v>
      </c>
      <c r="H45">
        <v>3.0760000000000005</v>
      </c>
      <c r="I45">
        <v>46.14</v>
      </c>
    </row>
    <row r="46" spans="1:9">
      <c r="A46" t="s">
        <v>75</v>
      </c>
      <c r="B46" t="s">
        <v>23</v>
      </c>
      <c r="C46" t="s">
        <v>24</v>
      </c>
      <c r="D46">
        <v>21</v>
      </c>
      <c r="E46">
        <v>7.44</v>
      </c>
      <c r="F46">
        <v>0.6</v>
      </c>
      <c r="G46">
        <v>0</v>
      </c>
      <c r="H46">
        <v>2.9760000000000004</v>
      </c>
      <c r="I46">
        <v>62.5</v>
      </c>
    </row>
    <row r="47" spans="1:9">
      <c r="A47" t="s">
        <v>78</v>
      </c>
      <c r="B47" t="s">
        <v>79</v>
      </c>
      <c r="C47" t="s">
        <v>80</v>
      </c>
      <c r="D47">
        <v>1</v>
      </c>
      <c r="E47">
        <v>62</v>
      </c>
      <c r="F47">
        <v>0</v>
      </c>
      <c r="G47">
        <v>0</v>
      </c>
      <c r="H47">
        <v>62</v>
      </c>
      <c r="I47">
        <v>62</v>
      </c>
    </row>
    <row r="48" spans="1:9">
      <c r="A48" t="s">
        <v>78</v>
      </c>
      <c r="B48" t="s">
        <v>81</v>
      </c>
      <c r="C48" t="s">
        <v>82</v>
      </c>
      <c r="D48">
        <v>20</v>
      </c>
      <c r="E48">
        <v>0.41239999999999999</v>
      </c>
      <c r="F48">
        <v>0.25</v>
      </c>
      <c r="G48">
        <v>0</v>
      </c>
      <c r="H48">
        <v>0.30930000000000002</v>
      </c>
      <c r="I48">
        <v>6.19</v>
      </c>
    </row>
    <row r="49" spans="1:9">
      <c r="A49" t="s">
        <v>78</v>
      </c>
      <c r="B49" t="s">
        <v>83</v>
      </c>
      <c r="C49" t="s">
        <v>84</v>
      </c>
      <c r="D49">
        <v>30</v>
      </c>
      <c r="E49">
        <v>0.70889999999999997</v>
      </c>
      <c r="F49">
        <v>0.25</v>
      </c>
      <c r="G49">
        <v>0</v>
      </c>
      <c r="H49">
        <v>0.53167500000000001</v>
      </c>
      <c r="I49">
        <v>15.95</v>
      </c>
    </row>
    <row r="50" spans="1:9">
      <c r="A50" t="s">
        <v>78</v>
      </c>
      <c r="B50" t="s">
        <v>85</v>
      </c>
      <c r="C50" t="s">
        <v>86</v>
      </c>
      <c r="D50">
        <v>0.5</v>
      </c>
      <c r="E50">
        <v>18.95</v>
      </c>
      <c r="F50">
        <v>0.35</v>
      </c>
      <c r="G50">
        <v>0</v>
      </c>
      <c r="H50">
        <v>12.317500000000001</v>
      </c>
      <c r="I50">
        <v>6.16</v>
      </c>
    </row>
    <row r="51" spans="1:9">
      <c r="A51" t="s">
        <v>78</v>
      </c>
      <c r="B51" t="s">
        <v>87</v>
      </c>
      <c r="C51" t="s">
        <v>88</v>
      </c>
      <c r="D51">
        <v>1</v>
      </c>
      <c r="E51">
        <v>7.55</v>
      </c>
      <c r="F51">
        <v>0.35</v>
      </c>
      <c r="G51">
        <v>0</v>
      </c>
      <c r="H51">
        <v>4.9074999999999998</v>
      </c>
      <c r="I51">
        <v>4.91</v>
      </c>
    </row>
    <row r="52" spans="1:9">
      <c r="A52" t="s">
        <v>78</v>
      </c>
      <c r="B52" t="s">
        <v>89</v>
      </c>
      <c r="C52" t="s">
        <v>90</v>
      </c>
      <c r="D52">
        <v>1</v>
      </c>
      <c r="E52">
        <v>25.77</v>
      </c>
      <c r="F52">
        <v>0.5</v>
      </c>
      <c r="G52">
        <v>0</v>
      </c>
      <c r="H52">
        <v>12.885</v>
      </c>
      <c r="I52">
        <v>12.89</v>
      </c>
    </row>
    <row r="53" spans="1:9">
      <c r="A53" t="s">
        <v>78</v>
      </c>
      <c r="B53" t="s">
        <v>91</v>
      </c>
      <c r="C53" t="s">
        <v>92</v>
      </c>
      <c r="D53">
        <v>3</v>
      </c>
      <c r="E53">
        <v>0.99</v>
      </c>
      <c r="F53">
        <v>0.5</v>
      </c>
      <c r="G53">
        <v>0</v>
      </c>
      <c r="H53">
        <v>0.495</v>
      </c>
      <c r="I53">
        <v>1.49</v>
      </c>
    </row>
    <row r="54" spans="1:9">
      <c r="A54" t="s">
        <v>93</v>
      </c>
      <c r="B54" t="s">
        <v>79</v>
      </c>
      <c r="C54" t="s">
        <v>80</v>
      </c>
      <c r="D54">
        <v>10</v>
      </c>
      <c r="E54">
        <v>62</v>
      </c>
      <c r="F54">
        <v>0</v>
      </c>
      <c r="G54">
        <v>0</v>
      </c>
      <c r="H54">
        <v>62</v>
      </c>
      <c r="I54">
        <v>620</v>
      </c>
    </row>
    <row r="55" spans="1:9">
      <c r="A55" t="s">
        <v>94</v>
      </c>
      <c r="B55" t="s">
        <v>38</v>
      </c>
      <c r="C55" t="s">
        <v>39</v>
      </c>
      <c r="D55">
        <v>300</v>
      </c>
      <c r="E55">
        <v>2.4</v>
      </c>
      <c r="F55">
        <v>0</v>
      </c>
      <c r="G55">
        <v>0</v>
      </c>
      <c r="H55">
        <v>2.4</v>
      </c>
      <c r="I55">
        <v>720</v>
      </c>
    </row>
    <row r="56" spans="1:9">
      <c r="A56" t="s">
        <v>94</v>
      </c>
      <c r="B56" t="s">
        <v>23</v>
      </c>
      <c r="C56" t="s">
        <v>24</v>
      </c>
      <c r="D56">
        <v>75</v>
      </c>
      <c r="E56">
        <v>2.63</v>
      </c>
      <c r="F56">
        <v>0</v>
      </c>
      <c r="G56">
        <v>0</v>
      </c>
      <c r="H56">
        <v>2.63</v>
      </c>
      <c r="I56">
        <v>197.25</v>
      </c>
    </row>
    <row r="57" spans="1:9">
      <c r="A57" t="s">
        <v>94</v>
      </c>
      <c r="B57" t="s">
        <v>40</v>
      </c>
      <c r="C57" t="s">
        <v>41</v>
      </c>
      <c r="D57">
        <v>100</v>
      </c>
      <c r="E57">
        <v>0.4</v>
      </c>
      <c r="F57">
        <v>0</v>
      </c>
      <c r="G57">
        <v>0</v>
      </c>
      <c r="H57">
        <v>0.4</v>
      </c>
      <c r="I57">
        <v>40</v>
      </c>
    </row>
    <row r="58" spans="1:9">
      <c r="A58" t="s">
        <v>94</v>
      </c>
      <c r="B58" t="s">
        <v>31</v>
      </c>
      <c r="C58" t="s">
        <v>32</v>
      </c>
      <c r="D58">
        <v>100</v>
      </c>
      <c r="E58">
        <v>2.25</v>
      </c>
      <c r="F58">
        <v>0</v>
      </c>
      <c r="G58">
        <v>0</v>
      </c>
      <c r="H58">
        <v>2.25</v>
      </c>
      <c r="I58">
        <v>225</v>
      </c>
    </row>
    <row r="59" spans="1:9">
      <c r="A59" t="s">
        <v>94</v>
      </c>
      <c r="B59" t="s">
        <v>33</v>
      </c>
      <c r="C59" t="s">
        <v>34</v>
      </c>
      <c r="D59">
        <v>150</v>
      </c>
      <c r="E59">
        <v>1.03</v>
      </c>
      <c r="F59">
        <v>0.55000000000000004</v>
      </c>
      <c r="G59">
        <v>0</v>
      </c>
      <c r="H59">
        <v>0.46349999999999997</v>
      </c>
      <c r="I59">
        <v>69.53</v>
      </c>
    </row>
    <row r="60" spans="1:9">
      <c r="A60" t="s">
        <v>95</v>
      </c>
      <c r="B60" t="s">
        <v>91</v>
      </c>
      <c r="C60" t="s">
        <v>92</v>
      </c>
      <c r="D60">
        <v>30</v>
      </c>
      <c r="E60">
        <v>0.4</v>
      </c>
      <c r="F60">
        <v>0</v>
      </c>
      <c r="G60">
        <v>0</v>
      </c>
      <c r="H60">
        <v>0.4</v>
      </c>
      <c r="I60">
        <v>12</v>
      </c>
    </row>
    <row r="61" spans="1:9">
      <c r="A61" t="s">
        <v>95</v>
      </c>
      <c r="B61" t="s">
        <v>89</v>
      </c>
      <c r="C61" t="s">
        <v>90</v>
      </c>
      <c r="D61">
        <v>10</v>
      </c>
      <c r="E61">
        <v>12.37</v>
      </c>
      <c r="F61">
        <v>0</v>
      </c>
      <c r="G61">
        <v>0</v>
      </c>
      <c r="H61">
        <v>12.37</v>
      </c>
      <c r="I61">
        <v>123.7</v>
      </c>
    </row>
    <row r="62" spans="1:9">
      <c r="A62" t="s">
        <v>96</v>
      </c>
      <c r="B62" t="s">
        <v>97</v>
      </c>
      <c r="C62" t="s">
        <v>98</v>
      </c>
      <c r="D62">
        <v>20</v>
      </c>
      <c r="E62">
        <v>9.4499999999999993</v>
      </c>
      <c r="F62">
        <v>0</v>
      </c>
      <c r="G62">
        <v>0</v>
      </c>
      <c r="H62">
        <v>9.4499999999999993</v>
      </c>
      <c r="I62">
        <v>189</v>
      </c>
    </row>
    <row r="63" spans="1:9">
      <c r="A63" t="s">
        <v>99</v>
      </c>
      <c r="B63" t="s">
        <v>100</v>
      </c>
      <c r="C63" t="s">
        <v>101</v>
      </c>
      <c r="D63">
        <v>20</v>
      </c>
      <c r="E63">
        <v>6.5</v>
      </c>
      <c r="F63">
        <v>0</v>
      </c>
      <c r="G63">
        <v>0</v>
      </c>
      <c r="H63">
        <v>6.5</v>
      </c>
      <c r="I63">
        <v>130</v>
      </c>
    </row>
    <row r="64" spans="1:9">
      <c r="A64" t="s">
        <v>102</v>
      </c>
      <c r="B64" t="s">
        <v>79</v>
      </c>
      <c r="C64" t="s">
        <v>80</v>
      </c>
      <c r="D64">
        <v>1</v>
      </c>
      <c r="E64">
        <v>62</v>
      </c>
      <c r="F64">
        <v>0</v>
      </c>
      <c r="G64">
        <v>0</v>
      </c>
      <c r="H64">
        <v>62</v>
      </c>
      <c r="I64">
        <v>62</v>
      </c>
    </row>
    <row r="65" spans="1:9">
      <c r="A65" t="s">
        <v>103</v>
      </c>
      <c r="B65" t="s">
        <v>29</v>
      </c>
      <c r="C65" t="s">
        <v>104</v>
      </c>
      <c r="D65">
        <v>10</v>
      </c>
      <c r="E65">
        <v>3.08</v>
      </c>
      <c r="F65">
        <v>0</v>
      </c>
      <c r="G65">
        <v>0</v>
      </c>
      <c r="H65">
        <v>3.08</v>
      </c>
      <c r="I65">
        <v>30.8</v>
      </c>
    </row>
    <row r="66" spans="1:9">
      <c r="A66" t="s">
        <v>105</v>
      </c>
      <c r="B66" t="s">
        <v>38</v>
      </c>
      <c r="C66" t="s">
        <v>39</v>
      </c>
      <c r="D66">
        <v>30</v>
      </c>
      <c r="E66">
        <v>7.68</v>
      </c>
      <c r="F66">
        <v>0.67</v>
      </c>
      <c r="G66">
        <v>0</v>
      </c>
      <c r="H66">
        <v>2.5343999999999998</v>
      </c>
      <c r="I66">
        <v>76.03</v>
      </c>
    </row>
    <row r="67" spans="1:9">
      <c r="A67" t="s">
        <v>105</v>
      </c>
      <c r="B67" t="s">
        <v>23</v>
      </c>
      <c r="C67" t="s">
        <v>24</v>
      </c>
      <c r="D67">
        <v>3</v>
      </c>
      <c r="E67">
        <v>7.59</v>
      </c>
      <c r="F67">
        <v>0.63</v>
      </c>
      <c r="G67">
        <v>0</v>
      </c>
      <c r="H67">
        <v>2.8083</v>
      </c>
      <c r="I67">
        <v>8.42</v>
      </c>
    </row>
    <row r="68" spans="1:9">
      <c r="A68" t="s">
        <v>105</v>
      </c>
      <c r="B68" t="s">
        <v>40</v>
      </c>
      <c r="C68" t="s">
        <v>41</v>
      </c>
      <c r="D68">
        <v>20</v>
      </c>
      <c r="E68">
        <v>1.1399999999999999</v>
      </c>
      <c r="F68">
        <v>0.63</v>
      </c>
      <c r="G68">
        <v>0</v>
      </c>
      <c r="H68">
        <v>0.42179999999999995</v>
      </c>
      <c r="I68">
        <v>8.44</v>
      </c>
    </row>
    <row r="69" spans="1:9">
      <c r="A69" t="s">
        <v>105</v>
      </c>
      <c r="B69" t="s">
        <v>106</v>
      </c>
      <c r="C69" t="s">
        <v>107</v>
      </c>
      <c r="D69">
        <v>1</v>
      </c>
      <c r="E69">
        <v>13.16</v>
      </c>
      <c r="F69">
        <v>0.5</v>
      </c>
      <c r="G69">
        <v>0</v>
      </c>
      <c r="H69">
        <v>6.58</v>
      </c>
      <c r="I69">
        <v>6.58</v>
      </c>
    </row>
    <row r="70" spans="1:9">
      <c r="A70" t="s">
        <v>108</v>
      </c>
      <c r="B70" t="s">
        <v>76</v>
      </c>
      <c r="C70" t="s">
        <v>109</v>
      </c>
      <c r="D70">
        <v>33</v>
      </c>
      <c r="E70">
        <v>4.9782000000000002</v>
      </c>
      <c r="F70">
        <v>0</v>
      </c>
      <c r="G70">
        <v>0</v>
      </c>
      <c r="H70">
        <v>4.9782000000000002</v>
      </c>
      <c r="I70">
        <v>164.28</v>
      </c>
    </row>
    <row r="71" spans="1:9">
      <c r="A71" t="s">
        <v>108</v>
      </c>
      <c r="B71" t="s">
        <v>110</v>
      </c>
      <c r="C71" t="s">
        <v>111</v>
      </c>
      <c r="D71">
        <v>33</v>
      </c>
      <c r="E71">
        <v>3.8260000000000001</v>
      </c>
      <c r="F71">
        <v>0</v>
      </c>
      <c r="G71">
        <v>0</v>
      </c>
      <c r="H71">
        <v>3.8260000000000001</v>
      </c>
      <c r="I71">
        <v>126.26</v>
      </c>
    </row>
    <row r="72" spans="1:9">
      <c r="A72" t="s">
        <v>108</v>
      </c>
      <c r="B72" t="s">
        <v>29</v>
      </c>
      <c r="C72" t="s">
        <v>30</v>
      </c>
      <c r="D72">
        <v>10</v>
      </c>
      <c r="E72">
        <v>2.3043</v>
      </c>
      <c r="F72">
        <v>0</v>
      </c>
      <c r="G72">
        <v>0</v>
      </c>
      <c r="H72">
        <v>2.3043</v>
      </c>
      <c r="I72">
        <v>23.04</v>
      </c>
    </row>
    <row r="73" spans="1:9">
      <c r="A73" t="s">
        <v>112</v>
      </c>
      <c r="B73" t="s">
        <v>29</v>
      </c>
      <c r="C73" t="s">
        <v>30</v>
      </c>
      <c r="D73">
        <v>10</v>
      </c>
      <c r="E73">
        <v>3.08</v>
      </c>
      <c r="F73">
        <v>0</v>
      </c>
      <c r="G73">
        <v>0</v>
      </c>
      <c r="H73">
        <v>3.08</v>
      </c>
      <c r="I73">
        <v>30.8</v>
      </c>
    </row>
    <row r="74" spans="1:9">
      <c r="A74" t="s">
        <v>112</v>
      </c>
      <c r="B74" t="s">
        <v>21</v>
      </c>
      <c r="C74" t="s">
        <v>22</v>
      </c>
      <c r="D74">
        <v>60</v>
      </c>
      <c r="E74">
        <v>4.0599999999999996</v>
      </c>
      <c r="F74">
        <v>0</v>
      </c>
      <c r="G74">
        <v>0</v>
      </c>
      <c r="H74">
        <v>4.0599999999999996</v>
      </c>
      <c r="I74">
        <v>243.6</v>
      </c>
    </row>
    <row r="75" spans="1:9">
      <c r="A75" t="s">
        <v>112</v>
      </c>
      <c r="B75" t="s">
        <v>23</v>
      </c>
      <c r="C75" t="s">
        <v>24</v>
      </c>
      <c r="D75">
        <v>60</v>
      </c>
      <c r="E75">
        <v>2.83</v>
      </c>
      <c r="F75">
        <v>0</v>
      </c>
      <c r="G75">
        <v>0</v>
      </c>
      <c r="H75">
        <v>2.83</v>
      </c>
      <c r="I75">
        <v>169.8</v>
      </c>
    </row>
    <row r="76" spans="1:9">
      <c r="A76" t="s">
        <v>112</v>
      </c>
      <c r="B76" t="s">
        <v>113</v>
      </c>
      <c r="C76" t="s">
        <v>114</v>
      </c>
      <c r="D76">
        <v>1</v>
      </c>
      <c r="E76">
        <v>13.71</v>
      </c>
      <c r="F76">
        <v>0</v>
      </c>
      <c r="G76">
        <v>0</v>
      </c>
      <c r="H76">
        <v>13.71</v>
      </c>
      <c r="I76">
        <v>13.71</v>
      </c>
    </row>
    <row r="77" spans="1:9">
      <c r="A77" t="s">
        <v>115</v>
      </c>
      <c r="B77" t="s">
        <v>42</v>
      </c>
      <c r="C77" t="s">
        <v>43</v>
      </c>
      <c r="D77">
        <v>10</v>
      </c>
      <c r="E77">
        <v>1.4020999999999999</v>
      </c>
      <c r="F77">
        <v>0</v>
      </c>
      <c r="G77">
        <v>0</v>
      </c>
      <c r="H77">
        <v>1.4020999999999999</v>
      </c>
      <c r="I77">
        <v>14.02</v>
      </c>
    </row>
    <row r="78" spans="1:9">
      <c r="A78" t="s">
        <v>116</v>
      </c>
      <c r="B78" t="s">
        <v>117</v>
      </c>
      <c r="C78" t="s">
        <v>118</v>
      </c>
      <c r="D78">
        <v>21</v>
      </c>
      <c r="E78">
        <v>5.55</v>
      </c>
      <c r="F78">
        <v>0.25</v>
      </c>
      <c r="G78">
        <v>0</v>
      </c>
      <c r="H78">
        <v>4.1624999999999996</v>
      </c>
      <c r="I78">
        <v>87.41</v>
      </c>
    </row>
    <row r="79" spans="1:9">
      <c r="A79" t="s">
        <v>119</v>
      </c>
      <c r="B79" t="s">
        <v>31</v>
      </c>
      <c r="C79" t="s">
        <v>120</v>
      </c>
      <c r="D79">
        <v>50</v>
      </c>
      <c r="E79">
        <v>6.48</v>
      </c>
      <c r="F79">
        <v>0.6</v>
      </c>
      <c r="G79">
        <v>0</v>
      </c>
      <c r="H79">
        <v>2.5920000000000005</v>
      </c>
      <c r="I79">
        <v>129.6</v>
      </c>
    </row>
    <row r="80" spans="1:9">
      <c r="A80" t="s">
        <v>121</v>
      </c>
      <c r="B80" t="s">
        <v>122</v>
      </c>
      <c r="C80" t="s">
        <v>123</v>
      </c>
      <c r="D80">
        <v>10</v>
      </c>
      <c r="E80">
        <v>3.11</v>
      </c>
      <c r="F80">
        <v>0</v>
      </c>
      <c r="G80">
        <v>0</v>
      </c>
      <c r="H80">
        <v>3.11</v>
      </c>
      <c r="I80">
        <v>31.1</v>
      </c>
    </row>
    <row r="81" spans="1:9">
      <c r="A81" t="s">
        <v>121</v>
      </c>
      <c r="B81" t="s">
        <v>124</v>
      </c>
      <c r="C81" t="s">
        <v>125</v>
      </c>
      <c r="D81">
        <v>1</v>
      </c>
      <c r="E81">
        <v>4.7300000000000004</v>
      </c>
      <c r="F81">
        <v>0.5</v>
      </c>
      <c r="G81">
        <v>0</v>
      </c>
      <c r="H81">
        <v>2.3650000000000002</v>
      </c>
      <c r="I81">
        <v>2.37</v>
      </c>
    </row>
    <row r="82" spans="1:9">
      <c r="A82" t="s">
        <v>121</v>
      </c>
      <c r="B82" t="s">
        <v>126</v>
      </c>
      <c r="C82" t="s">
        <v>127</v>
      </c>
      <c r="D82">
        <v>1</v>
      </c>
      <c r="E82">
        <v>2.97</v>
      </c>
      <c r="F82">
        <v>0.5</v>
      </c>
      <c r="G82">
        <v>0</v>
      </c>
      <c r="H82">
        <v>1.4850000000000001</v>
      </c>
      <c r="I82">
        <v>1.49</v>
      </c>
    </row>
    <row r="83" spans="1:9">
      <c r="A83" t="s">
        <v>128</v>
      </c>
      <c r="B83" t="s">
        <v>129</v>
      </c>
      <c r="C83" t="s">
        <v>130</v>
      </c>
      <c r="D83">
        <v>9</v>
      </c>
      <c r="E83">
        <v>4.5199999999999996</v>
      </c>
      <c r="F83">
        <v>0.25</v>
      </c>
      <c r="G83">
        <v>0</v>
      </c>
      <c r="H83">
        <v>3.3899999999999997</v>
      </c>
      <c r="I83">
        <v>30.51</v>
      </c>
    </row>
    <row r="84" spans="1:9">
      <c r="A84" t="s">
        <v>131</v>
      </c>
      <c r="B84" t="s">
        <v>76</v>
      </c>
      <c r="C84" t="s">
        <v>109</v>
      </c>
      <c r="D84">
        <v>18</v>
      </c>
      <c r="E84">
        <v>4.9782000000000002</v>
      </c>
      <c r="F84">
        <v>0</v>
      </c>
      <c r="G84">
        <v>0</v>
      </c>
      <c r="H84">
        <v>4.9782000000000002</v>
      </c>
      <c r="I84">
        <v>89.61</v>
      </c>
    </row>
    <row r="85" spans="1:9">
      <c r="A85" t="s">
        <v>131</v>
      </c>
      <c r="B85" t="s">
        <v>132</v>
      </c>
      <c r="C85" t="s">
        <v>133</v>
      </c>
      <c r="D85">
        <v>12</v>
      </c>
      <c r="E85">
        <v>7.88</v>
      </c>
      <c r="F85">
        <v>0</v>
      </c>
      <c r="G85">
        <v>0</v>
      </c>
      <c r="H85">
        <v>7.88</v>
      </c>
      <c r="I85">
        <v>94.56</v>
      </c>
    </row>
    <row r="86" spans="1:9">
      <c r="A86" t="s">
        <v>131</v>
      </c>
      <c r="B86" t="s">
        <v>110</v>
      </c>
      <c r="C86" t="s">
        <v>111</v>
      </c>
      <c r="D86">
        <v>12</v>
      </c>
      <c r="E86">
        <v>13.05</v>
      </c>
      <c r="F86">
        <v>0.7</v>
      </c>
      <c r="G86">
        <v>0</v>
      </c>
      <c r="H86">
        <v>3.9150000000000009</v>
      </c>
      <c r="I86">
        <v>46.98</v>
      </c>
    </row>
    <row r="87" spans="1:9">
      <c r="A87" t="s">
        <v>131</v>
      </c>
      <c r="B87" t="s">
        <v>134</v>
      </c>
      <c r="C87" t="s">
        <v>135</v>
      </c>
      <c r="D87">
        <v>6</v>
      </c>
      <c r="E87">
        <v>7</v>
      </c>
      <c r="F87">
        <v>0</v>
      </c>
      <c r="G87">
        <v>0</v>
      </c>
      <c r="H87">
        <v>7</v>
      </c>
      <c r="I87">
        <v>42</v>
      </c>
    </row>
    <row r="88" spans="1:9">
      <c r="A88" t="s">
        <v>131</v>
      </c>
      <c r="B88" t="s">
        <v>29</v>
      </c>
      <c r="C88" t="s">
        <v>30</v>
      </c>
      <c r="D88">
        <v>10</v>
      </c>
      <c r="E88">
        <v>2.3043</v>
      </c>
      <c r="F88">
        <v>0</v>
      </c>
      <c r="G88">
        <v>0</v>
      </c>
      <c r="H88">
        <v>2.3043</v>
      </c>
      <c r="I88">
        <v>23.04</v>
      </c>
    </row>
    <row r="89" spans="1:9">
      <c r="A89" t="s">
        <v>131</v>
      </c>
      <c r="B89" t="s">
        <v>25</v>
      </c>
      <c r="C89" t="s">
        <v>26</v>
      </c>
      <c r="D89">
        <v>10</v>
      </c>
      <c r="E89">
        <v>2.7717000000000001</v>
      </c>
      <c r="F89">
        <v>0</v>
      </c>
      <c r="G89">
        <v>0</v>
      </c>
      <c r="H89">
        <v>2.7717000000000001</v>
      </c>
      <c r="I89">
        <v>27.72</v>
      </c>
    </row>
    <row r="90" spans="1:9">
      <c r="A90" t="s">
        <v>136</v>
      </c>
      <c r="B90" t="s">
        <v>137</v>
      </c>
      <c r="C90" t="s">
        <v>138</v>
      </c>
      <c r="D90">
        <v>400</v>
      </c>
      <c r="E90">
        <v>0.87</v>
      </c>
      <c r="F90">
        <v>0</v>
      </c>
      <c r="G90">
        <v>0</v>
      </c>
      <c r="H90">
        <v>0.87</v>
      </c>
      <c r="I90">
        <v>348</v>
      </c>
    </row>
    <row r="91" spans="1:9">
      <c r="A91" t="s">
        <v>136</v>
      </c>
      <c r="B91" t="s">
        <v>132</v>
      </c>
      <c r="C91" t="s">
        <v>133</v>
      </c>
      <c r="D91">
        <v>102</v>
      </c>
      <c r="E91">
        <v>7.88</v>
      </c>
      <c r="F91">
        <v>0</v>
      </c>
      <c r="G91">
        <v>0</v>
      </c>
      <c r="H91">
        <v>7.88</v>
      </c>
      <c r="I91">
        <v>803.76</v>
      </c>
    </row>
    <row r="92" spans="1:9">
      <c r="A92" t="s">
        <v>136</v>
      </c>
      <c r="B92" t="s">
        <v>139</v>
      </c>
      <c r="C92" t="s">
        <v>140</v>
      </c>
      <c r="D92">
        <v>500</v>
      </c>
      <c r="E92">
        <v>2.95</v>
      </c>
      <c r="F92">
        <v>0</v>
      </c>
      <c r="G92">
        <v>0</v>
      </c>
      <c r="H92">
        <v>2.95</v>
      </c>
      <c r="I92">
        <v>1475</v>
      </c>
    </row>
    <row r="93" spans="1:9">
      <c r="A93" t="s">
        <v>136</v>
      </c>
      <c r="B93" t="s">
        <v>31</v>
      </c>
      <c r="C93" t="s">
        <v>32</v>
      </c>
      <c r="D93">
        <v>50</v>
      </c>
      <c r="E93">
        <v>2.27</v>
      </c>
      <c r="F93">
        <v>0</v>
      </c>
      <c r="G93">
        <v>0</v>
      </c>
      <c r="H93">
        <v>2.27</v>
      </c>
      <c r="I93">
        <v>113.5</v>
      </c>
    </row>
    <row r="94" spans="1:9">
      <c r="A94" t="s">
        <v>136</v>
      </c>
      <c r="B94" t="s">
        <v>134</v>
      </c>
      <c r="C94" t="s">
        <v>135</v>
      </c>
      <c r="D94">
        <v>102</v>
      </c>
      <c r="E94">
        <v>7</v>
      </c>
      <c r="F94">
        <v>0</v>
      </c>
      <c r="G94">
        <v>0</v>
      </c>
      <c r="H94">
        <v>7</v>
      </c>
      <c r="I94">
        <v>714</v>
      </c>
    </row>
    <row r="95" spans="1:9">
      <c r="A95" t="s">
        <v>136</v>
      </c>
      <c r="B95" t="s">
        <v>35</v>
      </c>
      <c r="C95" t="s">
        <v>141</v>
      </c>
      <c r="D95">
        <v>1</v>
      </c>
      <c r="E95">
        <v>125</v>
      </c>
      <c r="F95">
        <v>0</v>
      </c>
      <c r="G95">
        <v>0</v>
      </c>
      <c r="H95">
        <v>125</v>
      </c>
      <c r="I95">
        <v>125</v>
      </c>
    </row>
    <row r="96" spans="1:9">
      <c r="A96" t="s">
        <v>142</v>
      </c>
      <c r="B96" t="s">
        <v>38</v>
      </c>
      <c r="C96" t="s">
        <v>39</v>
      </c>
      <c r="D96">
        <v>252</v>
      </c>
      <c r="E96">
        <v>2.44</v>
      </c>
      <c r="F96">
        <v>0</v>
      </c>
      <c r="G96">
        <v>0</v>
      </c>
      <c r="H96">
        <v>2.44</v>
      </c>
      <c r="I96">
        <v>614.88</v>
      </c>
    </row>
    <row r="97" spans="1:9">
      <c r="A97" t="s">
        <v>142</v>
      </c>
      <c r="B97" t="s">
        <v>21</v>
      </c>
      <c r="C97" t="s">
        <v>22</v>
      </c>
      <c r="D97">
        <v>249</v>
      </c>
      <c r="E97">
        <v>3.56</v>
      </c>
      <c r="F97">
        <v>0</v>
      </c>
      <c r="G97">
        <v>0</v>
      </c>
      <c r="H97">
        <v>3.56</v>
      </c>
      <c r="I97">
        <v>886.44</v>
      </c>
    </row>
    <row r="98" spans="1:9">
      <c r="A98" t="s">
        <v>142</v>
      </c>
      <c r="B98" t="s">
        <v>23</v>
      </c>
      <c r="C98" t="s">
        <v>24</v>
      </c>
      <c r="D98">
        <v>48</v>
      </c>
      <c r="E98">
        <v>2.41</v>
      </c>
      <c r="F98">
        <v>0</v>
      </c>
      <c r="G98">
        <v>0</v>
      </c>
      <c r="H98">
        <v>2.41</v>
      </c>
      <c r="I98">
        <v>115.68</v>
      </c>
    </row>
    <row r="99" spans="1:9">
      <c r="A99" t="s">
        <v>143</v>
      </c>
      <c r="B99" t="s">
        <v>27</v>
      </c>
      <c r="C99" t="s">
        <v>28</v>
      </c>
      <c r="D99">
        <v>10</v>
      </c>
      <c r="E99">
        <v>11.09</v>
      </c>
      <c r="F99">
        <v>0.6</v>
      </c>
      <c r="G99">
        <v>0</v>
      </c>
      <c r="H99">
        <v>4.4359999999999999</v>
      </c>
      <c r="I99">
        <v>44.36</v>
      </c>
    </row>
    <row r="100" spans="1:9">
      <c r="A100" t="s">
        <v>144</v>
      </c>
      <c r="B100" t="s">
        <v>23</v>
      </c>
      <c r="C100" t="s">
        <v>145</v>
      </c>
      <c r="D100">
        <v>453</v>
      </c>
      <c r="E100">
        <v>2.41</v>
      </c>
      <c r="F100">
        <v>0</v>
      </c>
      <c r="G100">
        <v>0</v>
      </c>
      <c r="H100">
        <v>2.41</v>
      </c>
      <c r="I100">
        <v>1091.73</v>
      </c>
    </row>
    <row r="101" spans="1:9">
      <c r="A101" t="s">
        <v>146</v>
      </c>
      <c r="B101" t="s">
        <v>42</v>
      </c>
      <c r="C101" t="s">
        <v>43</v>
      </c>
      <c r="D101">
        <v>10</v>
      </c>
      <c r="E101">
        <v>1.4020999999999999</v>
      </c>
      <c r="F101">
        <v>0</v>
      </c>
      <c r="G101">
        <v>0</v>
      </c>
      <c r="H101">
        <v>1.4020999999999999</v>
      </c>
      <c r="I101">
        <v>14.02</v>
      </c>
    </row>
    <row r="102" spans="1:9">
      <c r="A102" t="s">
        <v>147</v>
      </c>
      <c r="B102" t="s">
        <v>148</v>
      </c>
      <c r="C102" t="s">
        <v>149</v>
      </c>
      <c r="D102">
        <v>16</v>
      </c>
      <c r="E102">
        <v>2.3199999999999998</v>
      </c>
      <c r="F102">
        <v>0.45</v>
      </c>
      <c r="G102">
        <v>0</v>
      </c>
      <c r="H102">
        <v>1.276</v>
      </c>
      <c r="I102">
        <v>20.420000000000002</v>
      </c>
    </row>
    <row r="103" spans="1:9">
      <c r="A103" t="s">
        <v>147</v>
      </c>
      <c r="B103" t="s">
        <v>150</v>
      </c>
      <c r="C103" t="s">
        <v>151</v>
      </c>
      <c r="D103">
        <v>3</v>
      </c>
      <c r="E103">
        <v>0.7</v>
      </c>
      <c r="F103">
        <v>0.45</v>
      </c>
      <c r="G103">
        <v>0</v>
      </c>
      <c r="H103">
        <v>0.38500000000000001</v>
      </c>
      <c r="I103">
        <v>1.1599999999999999</v>
      </c>
    </row>
    <row r="104" spans="1:9">
      <c r="A104" t="s">
        <v>147</v>
      </c>
      <c r="B104" t="s">
        <v>152</v>
      </c>
      <c r="C104" t="s">
        <v>153</v>
      </c>
      <c r="D104">
        <v>1</v>
      </c>
      <c r="E104">
        <v>0.7</v>
      </c>
      <c r="F104">
        <v>0.45</v>
      </c>
      <c r="G104">
        <v>0</v>
      </c>
      <c r="H104">
        <v>0.38500000000000001</v>
      </c>
      <c r="I104">
        <v>0.39</v>
      </c>
    </row>
    <row r="105" spans="1:9">
      <c r="A105" t="s">
        <v>147</v>
      </c>
      <c r="B105" t="s">
        <v>154</v>
      </c>
      <c r="C105" t="s">
        <v>155</v>
      </c>
      <c r="D105">
        <v>3</v>
      </c>
      <c r="E105">
        <v>0.7</v>
      </c>
      <c r="F105">
        <v>0.45</v>
      </c>
      <c r="G105">
        <v>0</v>
      </c>
      <c r="H105">
        <v>0.38500000000000001</v>
      </c>
      <c r="I105">
        <v>1.1599999999999999</v>
      </c>
    </row>
    <row r="106" spans="1:9">
      <c r="A106" t="s">
        <v>147</v>
      </c>
      <c r="B106" t="s">
        <v>156</v>
      </c>
      <c r="C106" t="s">
        <v>157</v>
      </c>
      <c r="D106">
        <v>1</v>
      </c>
      <c r="E106">
        <v>2.6</v>
      </c>
      <c r="F106">
        <v>0.4</v>
      </c>
      <c r="G106">
        <v>0</v>
      </c>
      <c r="H106">
        <v>1.56</v>
      </c>
      <c r="I106">
        <v>1.56</v>
      </c>
    </row>
    <row r="107" spans="1:9">
      <c r="A107" t="s">
        <v>158</v>
      </c>
      <c r="B107" t="s">
        <v>159</v>
      </c>
      <c r="C107" t="s">
        <v>160</v>
      </c>
      <c r="D107">
        <v>1</v>
      </c>
      <c r="E107">
        <v>100</v>
      </c>
      <c r="F107">
        <v>0</v>
      </c>
      <c r="G107">
        <v>0</v>
      </c>
      <c r="H107">
        <v>100</v>
      </c>
      <c r="I107">
        <v>100</v>
      </c>
    </row>
    <row r="108" spans="1:9">
      <c r="A108" t="s">
        <v>161</v>
      </c>
      <c r="B108" t="s">
        <v>162</v>
      </c>
      <c r="C108" t="s">
        <v>163</v>
      </c>
      <c r="D108">
        <v>3</v>
      </c>
      <c r="E108">
        <v>39.74</v>
      </c>
      <c r="F108">
        <v>0.45</v>
      </c>
      <c r="G108">
        <v>0</v>
      </c>
      <c r="H108">
        <v>21.857000000000003</v>
      </c>
      <c r="I108">
        <v>65.569999999999993</v>
      </c>
    </row>
    <row r="109" spans="1:9">
      <c r="A109" t="s">
        <v>164</v>
      </c>
      <c r="B109" t="s">
        <v>165</v>
      </c>
      <c r="C109" t="s">
        <v>166</v>
      </c>
      <c r="D109">
        <v>21</v>
      </c>
      <c r="E109">
        <v>8.7799999999999994</v>
      </c>
      <c r="F109">
        <v>0.25</v>
      </c>
      <c r="G109">
        <v>0</v>
      </c>
      <c r="H109">
        <v>6.5849999999999991</v>
      </c>
      <c r="I109">
        <v>138.29</v>
      </c>
    </row>
    <row r="110" spans="1:9">
      <c r="A110" t="s">
        <v>164</v>
      </c>
      <c r="B110" t="s">
        <v>45</v>
      </c>
      <c r="C110" t="s">
        <v>46</v>
      </c>
      <c r="D110">
        <v>21</v>
      </c>
      <c r="E110">
        <v>7.23</v>
      </c>
      <c r="F110">
        <v>0.25</v>
      </c>
      <c r="G110">
        <v>0</v>
      </c>
      <c r="H110">
        <v>5.4225000000000003</v>
      </c>
      <c r="I110">
        <v>113.87</v>
      </c>
    </row>
    <row r="111" spans="1:9">
      <c r="A111" t="s">
        <v>164</v>
      </c>
      <c r="B111" t="s">
        <v>47</v>
      </c>
      <c r="C111" t="s">
        <v>48</v>
      </c>
      <c r="D111">
        <v>12</v>
      </c>
      <c r="E111">
        <v>5.55</v>
      </c>
      <c r="F111">
        <v>0.25</v>
      </c>
      <c r="G111">
        <v>0</v>
      </c>
      <c r="H111">
        <v>4.1624999999999996</v>
      </c>
      <c r="I111">
        <v>49.95</v>
      </c>
    </row>
    <row r="112" spans="1:9">
      <c r="A112" t="s">
        <v>167</v>
      </c>
      <c r="B112" t="s">
        <v>168</v>
      </c>
      <c r="C112" t="s">
        <v>169</v>
      </c>
      <c r="D112">
        <v>50</v>
      </c>
      <c r="E112">
        <v>2.17</v>
      </c>
      <c r="F112">
        <v>0.5</v>
      </c>
      <c r="G112">
        <v>0</v>
      </c>
      <c r="H112">
        <v>1.085</v>
      </c>
      <c r="I112">
        <v>54.25</v>
      </c>
    </row>
    <row r="113" spans="1:9">
      <c r="A113" t="s">
        <v>167</v>
      </c>
      <c r="B113" t="s">
        <v>33</v>
      </c>
      <c r="C113" t="s">
        <v>170</v>
      </c>
      <c r="D113">
        <v>100</v>
      </c>
      <c r="E113">
        <v>0.36</v>
      </c>
      <c r="F113">
        <v>0</v>
      </c>
      <c r="G113">
        <v>0</v>
      </c>
      <c r="H113">
        <v>0.36</v>
      </c>
      <c r="I113">
        <v>36</v>
      </c>
    </row>
    <row r="114" spans="1:9">
      <c r="A114" t="s">
        <v>167</v>
      </c>
      <c r="B114" t="s">
        <v>171</v>
      </c>
      <c r="C114" t="s">
        <v>172</v>
      </c>
      <c r="D114">
        <v>1</v>
      </c>
      <c r="E114">
        <v>26</v>
      </c>
      <c r="F114">
        <v>0</v>
      </c>
      <c r="G114">
        <v>0</v>
      </c>
      <c r="H114">
        <v>26</v>
      </c>
      <c r="I114">
        <v>26</v>
      </c>
    </row>
    <row r="115" spans="1:9">
      <c r="A115" t="s">
        <v>167</v>
      </c>
      <c r="B115" t="s">
        <v>173</v>
      </c>
      <c r="C115" t="s">
        <v>174</v>
      </c>
      <c r="D115">
        <v>1</v>
      </c>
      <c r="E115">
        <v>8.1999999999999993</v>
      </c>
      <c r="F115">
        <v>0</v>
      </c>
      <c r="G115">
        <v>0</v>
      </c>
      <c r="H115">
        <v>8.1999999999999993</v>
      </c>
      <c r="I115">
        <v>8.1999999999999993</v>
      </c>
    </row>
    <row r="116" spans="1:9">
      <c r="A116" t="s">
        <v>167</v>
      </c>
      <c r="B116" t="s">
        <v>19</v>
      </c>
      <c r="C116" t="s">
        <v>175</v>
      </c>
      <c r="D116">
        <v>60</v>
      </c>
      <c r="E116">
        <v>12.44</v>
      </c>
      <c r="F116">
        <v>0.65</v>
      </c>
      <c r="G116">
        <v>0</v>
      </c>
      <c r="H116">
        <v>4.3539999999999992</v>
      </c>
      <c r="I116">
        <v>261.24</v>
      </c>
    </row>
    <row r="117" spans="1:9">
      <c r="A117" t="s">
        <v>167</v>
      </c>
      <c r="B117" t="s">
        <v>13</v>
      </c>
      <c r="C117" t="s">
        <v>56</v>
      </c>
      <c r="D117">
        <v>60</v>
      </c>
      <c r="E117">
        <v>10.41</v>
      </c>
      <c r="F117">
        <v>0.65</v>
      </c>
      <c r="G117">
        <v>0</v>
      </c>
      <c r="H117">
        <v>3.6435</v>
      </c>
      <c r="I117">
        <v>218.61</v>
      </c>
    </row>
    <row r="118" spans="1:9">
      <c r="A118" t="s">
        <v>176</v>
      </c>
      <c r="B118" t="s">
        <v>91</v>
      </c>
      <c r="C118" t="s">
        <v>177</v>
      </c>
      <c r="D118">
        <v>3</v>
      </c>
      <c r="E118">
        <v>0.4</v>
      </c>
      <c r="F118">
        <v>0</v>
      </c>
      <c r="G118">
        <v>0</v>
      </c>
      <c r="H118">
        <v>0.4</v>
      </c>
      <c r="I118">
        <v>1.2</v>
      </c>
    </row>
    <row r="119" spans="1:9">
      <c r="A119" t="s">
        <v>178</v>
      </c>
      <c r="B119" t="s">
        <v>179</v>
      </c>
      <c r="C119" t="s">
        <v>180</v>
      </c>
      <c r="D119">
        <v>300</v>
      </c>
      <c r="E119">
        <v>0.59</v>
      </c>
      <c r="F119">
        <v>0</v>
      </c>
      <c r="G119">
        <v>0</v>
      </c>
      <c r="H119">
        <v>0.59</v>
      </c>
      <c r="I119">
        <v>177</v>
      </c>
    </row>
    <row r="120" spans="1:9">
      <c r="A120" t="s">
        <v>181</v>
      </c>
      <c r="B120" t="s">
        <v>179</v>
      </c>
      <c r="C120" t="s">
        <v>182</v>
      </c>
      <c r="D120">
        <v>100</v>
      </c>
      <c r="E120">
        <v>0.65</v>
      </c>
      <c r="F120">
        <v>0</v>
      </c>
      <c r="G120">
        <v>0</v>
      </c>
      <c r="H120">
        <v>0.65</v>
      </c>
      <c r="I120">
        <v>65</v>
      </c>
    </row>
    <row r="121" spans="1:9">
      <c r="A121" t="s">
        <v>183</v>
      </c>
      <c r="B121" t="s">
        <v>184</v>
      </c>
      <c r="C121" t="s">
        <v>185</v>
      </c>
      <c r="D121">
        <v>224</v>
      </c>
      <c r="E121">
        <v>1.1499999999999999</v>
      </c>
      <c r="F121">
        <v>0</v>
      </c>
      <c r="G121">
        <v>0</v>
      </c>
      <c r="H121">
        <v>1.1499999999999999</v>
      </c>
      <c r="I121">
        <v>257.60000000000002</v>
      </c>
    </row>
    <row r="122" spans="1:9">
      <c r="A122" t="s">
        <v>186</v>
      </c>
      <c r="B122" t="s">
        <v>19</v>
      </c>
      <c r="C122" t="s">
        <v>187</v>
      </c>
      <c r="D122">
        <v>60</v>
      </c>
      <c r="E122">
        <v>12.44</v>
      </c>
      <c r="F122">
        <v>0.65</v>
      </c>
      <c r="G122">
        <v>0</v>
      </c>
      <c r="H122">
        <v>4.3539999999999992</v>
      </c>
      <c r="I122">
        <v>261.24</v>
      </c>
    </row>
    <row r="123" spans="1:9">
      <c r="A123" t="s">
        <v>188</v>
      </c>
      <c r="B123" t="s">
        <v>189</v>
      </c>
      <c r="C123" t="s">
        <v>190</v>
      </c>
      <c r="D123">
        <v>20</v>
      </c>
      <c r="E123">
        <v>4.5</v>
      </c>
      <c r="F123">
        <v>0</v>
      </c>
      <c r="G123">
        <v>0</v>
      </c>
      <c r="H123">
        <v>4.5</v>
      </c>
      <c r="I123">
        <v>90</v>
      </c>
    </row>
    <row r="124" spans="1:9">
      <c r="A124" t="s">
        <v>188</v>
      </c>
      <c r="B124" t="s">
        <v>148</v>
      </c>
      <c r="C124" t="s">
        <v>149</v>
      </c>
      <c r="D124">
        <v>2</v>
      </c>
      <c r="E124">
        <v>2.3199999999999998</v>
      </c>
      <c r="F124">
        <v>0.3</v>
      </c>
      <c r="G124">
        <v>0</v>
      </c>
      <c r="H124">
        <v>1.6239999999999999</v>
      </c>
      <c r="I124">
        <v>3.25</v>
      </c>
    </row>
    <row r="125" spans="1:9">
      <c r="A125" t="s">
        <v>188</v>
      </c>
      <c r="B125" t="s">
        <v>150</v>
      </c>
      <c r="C125" t="s">
        <v>151</v>
      </c>
      <c r="D125">
        <v>2</v>
      </c>
      <c r="E125">
        <v>0.7</v>
      </c>
      <c r="F125">
        <v>0.3</v>
      </c>
      <c r="G125">
        <v>0</v>
      </c>
      <c r="H125">
        <v>0.48999999999999994</v>
      </c>
      <c r="I125">
        <v>0.98</v>
      </c>
    </row>
    <row r="126" spans="1:9">
      <c r="A126" t="s">
        <v>188</v>
      </c>
      <c r="B126" t="s">
        <v>191</v>
      </c>
      <c r="C126" t="s">
        <v>192</v>
      </c>
      <c r="D126">
        <v>1</v>
      </c>
      <c r="E126">
        <v>46.51</v>
      </c>
      <c r="F126">
        <v>0.4</v>
      </c>
      <c r="G126">
        <v>0</v>
      </c>
      <c r="H126">
        <v>27.905999999999999</v>
      </c>
      <c r="I126">
        <v>27.91</v>
      </c>
    </row>
    <row r="127" spans="1:9">
      <c r="A127" t="s">
        <v>188</v>
      </c>
      <c r="B127" t="s">
        <v>193</v>
      </c>
      <c r="C127" t="s">
        <v>194</v>
      </c>
      <c r="D127">
        <v>2</v>
      </c>
      <c r="E127">
        <v>2.4</v>
      </c>
      <c r="F127">
        <v>0.3</v>
      </c>
      <c r="G127">
        <v>0</v>
      </c>
      <c r="H127">
        <v>1.68</v>
      </c>
      <c r="I127">
        <v>3.36</v>
      </c>
    </row>
    <row r="128" spans="1:9">
      <c r="A128" t="s">
        <v>195</v>
      </c>
      <c r="B128" t="s">
        <v>196</v>
      </c>
      <c r="C128" t="s">
        <v>197</v>
      </c>
      <c r="D128">
        <v>360</v>
      </c>
      <c r="E128">
        <v>3.4</v>
      </c>
      <c r="F128">
        <v>0</v>
      </c>
      <c r="G128">
        <v>0</v>
      </c>
      <c r="H128">
        <v>3.4</v>
      </c>
      <c r="I128">
        <v>1224</v>
      </c>
    </row>
    <row r="129" spans="1:9">
      <c r="A129" t="s">
        <v>195</v>
      </c>
      <c r="B129" t="s">
        <v>198</v>
      </c>
      <c r="C129" t="s">
        <v>199</v>
      </c>
      <c r="D129">
        <v>1</v>
      </c>
      <c r="E129">
        <v>135</v>
      </c>
      <c r="F129">
        <v>0</v>
      </c>
      <c r="G129">
        <v>0</v>
      </c>
      <c r="H129">
        <v>135</v>
      </c>
      <c r="I129">
        <v>135</v>
      </c>
    </row>
    <row r="130" spans="1:9">
      <c r="A130" t="s">
        <v>195</v>
      </c>
      <c r="B130" t="s">
        <v>200</v>
      </c>
      <c r="C130" t="s">
        <v>201</v>
      </c>
      <c r="D130">
        <v>265</v>
      </c>
      <c r="E130">
        <v>1.83</v>
      </c>
      <c r="F130">
        <v>0</v>
      </c>
      <c r="G130">
        <v>0</v>
      </c>
      <c r="H130">
        <v>1.83</v>
      </c>
      <c r="I130">
        <v>484.95</v>
      </c>
    </row>
    <row r="131" spans="1:9">
      <c r="A131" t="s">
        <v>195</v>
      </c>
      <c r="B131" t="s">
        <v>202</v>
      </c>
      <c r="C131" t="s">
        <v>203</v>
      </c>
      <c r="D131">
        <v>1</v>
      </c>
      <c r="E131">
        <v>90</v>
      </c>
      <c r="F131">
        <v>0</v>
      </c>
      <c r="G131">
        <v>0</v>
      </c>
      <c r="H131">
        <v>90</v>
      </c>
      <c r="I131">
        <v>90</v>
      </c>
    </row>
    <row r="132" spans="1:9">
      <c r="A132" t="s">
        <v>204</v>
      </c>
      <c r="B132" t="s">
        <v>38</v>
      </c>
      <c r="C132" t="s">
        <v>39</v>
      </c>
      <c r="D132">
        <v>24</v>
      </c>
      <c r="E132">
        <v>7.68</v>
      </c>
      <c r="F132">
        <v>0.65</v>
      </c>
      <c r="G132">
        <v>0</v>
      </c>
      <c r="H132">
        <v>2.6879999999999997</v>
      </c>
      <c r="I132">
        <v>64.510000000000005</v>
      </c>
    </row>
    <row r="133" spans="1:9">
      <c r="A133" t="s">
        <v>204</v>
      </c>
      <c r="B133" t="s">
        <v>23</v>
      </c>
      <c r="C133" t="s">
        <v>24</v>
      </c>
      <c r="D133">
        <v>24</v>
      </c>
      <c r="E133">
        <v>7.59</v>
      </c>
      <c r="F133">
        <v>0.63</v>
      </c>
      <c r="G133">
        <v>0</v>
      </c>
      <c r="H133">
        <v>2.8083</v>
      </c>
      <c r="I133">
        <v>67.400000000000006</v>
      </c>
    </row>
    <row r="134" spans="1:9">
      <c r="A134" t="s">
        <v>204</v>
      </c>
      <c r="B134" t="s">
        <v>205</v>
      </c>
      <c r="C134" t="s">
        <v>206</v>
      </c>
      <c r="D134">
        <v>2</v>
      </c>
      <c r="E134">
        <v>0.36020000000000002</v>
      </c>
      <c r="F134">
        <v>0.5</v>
      </c>
      <c r="G134">
        <v>0</v>
      </c>
      <c r="H134">
        <v>0.18010000000000001</v>
      </c>
      <c r="I134">
        <v>0.36</v>
      </c>
    </row>
    <row r="135" spans="1:9">
      <c r="A135" t="s">
        <v>207</v>
      </c>
      <c r="B135" t="s">
        <v>42</v>
      </c>
      <c r="C135" t="s">
        <v>43</v>
      </c>
      <c r="D135">
        <v>25</v>
      </c>
      <c r="E135">
        <v>1.99</v>
      </c>
      <c r="F135">
        <v>0</v>
      </c>
      <c r="G135">
        <v>0</v>
      </c>
      <c r="H135">
        <v>1.99</v>
      </c>
    </row>
    <row r="136" spans="1:9">
      <c r="A136" t="s">
        <v>207</v>
      </c>
      <c r="B136" t="s">
        <v>40</v>
      </c>
      <c r="C136" t="s">
        <v>41</v>
      </c>
      <c r="D136">
        <v>50</v>
      </c>
      <c r="E136">
        <v>0.4</v>
      </c>
      <c r="F136">
        <v>0</v>
      </c>
      <c r="G136">
        <v>0</v>
      </c>
      <c r="H136">
        <v>0.4</v>
      </c>
    </row>
    <row r="137" spans="1:9">
      <c r="A137" t="s">
        <v>208</v>
      </c>
      <c r="B137" t="s">
        <v>23</v>
      </c>
      <c r="C137" t="s">
        <v>24</v>
      </c>
      <c r="D137">
        <v>30</v>
      </c>
      <c r="E137">
        <v>7.59</v>
      </c>
      <c r="F137">
        <v>0.63</v>
      </c>
      <c r="G137">
        <v>0</v>
      </c>
      <c r="H137">
        <v>2.8083</v>
      </c>
      <c r="I137">
        <v>84.25</v>
      </c>
    </row>
    <row r="138" spans="1:9">
      <c r="A138" t="s">
        <v>208</v>
      </c>
      <c r="B138" t="s">
        <v>209</v>
      </c>
      <c r="C138" t="s">
        <v>210</v>
      </c>
      <c r="D138">
        <v>30</v>
      </c>
      <c r="E138">
        <v>12.57</v>
      </c>
      <c r="F138">
        <v>0.66</v>
      </c>
      <c r="G138">
        <v>0</v>
      </c>
      <c r="H138">
        <v>4.2737999999999996</v>
      </c>
      <c r="I138">
        <v>128.21</v>
      </c>
    </row>
    <row r="139" spans="1:9">
      <c r="A139" t="s">
        <v>211</v>
      </c>
      <c r="B139" t="s">
        <v>33</v>
      </c>
      <c r="C139" t="s">
        <v>34</v>
      </c>
      <c r="D139">
        <v>80</v>
      </c>
      <c r="E139">
        <v>0.42</v>
      </c>
      <c r="F139">
        <v>0</v>
      </c>
      <c r="G139">
        <v>0</v>
      </c>
      <c r="H139">
        <v>0.42</v>
      </c>
    </row>
    <row r="140" spans="1:9">
      <c r="A140" t="s">
        <v>211</v>
      </c>
      <c r="B140" t="s">
        <v>212</v>
      </c>
      <c r="C140" t="s">
        <v>213</v>
      </c>
      <c r="D140">
        <v>200</v>
      </c>
      <c r="E140">
        <v>6.7799999999999999E-2</v>
      </c>
      <c r="F140">
        <v>0</v>
      </c>
      <c r="G140">
        <v>0</v>
      </c>
      <c r="H140">
        <v>6.7799999999999999E-2</v>
      </c>
    </row>
    <row r="141" spans="1:9">
      <c r="A141" t="s">
        <v>214</v>
      </c>
      <c r="B141" t="s">
        <v>38</v>
      </c>
      <c r="C141" t="s">
        <v>39</v>
      </c>
      <c r="D141">
        <v>90</v>
      </c>
      <c r="E141">
        <v>7.68</v>
      </c>
      <c r="F141">
        <v>0.65</v>
      </c>
      <c r="G141">
        <v>0</v>
      </c>
      <c r="H141">
        <v>2.6879999999999997</v>
      </c>
      <c r="I141">
        <v>241.92</v>
      </c>
    </row>
    <row r="142" spans="1:9">
      <c r="A142" t="s">
        <v>214</v>
      </c>
      <c r="B142" t="s">
        <v>23</v>
      </c>
      <c r="C142" t="s">
        <v>24</v>
      </c>
      <c r="D142">
        <v>12</v>
      </c>
      <c r="E142">
        <v>7.59</v>
      </c>
      <c r="F142">
        <v>0.63</v>
      </c>
      <c r="G142">
        <v>0</v>
      </c>
      <c r="H142">
        <v>2.8083</v>
      </c>
      <c r="I142">
        <v>33.700000000000003</v>
      </c>
    </row>
    <row r="143" spans="1:9">
      <c r="A143" t="s">
        <v>215</v>
      </c>
      <c r="B143" t="s">
        <v>216</v>
      </c>
      <c r="C143" t="s">
        <v>217</v>
      </c>
      <c r="D143">
        <v>21</v>
      </c>
      <c r="E143">
        <v>6.95</v>
      </c>
      <c r="F143">
        <v>0.28000000000000003</v>
      </c>
      <c r="G143">
        <v>0</v>
      </c>
      <c r="H143">
        <v>5.0039999999999996</v>
      </c>
      <c r="I143">
        <v>105.08</v>
      </c>
    </row>
    <row r="144" spans="1:9">
      <c r="A144" t="s">
        <v>215</v>
      </c>
      <c r="B144" t="s">
        <v>218</v>
      </c>
      <c r="C144" t="s">
        <v>219</v>
      </c>
      <c r="D144">
        <v>21</v>
      </c>
      <c r="E144">
        <v>8.44</v>
      </c>
      <c r="F144">
        <v>0.28000000000000003</v>
      </c>
      <c r="G144">
        <v>0</v>
      </c>
      <c r="H144">
        <v>6.0767999999999995</v>
      </c>
      <c r="I144">
        <v>127.61</v>
      </c>
    </row>
    <row r="145" spans="1:9">
      <c r="A145" t="s">
        <v>215</v>
      </c>
      <c r="B145" t="s">
        <v>220</v>
      </c>
      <c r="C145" t="s">
        <v>221</v>
      </c>
      <c r="D145">
        <v>50</v>
      </c>
      <c r="E145">
        <v>2.9336000000000002</v>
      </c>
      <c r="F145">
        <v>0.28000000000000003</v>
      </c>
      <c r="G145">
        <v>0</v>
      </c>
      <c r="H145">
        <v>2.1121920000000003</v>
      </c>
      <c r="I145">
        <v>105.61</v>
      </c>
    </row>
    <row r="146" spans="1:9">
      <c r="A146" t="s">
        <v>222</v>
      </c>
      <c r="B146" t="s">
        <v>79</v>
      </c>
      <c r="C146" t="s">
        <v>80</v>
      </c>
      <c r="D146">
        <v>10</v>
      </c>
      <c r="E146">
        <v>62</v>
      </c>
      <c r="F146">
        <v>0</v>
      </c>
      <c r="G146">
        <v>0</v>
      </c>
      <c r="H146">
        <v>62</v>
      </c>
      <c r="I146">
        <v>620</v>
      </c>
    </row>
    <row r="147" spans="1:9">
      <c r="A147" t="s">
        <v>223</v>
      </c>
      <c r="B147" t="s">
        <v>45</v>
      </c>
      <c r="C147" t="s">
        <v>46</v>
      </c>
      <c r="D147">
        <v>9</v>
      </c>
      <c r="E147">
        <v>7.23</v>
      </c>
      <c r="F147">
        <v>0.25</v>
      </c>
      <c r="G147">
        <v>0</v>
      </c>
      <c r="H147">
        <v>5.4225000000000003</v>
      </c>
    </row>
    <row r="148" spans="1:9">
      <c r="A148" t="s">
        <v>223</v>
      </c>
      <c r="B148" t="s">
        <v>47</v>
      </c>
      <c r="C148" t="s">
        <v>48</v>
      </c>
      <c r="D148">
        <v>12</v>
      </c>
      <c r="E148">
        <v>5.55</v>
      </c>
      <c r="F148">
        <v>0.25</v>
      </c>
      <c r="G148">
        <v>0</v>
      </c>
      <c r="H148">
        <v>4.1624999999999996</v>
      </c>
    </row>
    <row r="149" spans="1:9">
      <c r="A149" t="s">
        <v>224</v>
      </c>
      <c r="B149" t="s">
        <v>110</v>
      </c>
      <c r="C149" t="s">
        <v>111</v>
      </c>
      <c r="D149">
        <v>9</v>
      </c>
      <c r="E149">
        <v>13.05</v>
      </c>
      <c r="F149">
        <v>0.6</v>
      </c>
      <c r="G149">
        <v>0</v>
      </c>
      <c r="H149">
        <v>5.2200000000000006</v>
      </c>
    </row>
    <row r="150" spans="1:9">
      <c r="A150" t="s">
        <v>224</v>
      </c>
      <c r="B150" t="s">
        <v>212</v>
      </c>
      <c r="C150" t="s">
        <v>213</v>
      </c>
      <c r="D150">
        <v>100</v>
      </c>
      <c r="E150">
        <v>6.7799999999999999E-2</v>
      </c>
      <c r="F150">
        <v>0</v>
      </c>
      <c r="G150">
        <v>0</v>
      </c>
      <c r="H150">
        <v>6.7799999999999999E-2</v>
      </c>
    </row>
    <row r="151" spans="1:9">
      <c r="A151" t="s">
        <v>225</v>
      </c>
      <c r="B151" t="s">
        <v>38</v>
      </c>
      <c r="C151" t="s">
        <v>39</v>
      </c>
      <c r="D151">
        <v>60</v>
      </c>
      <c r="E151">
        <v>7.68</v>
      </c>
      <c r="F151">
        <v>0.67</v>
      </c>
      <c r="G151">
        <v>0</v>
      </c>
      <c r="H151">
        <v>2.5343999999999998</v>
      </c>
      <c r="I151">
        <v>152.06</v>
      </c>
    </row>
    <row r="152" spans="1:9">
      <c r="A152" t="s">
        <v>225</v>
      </c>
      <c r="B152" t="s">
        <v>23</v>
      </c>
      <c r="C152" t="s">
        <v>24</v>
      </c>
      <c r="D152">
        <v>60</v>
      </c>
      <c r="E152">
        <v>7.59</v>
      </c>
      <c r="F152">
        <v>0.63</v>
      </c>
      <c r="G152">
        <v>0</v>
      </c>
      <c r="H152">
        <v>2.8083</v>
      </c>
      <c r="I152">
        <v>168.5</v>
      </c>
    </row>
    <row r="153" spans="1:9">
      <c r="A153" t="s">
        <v>225</v>
      </c>
      <c r="B153" t="s">
        <v>31</v>
      </c>
      <c r="C153" t="s">
        <v>32</v>
      </c>
      <c r="D153">
        <v>10</v>
      </c>
      <c r="E153">
        <v>6.48</v>
      </c>
      <c r="F153">
        <v>0.63</v>
      </c>
      <c r="G153">
        <v>0</v>
      </c>
      <c r="H153">
        <v>2.3976000000000002</v>
      </c>
      <c r="I153">
        <v>23.98</v>
      </c>
    </row>
    <row r="154" spans="1:9">
      <c r="A154" t="s">
        <v>225</v>
      </c>
      <c r="B154" t="s">
        <v>33</v>
      </c>
      <c r="C154" t="s">
        <v>34</v>
      </c>
      <c r="D154">
        <v>30</v>
      </c>
      <c r="E154">
        <v>1.05</v>
      </c>
      <c r="F154">
        <v>0.63</v>
      </c>
      <c r="G154">
        <v>0</v>
      </c>
      <c r="H154">
        <v>0.38850000000000001</v>
      </c>
      <c r="I154">
        <v>11.66</v>
      </c>
    </row>
    <row r="155" spans="1:9">
      <c r="A155" t="s">
        <v>225</v>
      </c>
      <c r="B155" t="s">
        <v>40</v>
      </c>
      <c r="C155" t="s">
        <v>226</v>
      </c>
      <c r="D155">
        <v>40</v>
      </c>
      <c r="E155">
        <v>1.1399999999999999</v>
      </c>
      <c r="F155">
        <v>0.63</v>
      </c>
      <c r="G155">
        <v>0</v>
      </c>
      <c r="H155">
        <v>0.42179999999999995</v>
      </c>
      <c r="I155">
        <v>16.87</v>
      </c>
    </row>
    <row r="156" spans="1:9">
      <c r="A156" t="s">
        <v>225</v>
      </c>
      <c r="B156" t="s">
        <v>42</v>
      </c>
      <c r="C156" t="s">
        <v>43</v>
      </c>
      <c r="D156">
        <v>3</v>
      </c>
      <c r="E156">
        <v>4.78</v>
      </c>
      <c r="F156">
        <v>0.63</v>
      </c>
      <c r="G156">
        <v>0</v>
      </c>
      <c r="H156">
        <v>1.7686000000000002</v>
      </c>
      <c r="I156">
        <v>5.31</v>
      </c>
    </row>
    <row r="157" spans="1:9">
      <c r="A157" t="s">
        <v>225</v>
      </c>
      <c r="B157" t="s">
        <v>227</v>
      </c>
      <c r="C157" t="s">
        <v>228</v>
      </c>
      <c r="D157">
        <v>2</v>
      </c>
      <c r="E157">
        <v>0.88</v>
      </c>
      <c r="F157">
        <v>0</v>
      </c>
      <c r="G157">
        <v>0</v>
      </c>
      <c r="H157">
        <v>0.88</v>
      </c>
      <c r="I157">
        <v>1.76</v>
      </c>
    </row>
    <row r="158" spans="1:9">
      <c r="A158" t="s">
        <v>225</v>
      </c>
      <c r="B158" t="s">
        <v>229</v>
      </c>
      <c r="C158" t="s">
        <v>228</v>
      </c>
      <c r="D158">
        <v>2</v>
      </c>
      <c r="E158">
        <v>0.88</v>
      </c>
      <c r="F158">
        <v>0</v>
      </c>
      <c r="G158">
        <v>0</v>
      </c>
      <c r="H158">
        <v>0.88</v>
      </c>
      <c r="I158">
        <v>1.76</v>
      </c>
    </row>
    <row r="159" spans="1:9">
      <c r="A159" t="s">
        <v>225</v>
      </c>
      <c r="B159" t="s">
        <v>230</v>
      </c>
      <c r="C159" t="s">
        <v>228</v>
      </c>
      <c r="D159">
        <v>2</v>
      </c>
      <c r="E159">
        <v>0.88</v>
      </c>
      <c r="F159">
        <v>0</v>
      </c>
      <c r="G159">
        <v>0</v>
      </c>
      <c r="H159">
        <v>0.88</v>
      </c>
      <c r="I159">
        <v>1.76</v>
      </c>
    </row>
    <row r="160" spans="1:9">
      <c r="A160" t="s">
        <v>225</v>
      </c>
      <c r="B160" t="s">
        <v>231</v>
      </c>
      <c r="C160" t="s">
        <v>228</v>
      </c>
      <c r="D160">
        <v>2</v>
      </c>
      <c r="E160">
        <v>0.88</v>
      </c>
      <c r="F160">
        <v>0</v>
      </c>
      <c r="G160">
        <v>0</v>
      </c>
      <c r="H160">
        <v>0.88</v>
      </c>
      <c r="I160">
        <v>1.76</v>
      </c>
    </row>
    <row r="161" spans="1:9">
      <c r="A161" t="s">
        <v>225</v>
      </c>
      <c r="B161" t="s">
        <v>232</v>
      </c>
      <c r="C161" t="s">
        <v>228</v>
      </c>
      <c r="D161">
        <v>2</v>
      </c>
      <c r="E161">
        <v>0.88</v>
      </c>
      <c r="F161">
        <v>0</v>
      </c>
      <c r="G161">
        <v>0</v>
      </c>
      <c r="H161">
        <v>0.88</v>
      </c>
      <c r="I161">
        <v>1.76</v>
      </c>
    </row>
    <row r="162" spans="1:9">
      <c r="A162" t="s">
        <v>225</v>
      </c>
      <c r="B162" t="s">
        <v>233</v>
      </c>
      <c r="C162" t="s">
        <v>228</v>
      </c>
      <c r="D162">
        <v>2</v>
      </c>
      <c r="E162">
        <v>0.88</v>
      </c>
      <c r="F162">
        <v>0</v>
      </c>
      <c r="G162">
        <v>0</v>
      </c>
      <c r="H162">
        <v>0.88</v>
      </c>
      <c r="I162">
        <v>1.76</v>
      </c>
    </row>
    <row r="163" spans="1:9">
      <c r="A163" t="s">
        <v>225</v>
      </c>
      <c r="B163" t="s">
        <v>234</v>
      </c>
      <c r="C163" t="s">
        <v>235</v>
      </c>
      <c r="D163">
        <v>2</v>
      </c>
      <c r="E163">
        <v>0.88</v>
      </c>
      <c r="F163">
        <v>0</v>
      </c>
      <c r="G163">
        <v>0</v>
      </c>
      <c r="H163">
        <v>0.88</v>
      </c>
      <c r="I163">
        <v>1.76</v>
      </c>
    </row>
    <row r="164" spans="1:9">
      <c r="A164" t="s">
        <v>225</v>
      </c>
      <c r="B164" t="s">
        <v>236</v>
      </c>
      <c r="C164" t="s">
        <v>235</v>
      </c>
      <c r="D164">
        <v>2</v>
      </c>
      <c r="E164">
        <v>0.88</v>
      </c>
      <c r="F164">
        <v>0</v>
      </c>
      <c r="G164">
        <v>0</v>
      </c>
      <c r="H164">
        <v>0.88</v>
      </c>
      <c r="I164">
        <v>1.76</v>
      </c>
    </row>
    <row r="165" spans="1:9">
      <c r="A165" t="s">
        <v>225</v>
      </c>
      <c r="B165" t="s">
        <v>237</v>
      </c>
      <c r="C165" t="s">
        <v>238</v>
      </c>
      <c r="D165">
        <v>1</v>
      </c>
      <c r="E165">
        <v>2.8</v>
      </c>
      <c r="F165">
        <v>0</v>
      </c>
      <c r="G165">
        <v>0</v>
      </c>
      <c r="H165">
        <v>2.8</v>
      </c>
      <c r="I165">
        <v>2.8</v>
      </c>
    </row>
    <row r="166" spans="1:9">
      <c r="A166" t="s">
        <v>239</v>
      </c>
      <c r="B166" t="s">
        <v>110</v>
      </c>
      <c r="C166" t="s">
        <v>111</v>
      </c>
      <c r="D166">
        <v>6</v>
      </c>
      <c r="E166">
        <v>13.05</v>
      </c>
      <c r="F166">
        <v>0.63</v>
      </c>
      <c r="G166">
        <v>0</v>
      </c>
      <c r="H166">
        <v>4.8285</v>
      </c>
      <c r="I166">
        <v>28.97</v>
      </c>
    </row>
    <row r="167" spans="1:9">
      <c r="A167" t="s">
        <v>240</v>
      </c>
      <c r="B167" t="s">
        <v>241</v>
      </c>
      <c r="C167" t="s">
        <v>242</v>
      </c>
      <c r="D167">
        <v>1</v>
      </c>
      <c r="E167">
        <v>3.85</v>
      </c>
      <c r="F167">
        <v>0.45</v>
      </c>
      <c r="G167">
        <v>0</v>
      </c>
      <c r="H167">
        <v>2.1175000000000002</v>
      </c>
      <c r="I167">
        <v>2.12</v>
      </c>
    </row>
    <row r="168" spans="1:9">
      <c r="A168" t="s">
        <v>240</v>
      </c>
      <c r="B168" t="s">
        <v>243</v>
      </c>
      <c r="C168" t="s">
        <v>244</v>
      </c>
      <c r="D168">
        <v>1</v>
      </c>
      <c r="E168">
        <v>3.85</v>
      </c>
      <c r="F168">
        <v>0.45</v>
      </c>
      <c r="G168">
        <v>0</v>
      </c>
      <c r="H168">
        <v>2.1175000000000002</v>
      </c>
      <c r="I168">
        <v>2.12</v>
      </c>
    </row>
    <row r="169" spans="1:9">
      <c r="A169" t="s">
        <v>240</v>
      </c>
      <c r="B169" t="s">
        <v>245</v>
      </c>
      <c r="C169" t="s">
        <v>246</v>
      </c>
      <c r="D169">
        <v>1</v>
      </c>
      <c r="E169">
        <v>3.85</v>
      </c>
      <c r="F169">
        <v>0.45</v>
      </c>
      <c r="G169">
        <v>0</v>
      </c>
      <c r="H169">
        <v>2.1175000000000002</v>
      </c>
      <c r="I169">
        <v>2.12</v>
      </c>
    </row>
    <row r="170" spans="1:9">
      <c r="A170" t="s">
        <v>240</v>
      </c>
      <c r="B170" t="s">
        <v>247</v>
      </c>
      <c r="C170" t="s">
        <v>248</v>
      </c>
      <c r="D170">
        <v>1</v>
      </c>
      <c r="E170">
        <v>3.85</v>
      </c>
      <c r="F170">
        <v>0.45</v>
      </c>
      <c r="G170">
        <v>0</v>
      </c>
      <c r="H170">
        <v>2.1175000000000002</v>
      </c>
      <c r="I170">
        <v>2.12</v>
      </c>
    </row>
    <row r="171" spans="1:9">
      <c r="A171" t="s">
        <v>240</v>
      </c>
      <c r="B171" t="s">
        <v>249</v>
      </c>
      <c r="C171" t="s">
        <v>250</v>
      </c>
      <c r="D171">
        <v>1</v>
      </c>
      <c r="E171">
        <v>12.33</v>
      </c>
      <c r="F171">
        <v>0.45</v>
      </c>
      <c r="G171">
        <v>0</v>
      </c>
      <c r="H171">
        <v>6.7815000000000003</v>
      </c>
      <c r="I171">
        <v>6.78</v>
      </c>
    </row>
    <row r="172" spans="1:9">
      <c r="A172" t="s">
        <v>240</v>
      </c>
      <c r="B172" t="s">
        <v>251</v>
      </c>
      <c r="C172" t="s">
        <v>252</v>
      </c>
      <c r="D172">
        <v>1</v>
      </c>
      <c r="E172">
        <v>5.15</v>
      </c>
      <c r="F172">
        <v>0.45</v>
      </c>
      <c r="G172">
        <v>0</v>
      </c>
      <c r="H172">
        <v>2.8325000000000005</v>
      </c>
      <c r="I172">
        <v>2.83</v>
      </c>
    </row>
    <row r="173" spans="1:9">
      <c r="A173" t="s">
        <v>240</v>
      </c>
      <c r="B173" t="s">
        <v>253</v>
      </c>
      <c r="C173" t="s">
        <v>254</v>
      </c>
      <c r="D173">
        <v>1</v>
      </c>
      <c r="E173">
        <v>5.15</v>
      </c>
      <c r="F173">
        <v>0.45</v>
      </c>
      <c r="G173">
        <v>0</v>
      </c>
      <c r="H173">
        <v>2.8325000000000005</v>
      </c>
      <c r="I173">
        <v>2.83</v>
      </c>
    </row>
    <row r="174" spans="1:9">
      <c r="A174" t="s">
        <v>240</v>
      </c>
      <c r="B174" t="s">
        <v>255</v>
      </c>
      <c r="C174" t="s">
        <v>256</v>
      </c>
      <c r="D174">
        <v>1</v>
      </c>
      <c r="E174">
        <v>5.15</v>
      </c>
      <c r="F174">
        <v>0.45</v>
      </c>
      <c r="G174">
        <v>0</v>
      </c>
      <c r="H174">
        <v>2.8325000000000005</v>
      </c>
      <c r="I174">
        <v>2.83</v>
      </c>
    </row>
    <row r="175" spans="1:9">
      <c r="A175" t="s">
        <v>240</v>
      </c>
      <c r="B175" t="s">
        <v>257</v>
      </c>
      <c r="C175" t="s">
        <v>258</v>
      </c>
      <c r="D175">
        <v>1</v>
      </c>
      <c r="E175">
        <v>5.15</v>
      </c>
      <c r="F175">
        <v>0.45</v>
      </c>
      <c r="G175">
        <v>0</v>
      </c>
      <c r="H175">
        <v>2.8325000000000005</v>
      </c>
      <c r="I175">
        <v>2.83</v>
      </c>
    </row>
    <row r="176" spans="1:9">
      <c r="A176" t="s">
        <v>240</v>
      </c>
      <c r="B176" t="s">
        <v>259</v>
      </c>
      <c r="C176" t="s">
        <v>260</v>
      </c>
      <c r="D176">
        <v>1</v>
      </c>
      <c r="E176">
        <v>15.29</v>
      </c>
      <c r="F176">
        <v>0.45</v>
      </c>
      <c r="G176">
        <v>0</v>
      </c>
      <c r="H176">
        <v>8.4094999999999995</v>
      </c>
      <c r="I176">
        <v>8.41</v>
      </c>
    </row>
    <row r="177" spans="1:9">
      <c r="A177" t="s">
        <v>240</v>
      </c>
      <c r="B177" t="s">
        <v>27</v>
      </c>
      <c r="C177" t="s">
        <v>261</v>
      </c>
      <c r="D177">
        <v>10</v>
      </c>
      <c r="E177">
        <v>11.09</v>
      </c>
      <c r="F177">
        <v>0.63</v>
      </c>
      <c r="G177">
        <v>0</v>
      </c>
      <c r="H177">
        <v>4.1032999999999999</v>
      </c>
      <c r="I177">
        <v>41.03</v>
      </c>
    </row>
    <row r="178" spans="1:9">
      <c r="A178" t="s">
        <v>240</v>
      </c>
      <c r="B178" t="s">
        <v>40</v>
      </c>
      <c r="C178" t="s">
        <v>41</v>
      </c>
      <c r="D178">
        <v>50</v>
      </c>
      <c r="E178">
        <v>1.1399999999999999</v>
      </c>
      <c r="F178">
        <v>0.63</v>
      </c>
      <c r="G178">
        <v>0</v>
      </c>
      <c r="H178">
        <v>0.42179999999999995</v>
      </c>
      <c r="I178">
        <v>21.09</v>
      </c>
    </row>
    <row r="179" spans="1:9">
      <c r="A179" t="s">
        <v>240</v>
      </c>
      <c r="B179" t="s">
        <v>76</v>
      </c>
      <c r="C179" t="s">
        <v>77</v>
      </c>
      <c r="D179">
        <v>12</v>
      </c>
      <c r="E179">
        <v>16.98</v>
      </c>
      <c r="F179">
        <v>0.66</v>
      </c>
      <c r="G179">
        <v>0</v>
      </c>
      <c r="H179">
        <v>5.7731999999999992</v>
      </c>
      <c r="I179">
        <v>69.28</v>
      </c>
    </row>
    <row r="180" spans="1:9">
      <c r="A180" t="s">
        <v>262</v>
      </c>
      <c r="B180" t="s">
        <v>42</v>
      </c>
      <c r="C180" t="s">
        <v>43</v>
      </c>
      <c r="D180">
        <v>10</v>
      </c>
      <c r="E180">
        <v>4.78</v>
      </c>
      <c r="F180">
        <v>0.6</v>
      </c>
      <c r="G180">
        <v>0</v>
      </c>
      <c r="H180">
        <v>1.9120000000000001</v>
      </c>
      <c r="I180">
        <v>19.12</v>
      </c>
    </row>
    <row r="181" spans="1:9">
      <c r="A181" t="s">
        <v>263</v>
      </c>
      <c r="B181" t="s">
        <v>38</v>
      </c>
      <c r="C181" t="s">
        <v>39</v>
      </c>
      <c r="D181">
        <v>81</v>
      </c>
      <c r="E181">
        <v>7.68</v>
      </c>
      <c r="F181">
        <v>0.6</v>
      </c>
      <c r="G181">
        <v>0</v>
      </c>
      <c r="H181">
        <v>3.0720000000000001</v>
      </c>
      <c r="I181">
        <v>248.83</v>
      </c>
    </row>
    <row r="182" spans="1:9">
      <c r="A182" t="s">
        <v>263</v>
      </c>
      <c r="B182" t="s">
        <v>23</v>
      </c>
      <c r="C182" t="s">
        <v>24</v>
      </c>
      <c r="D182">
        <v>81</v>
      </c>
      <c r="E182">
        <v>7.59</v>
      </c>
      <c r="F182">
        <v>0.6</v>
      </c>
      <c r="G182">
        <v>0</v>
      </c>
      <c r="H182">
        <v>3.036</v>
      </c>
      <c r="I182">
        <v>245.92</v>
      </c>
    </row>
    <row r="183" spans="1:9">
      <c r="A183" t="s">
        <v>263</v>
      </c>
      <c r="B183" t="s">
        <v>33</v>
      </c>
      <c r="C183" t="s">
        <v>34</v>
      </c>
      <c r="D183">
        <v>150</v>
      </c>
      <c r="E183">
        <v>1.05</v>
      </c>
      <c r="F183">
        <v>0.5</v>
      </c>
      <c r="G183">
        <v>0</v>
      </c>
      <c r="H183">
        <v>0.52500000000000002</v>
      </c>
      <c r="I183">
        <v>78.75</v>
      </c>
    </row>
    <row r="184" spans="1:9">
      <c r="A184" t="s">
        <v>263</v>
      </c>
      <c r="B184" t="s">
        <v>40</v>
      </c>
      <c r="C184" t="s">
        <v>41</v>
      </c>
      <c r="D184">
        <v>100</v>
      </c>
      <c r="E184">
        <v>1.1399999999999999</v>
      </c>
      <c r="F184">
        <v>0.6</v>
      </c>
      <c r="G184">
        <v>0</v>
      </c>
      <c r="H184">
        <v>0.45599999999999996</v>
      </c>
      <c r="I184">
        <v>45.6</v>
      </c>
    </row>
    <row r="185" spans="1:9">
      <c r="A185" t="s">
        <v>263</v>
      </c>
      <c r="B185" t="s">
        <v>31</v>
      </c>
      <c r="C185" t="s">
        <v>32</v>
      </c>
      <c r="D185">
        <v>60</v>
      </c>
      <c r="E185">
        <v>2.54</v>
      </c>
      <c r="F185">
        <v>0</v>
      </c>
      <c r="G185">
        <v>0</v>
      </c>
      <c r="H185">
        <v>2.54</v>
      </c>
      <c r="I185">
        <v>152.4</v>
      </c>
    </row>
    <row r="186" spans="1:9">
      <c r="A186" t="s">
        <v>264</v>
      </c>
      <c r="B186" t="s">
        <v>265</v>
      </c>
      <c r="C186" t="s">
        <v>266</v>
      </c>
      <c r="D186">
        <v>10</v>
      </c>
      <c r="E186">
        <v>3.4</v>
      </c>
      <c r="F186">
        <v>0.45</v>
      </c>
      <c r="G186">
        <v>0</v>
      </c>
      <c r="H186">
        <v>1.87</v>
      </c>
      <c r="I186">
        <v>18.7</v>
      </c>
    </row>
    <row r="187" spans="1:9">
      <c r="A187" t="s">
        <v>264</v>
      </c>
      <c r="B187" t="s">
        <v>267</v>
      </c>
      <c r="C187" t="s">
        <v>268</v>
      </c>
      <c r="D187">
        <v>2</v>
      </c>
      <c r="E187">
        <v>0.74</v>
      </c>
      <c r="F187">
        <v>0.45</v>
      </c>
      <c r="G187">
        <v>0</v>
      </c>
      <c r="H187">
        <v>0.40700000000000003</v>
      </c>
      <c r="I187">
        <v>0.81</v>
      </c>
    </row>
    <row r="188" spans="1:9">
      <c r="A188" t="s">
        <v>264</v>
      </c>
      <c r="B188" t="s">
        <v>269</v>
      </c>
      <c r="C188" t="s">
        <v>270</v>
      </c>
      <c r="D188">
        <v>2</v>
      </c>
      <c r="E188">
        <v>0.74</v>
      </c>
      <c r="F188">
        <v>0.45</v>
      </c>
      <c r="G188">
        <v>0</v>
      </c>
      <c r="H188">
        <v>0.40700000000000003</v>
      </c>
      <c r="I188">
        <v>0.81</v>
      </c>
    </row>
    <row r="189" spans="1:9">
      <c r="A189" t="s">
        <v>264</v>
      </c>
      <c r="B189" t="s">
        <v>271</v>
      </c>
      <c r="C189" t="s">
        <v>272</v>
      </c>
      <c r="D189">
        <v>100</v>
      </c>
      <c r="E189">
        <v>4.03</v>
      </c>
      <c r="F189">
        <v>0.55000000000000004</v>
      </c>
      <c r="G189">
        <v>0</v>
      </c>
      <c r="H189">
        <v>1.8134999999999999</v>
      </c>
      <c r="I189">
        <v>181.35</v>
      </c>
    </row>
    <row r="190" spans="1:9">
      <c r="A190" t="s">
        <v>264</v>
      </c>
      <c r="B190" t="s">
        <v>273</v>
      </c>
      <c r="C190" t="s">
        <v>274</v>
      </c>
      <c r="D190">
        <v>50</v>
      </c>
      <c r="E190">
        <v>2.2599999999999998</v>
      </c>
      <c r="F190">
        <v>0.55000000000000004</v>
      </c>
      <c r="G190">
        <v>0</v>
      </c>
      <c r="H190">
        <v>1.0169999999999999</v>
      </c>
      <c r="I190">
        <v>50.85</v>
      </c>
    </row>
    <row r="191" spans="1:9">
      <c r="A191" t="s">
        <v>264</v>
      </c>
      <c r="B191" t="s">
        <v>275</v>
      </c>
      <c r="C191" t="s">
        <v>276</v>
      </c>
      <c r="D191">
        <v>100</v>
      </c>
      <c r="E191">
        <v>0.82</v>
      </c>
      <c r="F191">
        <v>0.55000000000000004</v>
      </c>
      <c r="G191">
        <v>0</v>
      </c>
      <c r="H191">
        <v>0.36899999999999994</v>
      </c>
      <c r="I191">
        <v>36.9</v>
      </c>
    </row>
    <row r="192" spans="1:9">
      <c r="A192" t="s">
        <v>264</v>
      </c>
      <c r="B192" t="s">
        <v>277</v>
      </c>
      <c r="C192" t="s">
        <v>278</v>
      </c>
      <c r="D192">
        <v>100</v>
      </c>
      <c r="E192">
        <v>0.05</v>
      </c>
      <c r="F192">
        <v>0</v>
      </c>
      <c r="G192">
        <v>0</v>
      </c>
      <c r="H192">
        <v>0.05</v>
      </c>
      <c r="I192">
        <v>5</v>
      </c>
    </row>
    <row r="193" spans="1:9">
      <c r="A193" t="s">
        <v>264</v>
      </c>
      <c r="B193" t="s">
        <v>279</v>
      </c>
      <c r="C193" t="s">
        <v>280</v>
      </c>
      <c r="D193">
        <v>1</v>
      </c>
      <c r="E193">
        <v>1.5</v>
      </c>
      <c r="F193">
        <v>0</v>
      </c>
      <c r="G193">
        <v>0</v>
      </c>
      <c r="H193">
        <v>1.5</v>
      </c>
      <c r="I193">
        <v>1.5</v>
      </c>
    </row>
    <row r="194" spans="1:9">
      <c r="A194" t="s">
        <v>281</v>
      </c>
      <c r="B194" t="s">
        <v>38</v>
      </c>
      <c r="C194" t="s">
        <v>282</v>
      </c>
      <c r="D194">
        <v>300</v>
      </c>
      <c r="E194">
        <v>2.46</v>
      </c>
      <c r="F194">
        <v>0</v>
      </c>
      <c r="G194">
        <v>0</v>
      </c>
      <c r="H194">
        <v>2.46</v>
      </c>
      <c r="I194">
        <v>738</v>
      </c>
    </row>
    <row r="195" spans="1:9">
      <c r="A195" t="s">
        <v>281</v>
      </c>
      <c r="B195" t="s">
        <v>23</v>
      </c>
      <c r="C195" t="s">
        <v>24</v>
      </c>
      <c r="D195">
        <v>300</v>
      </c>
      <c r="E195">
        <v>2.4300000000000002</v>
      </c>
      <c r="F195">
        <v>0</v>
      </c>
      <c r="G195">
        <v>0</v>
      </c>
      <c r="H195">
        <v>2.4300000000000002</v>
      </c>
      <c r="I195">
        <v>729</v>
      </c>
    </row>
    <row r="196" spans="1:9">
      <c r="A196" t="s">
        <v>281</v>
      </c>
      <c r="B196" t="s">
        <v>40</v>
      </c>
      <c r="C196" t="s">
        <v>41</v>
      </c>
      <c r="D196">
        <v>100</v>
      </c>
      <c r="E196">
        <v>0.36</v>
      </c>
      <c r="F196">
        <v>0</v>
      </c>
      <c r="G196">
        <v>0</v>
      </c>
      <c r="H196">
        <v>0.36</v>
      </c>
      <c r="I196">
        <v>36</v>
      </c>
    </row>
    <row r="197" spans="1:9">
      <c r="A197" t="s">
        <v>281</v>
      </c>
      <c r="B197" t="s">
        <v>283</v>
      </c>
      <c r="C197" t="s">
        <v>284</v>
      </c>
      <c r="D197">
        <v>200</v>
      </c>
      <c r="E197">
        <v>0.36</v>
      </c>
      <c r="F197">
        <v>0</v>
      </c>
      <c r="G197">
        <v>0</v>
      </c>
      <c r="H197">
        <v>0.36</v>
      </c>
      <c r="I197">
        <v>72</v>
      </c>
    </row>
    <row r="198" spans="1:9">
      <c r="A198" t="s">
        <v>281</v>
      </c>
      <c r="B198" t="s">
        <v>31</v>
      </c>
      <c r="C198" t="s">
        <v>32</v>
      </c>
      <c r="D198">
        <v>100</v>
      </c>
      <c r="E198">
        <v>2.0699999999999998</v>
      </c>
      <c r="F198">
        <v>0</v>
      </c>
      <c r="G198">
        <v>0</v>
      </c>
      <c r="H198">
        <v>2.0699999999999998</v>
      </c>
      <c r="I198">
        <v>207</v>
      </c>
    </row>
    <row r="199" spans="1:9">
      <c r="A199" t="s">
        <v>285</v>
      </c>
      <c r="B199" t="s">
        <v>79</v>
      </c>
      <c r="C199" t="s">
        <v>286</v>
      </c>
      <c r="D199">
        <v>10</v>
      </c>
      <c r="E199">
        <v>52</v>
      </c>
      <c r="F199">
        <v>0</v>
      </c>
      <c r="G199">
        <v>0</v>
      </c>
      <c r="H199">
        <v>52</v>
      </c>
      <c r="I199">
        <v>520</v>
      </c>
    </row>
    <row r="200" spans="1:9">
      <c r="A200" t="s">
        <v>287</v>
      </c>
      <c r="B200" t="s">
        <v>288</v>
      </c>
      <c r="C200" t="s">
        <v>289</v>
      </c>
      <c r="D200">
        <v>50</v>
      </c>
      <c r="E200">
        <v>0.42</v>
      </c>
      <c r="F200">
        <v>0</v>
      </c>
      <c r="G200">
        <v>0</v>
      </c>
      <c r="H200">
        <v>0.42</v>
      </c>
      <c r="I200">
        <v>21</v>
      </c>
    </row>
    <row r="201" spans="1:9">
      <c r="A201" t="s">
        <v>290</v>
      </c>
      <c r="B201" t="s">
        <v>38</v>
      </c>
      <c r="C201" t="s">
        <v>39</v>
      </c>
      <c r="D201">
        <v>81</v>
      </c>
      <c r="E201">
        <v>2.25</v>
      </c>
      <c r="F201">
        <v>0</v>
      </c>
      <c r="G201">
        <v>0</v>
      </c>
      <c r="H201">
        <v>2.25</v>
      </c>
      <c r="I201">
        <v>182.25</v>
      </c>
    </row>
    <row r="202" spans="1:9">
      <c r="A202" t="s">
        <v>290</v>
      </c>
      <c r="B202" t="s">
        <v>23</v>
      </c>
      <c r="C202" t="s">
        <v>24</v>
      </c>
      <c r="D202">
        <v>81</v>
      </c>
      <c r="E202">
        <v>2.23</v>
      </c>
      <c r="F202">
        <v>0</v>
      </c>
      <c r="G202">
        <v>0</v>
      </c>
      <c r="H202">
        <v>2.23</v>
      </c>
      <c r="I202">
        <v>180.63</v>
      </c>
    </row>
    <row r="203" spans="1:9">
      <c r="A203" t="s">
        <v>290</v>
      </c>
      <c r="B203" t="s">
        <v>33</v>
      </c>
      <c r="C203" t="s">
        <v>34</v>
      </c>
      <c r="D203">
        <v>150</v>
      </c>
      <c r="E203">
        <v>0.3</v>
      </c>
      <c r="F203">
        <v>0</v>
      </c>
      <c r="G203">
        <v>0</v>
      </c>
      <c r="H203">
        <v>0.3</v>
      </c>
      <c r="I203">
        <v>45</v>
      </c>
    </row>
    <row r="204" spans="1:9">
      <c r="A204" t="s">
        <v>290</v>
      </c>
      <c r="B204" t="s">
        <v>40</v>
      </c>
      <c r="C204" t="s">
        <v>41</v>
      </c>
      <c r="D204">
        <v>100</v>
      </c>
      <c r="E204">
        <v>0.34</v>
      </c>
      <c r="F204">
        <v>0</v>
      </c>
      <c r="G204">
        <v>0</v>
      </c>
      <c r="H204">
        <v>0.34</v>
      </c>
      <c r="I204">
        <v>34</v>
      </c>
    </row>
    <row r="205" spans="1:9">
      <c r="A205" t="s">
        <v>290</v>
      </c>
      <c r="B205" t="s">
        <v>31</v>
      </c>
      <c r="C205" t="s">
        <v>32</v>
      </c>
      <c r="D205">
        <v>60</v>
      </c>
      <c r="E205">
        <v>1.9</v>
      </c>
      <c r="F205">
        <v>0</v>
      </c>
      <c r="G205">
        <v>0</v>
      </c>
      <c r="H205">
        <v>1.9</v>
      </c>
      <c r="I205">
        <v>114</v>
      </c>
    </row>
    <row r="206" spans="1:9">
      <c r="A206" t="s">
        <v>291</v>
      </c>
      <c r="B206" t="s">
        <v>42</v>
      </c>
      <c r="C206" t="s">
        <v>292</v>
      </c>
      <c r="D206">
        <v>10</v>
      </c>
      <c r="E206">
        <v>1.4019999999999999</v>
      </c>
      <c r="F206">
        <v>0</v>
      </c>
      <c r="G206">
        <v>0</v>
      </c>
      <c r="H206">
        <v>1.4019999999999999</v>
      </c>
      <c r="I206">
        <v>14.02</v>
      </c>
    </row>
    <row r="207" spans="1:9">
      <c r="A207" t="s">
        <v>293</v>
      </c>
      <c r="B207" t="s">
        <v>38</v>
      </c>
      <c r="C207" t="s">
        <v>282</v>
      </c>
      <c r="D207">
        <v>300</v>
      </c>
      <c r="E207">
        <v>2.25</v>
      </c>
      <c r="F207">
        <v>0</v>
      </c>
      <c r="G207">
        <v>0</v>
      </c>
      <c r="H207">
        <v>2.25</v>
      </c>
      <c r="I207">
        <v>675</v>
      </c>
    </row>
    <row r="208" spans="1:9">
      <c r="A208" t="s">
        <v>293</v>
      </c>
      <c r="B208" t="s">
        <v>23</v>
      </c>
      <c r="C208" t="s">
        <v>24</v>
      </c>
      <c r="D208">
        <v>300</v>
      </c>
      <c r="E208">
        <v>2.23</v>
      </c>
      <c r="F208">
        <v>0</v>
      </c>
      <c r="G208">
        <v>0</v>
      </c>
      <c r="H208">
        <v>2.23</v>
      </c>
      <c r="I208">
        <v>669</v>
      </c>
    </row>
    <row r="209" spans="1:9">
      <c r="A209" t="s">
        <v>293</v>
      </c>
      <c r="B209" t="s">
        <v>40</v>
      </c>
      <c r="C209" t="s">
        <v>41</v>
      </c>
      <c r="D209">
        <v>100</v>
      </c>
      <c r="E209">
        <v>0.34</v>
      </c>
      <c r="F209">
        <v>0</v>
      </c>
      <c r="G209">
        <v>0</v>
      </c>
      <c r="H209">
        <v>0.34</v>
      </c>
      <c r="I209">
        <v>34</v>
      </c>
    </row>
    <row r="210" spans="1:9">
      <c r="A210" t="s">
        <v>293</v>
      </c>
      <c r="B210" t="s">
        <v>283</v>
      </c>
      <c r="C210" t="s">
        <v>284</v>
      </c>
      <c r="D210">
        <v>200</v>
      </c>
      <c r="E210">
        <v>0.3</v>
      </c>
      <c r="F210">
        <v>0</v>
      </c>
      <c r="G210">
        <v>0</v>
      </c>
      <c r="H210">
        <v>0.3</v>
      </c>
      <c r="I210">
        <v>60</v>
      </c>
    </row>
    <row r="211" spans="1:9">
      <c r="A211" t="s">
        <v>293</v>
      </c>
      <c r="B211" t="s">
        <v>31</v>
      </c>
      <c r="C211" t="s">
        <v>32</v>
      </c>
      <c r="D211">
        <v>100</v>
      </c>
      <c r="E211">
        <v>1.9</v>
      </c>
      <c r="F211">
        <v>0</v>
      </c>
      <c r="G211">
        <v>0</v>
      </c>
      <c r="H211">
        <v>1.9</v>
      </c>
      <c r="I211">
        <v>190</v>
      </c>
    </row>
    <row r="212" spans="1:9">
      <c r="A212" t="s">
        <v>294</v>
      </c>
      <c r="B212" t="s">
        <v>295</v>
      </c>
      <c r="C212" t="s">
        <v>296</v>
      </c>
      <c r="D212">
        <v>50</v>
      </c>
      <c r="E212">
        <v>4.51</v>
      </c>
      <c r="F212">
        <v>0</v>
      </c>
      <c r="G212">
        <v>0</v>
      </c>
      <c r="H212">
        <v>4.51</v>
      </c>
      <c r="I212">
        <v>225.5</v>
      </c>
    </row>
    <row r="213" spans="1:9">
      <c r="A213" t="s">
        <v>297</v>
      </c>
      <c r="B213" t="s">
        <v>298</v>
      </c>
      <c r="C213" t="s">
        <v>299</v>
      </c>
      <c r="D213">
        <v>200</v>
      </c>
      <c r="E213">
        <v>0.66</v>
      </c>
      <c r="F213">
        <v>0</v>
      </c>
      <c r="G213">
        <v>0</v>
      </c>
      <c r="H213">
        <v>0.66</v>
      </c>
      <c r="I213">
        <v>132</v>
      </c>
    </row>
    <row r="214" spans="1:9">
      <c r="A214" t="s">
        <v>297</v>
      </c>
      <c r="B214" t="s">
        <v>13</v>
      </c>
      <c r="C214" t="s">
        <v>300</v>
      </c>
      <c r="D214">
        <v>3</v>
      </c>
      <c r="E214">
        <v>3.62</v>
      </c>
      <c r="F214">
        <v>0</v>
      </c>
      <c r="G214">
        <v>0</v>
      </c>
      <c r="H214">
        <v>3.62</v>
      </c>
      <c r="I214">
        <v>10.86</v>
      </c>
    </row>
    <row r="215" spans="1:9">
      <c r="A215" t="s">
        <v>301</v>
      </c>
      <c r="B215" t="s">
        <v>302</v>
      </c>
      <c r="C215" t="s">
        <v>303</v>
      </c>
      <c r="D215">
        <v>305</v>
      </c>
      <c r="E215">
        <v>0.36</v>
      </c>
      <c r="F215">
        <v>0</v>
      </c>
      <c r="G215">
        <v>0</v>
      </c>
      <c r="H215">
        <v>0.36</v>
      </c>
      <c r="I215">
        <v>109.8</v>
      </c>
    </row>
    <row r="216" spans="1:9">
      <c r="A216" t="s">
        <v>301</v>
      </c>
      <c r="B216" t="s">
        <v>79</v>
      </c>
      <c r="C216" t="s">
        <v>304</v>
      </c>
      <c r="D216">
        <v>1</v>
      </c>
      <c r="E216">
        <v>62</v>
      </c>
      <c r="F216">
        <v>0</v>
      </c>
      <c r="G216">
        <v>0</v>
      </c>
      <c r="H216">
        <v>62</v>
      </c>
      <c r="I216">
        <v>62</v>
      </c>
    </row>
    <row r="217" spans="1:9">
      <c r="A217" t="s">
        <v>301</v>
      </c>
      <c r="B217" t="s">
        <v>89</v>
      </c>
      <c r="C217" t="s">
        <v>305</v>
      </c>
      <c r="D217">
        <v>2</v>
      </c>
      <c r="E217">
        <v>12.37</v>
      </c>
      <c r="F217">
        <v>0</v>
      </c>
      <c r="G217">
        <v>0</v>
      </c>
      <c r="H217">
        <v>12.37</v>
      </c>
      <c r="I217">
        <v>24.74</v>
      </c>
    </row>
    <row r="218" spans="1:9">
      <c r="A218" t="s">
        <v>301</v>
      </c>
      <c r="B218" t="s">
        <v>91</v>
      </c>
      <c r="C218" t="s">
        <v>306</v>
      </c>
      <c r="D218">
        <v>6</v>
      </c>
      <c r="E218">
        <v>0.36</v>
      </c>
      <c r="F218">
        <v>0</v>
      </c>
      <c r="G218">
        <v>0</v>
      </c>
      <c r="H218">
        <v>0.36</v>
      </c>
      <c r="I218">
        <v>2.16</v>
      </c>
    </row>
    <row r="219" spans="1:9">
      <c r="A219" t="s">
        <v>307</v>
      </c>
      <c r="B219" t="s">
        <v>308</v>
      </c>
      <c r="C219" t="s">
        <v>309</v>
      </c>
      <c r="D219">
        <v>1</v>
      </c>
      <c r="E219">
        <v>39.53</v>
      </c>
      <c r="F219">
        <v>0</v>
      </c>
      <c r="G219">
        <v>0</v>
      </c>
      <c r="H219">
        <v>39.53</v>
      </c>
      <c r="I219">
        <v>39.53</v>
      </c>
    </row>
    <row r="220" spans="1:9">
      <c r="A220" t="s">
        <v>310</v>
      </c>
      <c r="B220" t="s">
        <v>311</v>
      </c>
      <c r="C220" t="s">
        <v>312</v>
      </c>
      <c r="D220">
        <v>1</v>
      </c>
      <c r="E220">
        <v>67.81</v>
      </c>
      <c r="F220">
        <v>0.53</v>
      </c>
      <c r="G220">
        <v>0</v>
      </c>
      <c r="H220">
        <v>31.870699999999999</v>
      </c>
      <c r="I220">
        <v>31.87</v>
      </c>
    </row>
    <row r="221" spans="1:9">
      <c r="A221" t="s">
        <v>313</v>
      </c>
      <c r="B221" t="s">
        <v>314</v>
      </c>
      <c r="C221" t="s">
        <v>315</v>
      </c>
      <c r="D221">
        <v>300</v>
      </c>
      <c r="E221">
        <v>2.0299999999999998</v>
      </c>
      <c r="F221">
        <v>0</v>
      </c>
      <c r="G221">
        <v>0</v>
      </c>
      <c r="H221">
        <v>2.0299999999999998</v>
      </c>
      <c r="I221">
        <v>609</v>
      </c>
    </row>
    <row r="222" spans="1:9">
      <c r="A222" t="s">
        <v>316</v>
      </c>
      <c r="B222" t="s">
        <v>89</v>
      </c>
      <c r="C222" t="s">
        <v>305</v>
      </c>
      <c r="D222">
        <v>1</v>
      </c>
      <c r="E222">
        <v>13.64</v>
      </c>
      <c r="F222">
        <v>0</v>
      </c>
      <c r="G222">
        <v>0</v>
      </c>
      <c r="H222">
        <v>13.64</v>
      </c>
      <c r="I222">
        <v>13.64</v>
      </c>
    </row>
    <row r="223" spans="1:9">
      <c r="A223" t="s">
        <v>316</v>
      </c>
      <c r="B223" t="s">
        <v>91</v>
      </c>
      <c r="C223" t="s">
        <v>306</v>
      </c>
      <c r="D223">
        <v>3</v>
      </c>
      <c r="E223">
        <v>0.4</v>
      </c>
      <c r="F223">
        <v>0</v>
      </c>
      <c r="G223">
        <v>0</v>
      </c>
      <c r="H223">
        <v>0.4</v>
      </c>
      <c r="I223">
        <v>1.2</v>
      </c>
    </row>
    <row r="224" spans="1:9">
      <c r="A224" t="s">
        <v>316</v>
      </c>
      <c r="B224" t="s">
        <v>317</v>
      </c>
      <c r="C224" t="s">
        <v>318</v>
      </c>
      <c r="D224">
        <v>1</v>
      </c>
      <c r="E224">
        <v>31.52</v>
      </c>
      <c r="F224">
        <v>0</v>
      </c>
      <c r="G224">
        <v>0</v>
      </c>
      <c r="H224">
        <v>31.52</v>
      </c>
      <c r="I224">
        <v>31.52</v>
      </c>
    </row>
    <row r="225" spans="1:9">
      <c r="A225" t="s">
        <v>316</v>
      </c>
      <c r="B225" t="s">
        <v>319</v>
      </c>
      <c r="C225" t="s">
        <v>320</v>
      </c>
      <c r="D225">
        <v>2</v>
      </c>
      <c r="E225">
        <v>2.13</v>
      </c>
      <c r="F225">
        <v>0</v>
      </c>
      <c r="G225">
        <v>0</v>
      </c>
      <c r="H225">
        <v>2.13</v>
      </c>
      <c r="I225">
        <v>4.26</v>
      </c>
    </row>
    <row r="226" spans="1:9">
      <c r="A226" t="s">
        <v>316</v>
      </c>
      <c r="B226" t="s">
        <v>193</v>
      </c>
      <c r="C226" t="s">
        <v>321</v>
      </c>
      <c r="D226">
        <v>2</v>
      </c>
      <c r="E226">
        <v>2.2999999999999998</v>
      </c>
      <c r="F226">
        <v>0</v>
      </c>
      <c r="G226">
        <v>0</v>
      </c>
      <c r="H226">
        <v>2.2999999999999998</v>
      </c>
      <c r="I226">
        <v>4.5999999999999996</v>
      </c>
    </row>
    <row r="227" spans="1:9">
      <c r="A227" t="s">
        <v>316</v>
      </c>
      <c r="B227" t="s">
        <v>322</v>
      </c>
      <c r="C227" t="s">
        <v>323</v>
      </c>
      <c r="D227">
        <v>1</v>
      </c>
      <c r="E227">
        <v>1.98</v>
      </c>
      <c r="F227">
        <v>0</v>
      </c>
      <c r="G227">
        <v>0</v>
      </c>
      <c r="H227">
        <v>1.98</v>
      </c>
      <c r="I227">
        <v>1.98</v>
      </c>
    </row>
    <row r="228" spans="1:9">
      <c r="A228" t="s">
        <v>324</v>
      </c>
      <c r="B228" t="s">
        <v>325</v>
      </c>
      <c r="C228" t="s">
        <v>326</v>
      </c>
      <c r="D228">
        <v>1</v>
      </c>
      <c r="E228">
        <v>15.39</v>
      </c>
      <c r="F228">
        <v>0.53</v>
      </c>
      <c r="G228">
        <v>0</v>
      </c>
      <c r="H228">
        <v>7.2332999999999998</v>
      </c>
      <c r="I228">
        <v>7.23</v>
      </c>
    </row>
    <row r="229" spans="1:9">
      <c r="A229" t="s">
        <v>327</v>
      </c>
      <c r="B229" t="s">
        <v>328</v>
      </c>
      <c r="C229" t="s">
        <v>329</v>
      </c>
      <c r="D229">
        <v>5</v>
      </c>
      <c r="E229">
        <v>1.75</v>
      </c>
      <c r="F229">
        <v>0</v>
      </c>
      <c r="G229">
        <v>0</v>
      </c>
      <c r="H229">
        <v>1.75</v>
      </c>
    </row>
    <row r="230" spans="1:9">
      <c r="A230" t="s">
        <v>327</v>
      </c>
      <c r="B230" t="s">
        <v>330</v>
      </c>
      <c r="C230" t="s">
        <v>331</v>
      </c>
      <c r="D230">
        <v>5</v>
      </c>
      <c r="E230">
        <v>1.33</v>
      </c>
      <c r="F230">
        <v>0</v>
      </c>
      <c r="G230">
        <v>0</v>
      </c>
      <c r="H230">
        <v>1.33</v>
      </c>
    </row>
    <row r="231" spans="1:9">
      <c r="A231" t="s">
        <v>332</v>
      </c>
      <c r="B231" t="s">
        <v>333</v>
      </c>
      <c r="C231" t="s">
        <v>334</v>
      </c>
      <c r="D231">
        <v>3</v>
      </c>
      <c r="E231">
        <v>181.69</v>
      </c>
      <c r="F231">
        <v>0.3</v>
      </c>
      <c r="G231">
        <v>0</v>
      </c>
      <c r="H231">
        <v>127.18299999999999</v>
      </c>
      <c r="I231">
        <v>381.55</v>
      </c>
    </row>
    <row r="232" spans="1:9">
      <c r="A232" t="s">
        <v>332</v>
      </c>
      <c r="B232" t="s">
        <v>335</v>
      </c>
      <c r="C232" t="s">
        <v>336</v>
      </c>
      <c r="D232">
        <v>2</v>
      </c>
      <c r="E232">
        <v>20.37</v>
      </c>
      <c r="F232">
        <v>0</v>
      </c>
      <c r="G232">
        <v>0</v>
      </c>
      <c r="H232">
        <v>20.37</v>
      </c>
      <c r="I232">
        <v>40.74</v>
      </c>
    </row>
    <row r="233" spans="1:9">
      <c r="A233" t="s">
        <v>332</v>
      </c>
      <c r="B233" t="s">
        <v>337</v>
      </c>
      <c r="C233" t="s">
        <v>338</v>
      </c>
      <c r="D233">
        <v>1</v>
      </c>
      <c r="E233">
        <v>20.37</v>
      </c>
      <c r="F233">
        <v>0</v>
      </c>
      <c r="G233">
        <v>0</v>
      </c>
      <c r="H233">
        <v>20.37</v>
      </c>
      <c r="I233">
        <v>20.37</v>
      </c>
    </row>
    <row r="234" spans="1:9">
      <c r="A234" t="s">
        <v>339</v>
      </c>
      <c r="B234" t="s">
        <v>340</v>
      </c>
      <c r="C234" t="s">
        <v>341</v>
      </c>
      <c r="D234">
        <v>100</v>
      </c>
      <c r="E234">
        <v>3.16</v>
      </c>
      <c r="F234">
        <v>0.5</v>
      </c>
      <c r="G234">
        <v>0</v>
      </c>
      <c r="H234">
        <v>1.58</v>
      </c>
      <c r="I234">
        <v>158</v>
      </c>
    </row>
    <row r="235" spans="1:9">
      <c r="A235" t="s">
        <v>342</v>
      </c>
      <c r="B235" t="s">
        <v>38</v>
      </c>
      <c r="C235" t="s">
        <v>343</v>
      </c>
      <c r="D235">
        <v>201</v>
      </c>
      <c r="E235">
        <v>7.68</v>
      </c>
      <c r="F235">
        <v>0.68</v>
      </c>
      <c r="G235">
        <v>0</v>
      </c>
      <c r="H235">
        <v>2.4575999999999993</v>
      </c>
      <c r="I235">
        <v>493.98</v>
      </c>
    </row>
    <row r="236" spans="1:9">
      <c r="A236" t="s">
        <v>342</v>
      </c>
      <c r="B236" t="s">
        <v>21</v>
      </c>
      <c r="C236" t="s">
        <v>344</v>
      </c>
      <c r="D236">
        <v>252</v>
      </c>
      <c r="E236">
        <v>11.2</v>
      </c>
      <c r="F236">
        <v>0.68</v>
      </c>
      <c r="G236">
        <v>0</v>
      </c>
      <c r="H236">
        <v>3.5839999999999992</v>
      </c>
      <c r="I236">
        <v>903.17</v>
      </c>
    </row>
    <row r="237" spans="1:9">
      <c r="A237" t="s">
        <v>342</v>
      </c>
      <c r="B237" t="s">
        <v>23</v>
      </c>
      <c r="C237" t="s">
        <v>345</v>
      </c>
      <c r="D237">
        <v>450</v>
      </c>
      <c r="E237">
        <v>7.59</v>
      </c>
      <c r="F237">
        <v>0.68</v>
      </c>
      <c r="G237">
        <v>0</v>
      </c>
      <c r="H237">
        <v>2.4287999999999994</v>
      </c>
      <c r="I237">
        <v>1092.96</v>
      </c>
    </row>
    <row r="238" spans="1:9">
      <c r="A238" t="s">
        <v>342</v>
      </c>
      <c r="B238" t="s">
        <v>40</v>
      </c>
      <c r="C238" t="s">
        <v>346</v>
      </c>
      <c r="D238">
        <v>200</v>
      </c>
      <c r="E238">
        <v>1.1399999999999999</v>
      </c>
      <c r="F238">
        <v>0.68</v>
      </c>
      <c r="G238">
        <v>0</v>
      </c>
      <c r="H238">
        <v>0.3647999999999999</v>
      </c>
      <c r="I238">
        <v>72.959999999999994</v>
      </c>
    </row>
    <row r="239" spans="1:9">
      <c r="A239" t="s">
        <v>342</v>
      </c>
      <c r="B239" t="s">
        <v>33</v>
      </c>
      <c r="C239" t="s">
        <v>347</v>
      </c>
      <c r="D239">
        <v>150</v>
      </c>
      <c r="E239">
        <v>1.05</v>
      </c>
      <c r="F239">
        <v>0.68</v>
      </c>
      <c r="G239">
        <v>0</v>
      </c>
      <c r="H239">
        <v>0.33599999999999997</v>
      </c>
      <c r="I239">
        <v>50.4</v>
      </c>
    </row>
    <row r="240" spans="1:9">
      <c r="A240" t="s">
        <v>342</v>
      </c>
      <c r="B240" t="s">
        <v>42</v>
      </c>
      <c r="C240" t="s">
        <v>348</v>
      </c>
      <c r="D240">
        <v>10</v>
      </c>
      <c r="E240">
        <v>4.78</v>
      </c>
      <c r="F240">
        <v>0.68</v>
      </c>
      <c r="G240">
        <v>0</v>
      </c>
      <c r="H240">
        <v>1.5295999999999998</v>
      </c>
      <c r="I240">
        <v>15.3</v>
      </c>
    </row>
    <row r="241" spans="1:9">
      <c r="A241" t="s">
        <v>342</v>
      </c>
      <c r="B241" t="s">
        <v>29</v>
      </c>
      <c r="C241" t="s">
        <v>349</v>
      </c>
      <c r="D241">
        <v>10</v>
      </c>
      <c r="E241">
        <v>7.84</v>
      </c>
      <c r="F241">
        <v>0.68</v>
      </c>
      <c r="G241">
        <v>0</v>
      </c>
      <c r="H241">
        <v>2.5087999999999995</v>
      </c>
      <c r="I241">
        <v>25.09</v>
      </c>
    </row>
    <row r="242" spans="1:9">
      <c r="A242" t="s">
        <v>342</v>
      </c>
      <c r="B242" t="s">
        <v>25</v>
      </c>
      <c r="C242" t="s">
        <v>350</v>
      </c>
      <c r="D242">
        <v>10</v>
      </c>
      <c r="E242">
        <v>9.4600000000000009</v>
      </c>
      <c r="F242">
        <v>0.68</v>
      </c>
      <c r="G242">
        <v>0</v>
      </c>
      <c r="H242">
        <v>3.0271999999999997</v>
      </c>
      <c r="I242">
        <v>30.27</v>
      </c>
    </row>
    <row r="243" spans="1:9">
      <c r="A243" t="s">
        <v>342</v>
      </c>
      <c r="B243" t="s">
        <v>31</v>
      </c>
      <c r="C243" t="s">
        <v>351</v>
      </c>
      <c r="D243">
        <v>75</v>
      </c>
      <c r="E243">
        <v>6.48</v>
      </c>
      <c r="F243">
        <v>0.68</v>
      </c>
      <c r="G243">
        <v>0</v>
      </c>
      <c r="H243">
        <v>2.0735999999999999</v>
      </c>
      <c r="I243">
        <v>155.52000000000001</v>
      </c>
    </row>
    <row r="244" spans="1:9">
      <c r="A244" t="s">
        <v>342</v>
      </c>
      <c r="B244" t="s">
        <v>352</v>
      </c>
      <c r="C244" t="s">
        <v>353</v>
      </c>
      <c r="D244">
        <v>100</v>
      </c>
      <c r="E244">
        <v>1.8431999999999999</v>
      </c>
      <c r="F244">
        <v>0.6</v>
      </c>
      <c r="G244">
        <v>0</v>
      </c>
      <c r="H244">
        <v>0.73728000000000005</v>
      </c>
      <c r="I244">
        <v>73.73</v>
      </c>
    </row>
    <row r="245" spans="1:9">
      <c r="A245" t="s">
        <v>342</v>
      </c>
      <c r="B245" t="s">
        <v>354</v>
      </c>
      <c r="C245" t="s">
        <v>355</v>
      </c>
      <c r="D245">
        <v>100</v>
      </c>
      <c r="E245">
        <v>3.0901000000000001</v>
      </c>
      <c r="F245">
        <v>0.6</v>
      </c>
      <c r="G245">
        <v>0</v>
      </c>
      <c r="H245">
        <v>1.23604</v>
      </c>
      <c r="I245">
        <v>123.6</v>
      </c>
    </row>
    <row r="246" spans="1:9">
      <c r="A246" t="s">
        <v>342</v>
      </c>
      <c r="B246" t="s">
        <v>356</v>
      </c>
      <c r="C246" t="s">
        <v>357</v>
      </c>
      <c r="D246">
        <v>100</v>
      </c>
      <c r="E246">
        <v>5.1447000000000003</v>
      </c>
      <c r="F246">
        <v>0.6</v>
      </c>
      <c r="G246">
        <v>0</v>
      </c>
      <c r="H246">
        <v>2.0578800000000004</v>
      </c>
      <c r="I246">
        <v>205.79</v>
      </c>
    </row>
    <row r="247" spans="1:9">
      <c r="A247" t="s">
        <v>358</v>
      </c>
      <c r="B247" t="s">
        <v>359</v>
      </c>
      <c r="C247" t="s">
        <v>360</v>
      </c>
      <c r="D247">
        <v>20</v>
      </c>
      <c r="E247">
        <v>3.1587999999999998</v>
      </c>
      <c r="F247">
        <v>0.25</v>
      </c>
      <c r="G247">
        <v>0</v>
      </c>
      <c r="H247">
        <v>2.3691</v>
      </c>
      <c r="I247">
        <v>47.38</v>
      </c>
    </row>
    <row r="248" spans="1:9">
      <c r="A248" t="s">
        <v>361</v>
      </c>
      <c r="B248" t="s">
        <v>362</v>
      </c>
      <c r="C248" t="s">
        <v>363</v>
      </c>
      <c r="D248">
        <v>1</v>
      </c>
      <c r="E248">
        <v>119.95</v>
      </c>
      <c r="F248">
        <v>0</v>
      </c>
      <c r="G248">
        <v>0</v>
      </c>
      <c r="H248">
        <v>119.95</v>
      </c>
      <c r="I248">
        <v>119.95</v>
      </c>
    </row>
    <row r="249" spans="1:9">
      <c r="A249" t="s">
        <v>364</v>
      </c>
      <c r="B249" t="s">
        <v>79</v>
      </c>
      <c r="C249" t="s">
        <v>304</v>
      </c>
      <c r="D249">
        <v>10</v>
      </c>
      <c r="E249">
        <v>62</v>
      </c>
      <c r="F249">
        <v>0</v>
      </c>
      <c r="G249">
        <v>0</v>
      </c>
      <c r="H249">
        <v>62</v>
      </c>
      <c r="I249">
        <v>620</v>
      </c>
    </row>
    <row r="250" spans="1:9">
      <c r="A250" t="s">
        <v>364</v>
      </c>
      <c r="B250" t="s">
        <v>365</v>
      </c>
      <c r="C250" t="s">
        <v>366</v>
      </c>
      <c r="D250">
        <v>100</v>
      </c>
      <c r="E250">
        <v>0.48</v>
      </c>
      <c r="F250">
        <v>0</v>
      </c>
      <c r="G250">
        <v>0</v>
      </c>
      <c r="H250">
        <v>0.48</v>
      </c>
      <c r="I250">
        <v>48</v>
      </c>
    </row>
    <row r="251" spans="1:9">
      <c r="A251" t="s">
        <v>364</v>
      </c>
      <c r="B251" t="s">
        <v>367</v>
      </c>
      <c r="C251" t="s">
        <v>368</v>
      </c>
      <c r="D251">
        <v>50</v>
      </c>
      <c r="E251">
        <v>1.53</v>
      </c>
      <c r="F251">
        <v>0</v>
      </c>
      <c r="G251">
        <v>0</v>
      </c>
      <c r="H251">
        <v>1.53</v>
      </c>
      <c r="I251">
        <v>76.5</v>
      </c>
    </row>
    <row r="252" spans="1:9">
      <c r="A252" t="s">
        <v>369</v>
      </c>
      <c r="B252" t="s">
        <v>29</v>
      </c>
      <c r="C252" t="s">
        <v>370</v>
      </c>
      <c r="D252">
        <v>10</v>
      </c>
      <c r="E252">
        <v>3.08</v>
      </c>
      <c r="F252">
        <v>0</v>
      </c>
      <c r="G252">
        <v>0</v>
      </c>
      <c r="H252">
        <v>3.08</v>
      </c>
      <c r="I252">
        <v>30.8</v>
      </c>
    </row>
    <row r="253" spans="1:9">
      <c r="A253" t="s">
        <v>371</v>
      </c>
      <c r="B253" t="s">
        <v>372</v>
      </c>
      <c r="C253" t="s">
        <v>373</v>
      </c>
      <c r="D253">
        <v>1</v>
      </c>
      <c r="E253">
        <v>3.66</v>
      </c>
      <c r="F253">
        <v>0</v>
      </c>
      <c r="G253">
        <v>0</v>
      </c>
      <c r="H253">
        <v>3.66</v>
      </c>
      <c r="I253">
        <v>3.66</v>
      </c>
    </row>
    <row r="254" spans="1:9">
      <c r="A254" t="s">
        <v>371</v>
      </c>
      <c r="B254" t="s">
        <v>374</v>
      </c>
      <c r="C254" t="s">
        <v>375</v>
      </c>
      <c r="D254">
        <v>1</v>
      </c>
      <c r="E254">
        <v>3.66</v>
      </c>
      <c r="F254">
        <v>0</v>
      </c>
      <c r="G254">
        <v>0</v>
      </c>
      <c r="H254">
        <v>3.66</v>
      </c>
      <c r="I254">
        <v>3.66</v>
      </c>
    </row>
    <row r="255" spans="1:9">
      <c r="A255" t="s">
        <v>371</v>
      </c>
      <c r="B255" t="s">
        <v>376</v>
      </c>
      <c r="C255" t="s">
        <v>377</v>
      </c>
      <c r="D255">
        <v>1</v>
      </c>
      <c r="E255">
        <v>3.66</v>
      </c>
      <c r="F255">
        <v>0</v>
      </c>
      <c r="G255">
        <v>0</v>
      </c>
      <c r="H255">
        <v>3.66</v>
      </c>
      <c r="I255">
        <v>3.66</v>
      </c>
    </row>
    <row r="256" spans="1:9">
      <c r="A256" t="s">
        <v>371</v>
      </c>
      <c r="B256" t="s">
        <v>378</v>
      </c>
      <c r="C256" t="s">
        <v>379</v>
      </c>
      <c r="D256">
        <v>1</v>
      </c>
      <c r="E256">
        <v>3.66</v>
      </c>
      <c r="F256">
        <v>0</v>
      </c>
      <c r="G256">
        <v>0</v>
      </c>
      <c r="H256">
        <v>3.66</v>
      </c>
      <c r="I256">
        <v>3.66</v>
      </c>
    </row>
    <row r="257" spans="1:9">
      <c r="A257" t="s">
        <v>371</v>
      </c>
      <c r="B257" t="s">
        <v>380</v>
      </c>
      <c r="C257" t="s">
        <v>381</v>
      </c>
      <c r="D257">
        <v>1</v>
      </c>
      <c r="E257">
        <v>7.74</v>
      </c>
      <c r="F257">
        <v>0</v>
      </c>
      <c r="G257">
        <v>0</v>
      </c>
      <c r="H257">
        <v>7.74</v>
      </c>
      <c r="I257">
        <v>7.74</v>
      </c>
    </row>
    <row r="258" spans="1:9">
      <c r="A258" t="s">
        <v>371</v>
      </c>
      <c r="B258" t="s">
        <v>382</v>
      </c>
      <c r="C258" t="s">
        <v>383</v>
      </c>
      <c r="D258">
        <v>1</v>
      </c>
      <c r="E258">
        <v>2.27</v>
      </c>
      <c r="F258">
        <v>0</v>
      </c>
      <c r="G258">
        <v>0</v>
      </c>
      <c r="H258">
        <v>2.27</v>
      </c>
      <c r="I258">
        <v>2.27</v>
      </c>
    </row>
    <row r="259" spans="1:9">
      <c r="A259" t="s">
        <v>371</v>
      </c>
      <c r="B259" t="s">
        <v>384</v>
      </c>
      <c r="C259" t="s">
        <v>385</v>
      </c>
      <c r="D259">
        <v>1</v>
      </c>
      <c r="E259">
        <v>2.27</v>
      </c>
      <c r="F259">
        <v>0</v>
      </c>
      <c r="G259">
        <v>0</v>
      </c>
      <c r="H259">
        <v>2.27</v>
      </c>
      <c r="I259">
        <v>2.27</v>
      </c>
    </row>
    <row r="260" spans="1:9">
      <c r="A260" t="s">
        <v>371</v>
      </c>
      <c r="B260" t="s">
        <v>386</v>
      </c>
      <c r="C260" t="s">
        <v>387</v>
      </c>
      <c r="D260">
        <v>1</v>
      </c>
      <c r="E260">
        <v>2.27</v>
      </c>
      <c r="F260">
        <v>0</v>
      </c>
      <c r="G260">
        <v>0</v>
      </c>
      <c r="H260">
        <v>2.27</v>
      </c>
      <c r="I260">
        <v>2.27</v>
      </c>
    </row>
    <row r="261" spans="1:9">
      <c r="A261" t="s">
        <v>371</v>
      </c>
      <c r="B261" t="s">
        <v>388</v>
      </c>
      <c r="C261" t="s">
        <v>389</v>
      </c>
      <c r="D261">
        <v>1</v>
      </c>
      <c r="E261">
        <v>2.27</v>
      </c>
      <c r="F261">
        <v>0</v>
      </c>
      <c r="G261">
        <v>0</v>
      </c>
      <c r="H261">
        <v>2.27</v>
      </c>
      <c r="I261">
        <v>2.27</v>
      </c>
    </row>
    <row r="262" spans="1:9">
      <c r="A262" t="s">
        <v>371</v>
      </c>
      <c r="B262" t="s">
        <v>390</v>
      </c>
      <c r="C262" t="s">
        <v>391</v>
      </c>
      <c r="D262">
        <v>1</v>
      </c>
      <c r="E262">
        <v>6.91</v>
      </c>
      <c r="F262">
        <v>0</v>
      </c>
      <c r="G262">
        <v>0</v>
      </c>
      <c r="H262">
        <v>6.91</v>
      </c>
      <c r="I262">
        <v>6.91</v>
      </c>
    </row>
    <row r="263" spans="1:9">
      <c r="A263" t="s">
        <v>371</v>
      </c>
      <c r="B263" t="s">
        <v>392</v>
      </c>
      <c r="C263" t="s">
        <v>393</v>
      </c>
      <c r="D263">
        <v>3</v>
      </c>
      <c r="E263">
        <v>1.58</v>
      </c>
      <c r="F263">
        <v>0</v>
      </c>
      <c r="G263">
        <v>0</v>
      </c>
      <c r="H263">
        <v>1.58</v>
      </c>
      <c r="I263">
        <v>4.74</v>
      </c>
    </row>
    <row r="264" spans="1:9">
      <c r="A264" t="s">
        <v>371</v>
      </c>
      <c r="B264" t="s">
        <v>394</v>
      </c>
      <c r="C264" t="s">
        <v>395</v>
      </c>
      <c r="D264">
        <v>3</v>
      </c>
      <c r="E264">
        <v>1.58</v>
      </c>
      <c r="F264">
        <v>0</v>
      </c>
      <c r="G264">
        <v>0</v>
      </c>
      <c r="H264">
        <v>1.58</v>
      </c>
      <c r="I264">
        <v>4.74</v>
      </c>
    </row>
    <row r="265" spans="1:9">
      <c r="A265" t="s">
        <v>371</v>
      </c>
      <c r="B265" t="s">
        <v>396</v>
      </c>
      <c r="C265" t="s">
        <v>397</v>
      </c>
      <c r="D265">
        <v>3</v>
      </c>
      <c r="E265">
        <v>1.58</v>
      </c>
      <c r="F265">
        <v>0</v>
      </c>
      <c r="G265">
        <v>0</v>
      </c>
      <c r="H265">
        <v>1.58</v>
      </c>
      <c r="I265">
        <v>4.74</v>
      </c>
    </row>
    <row r="266" spans="1:9">
      <c r="A266" t="s">
        <v>398</v>
      </c>
      <c r="B266" t="s">
        <v>399</v>
      </c>
      <c r="C266" t="s">
        <v>400</v>
      </c>
      <c r="D266">
        <v>100</v>
      </c>
      <c r="E266">
        <v>0.45</v>
      </c>
      <c r="F266">
        <v>0</v>
      </c>
      <c r="G266">
        <v>0</v>
      </c>
      <c r="H266">
        <v>0.45</v>
      </c>
      <c r="I266">
        <v>45</v>
      </c>
    </row>
    <row r="267" spans="1:9">
      <c r="A267" t="s">
        <v>398</v>
      </c>
      <c r="B267" t="s">
        <v>401</v>
      </c>
      <c r="C267" t="s">
        <v>402</v>
      </c>
      <c r="D267">
        <v>100</v>
      </c>
      <c r="E267">
        <v>0.55000000000000004</v>
      </c>
      <c r="F267">
        <v>0</v>
      </c>
      <c r="G267">
        <v>0</v>
      </c>
      <c r="H267">
        <v>0.55000000000000004</v>
      </c>
      <c r="I267">
        <v>55</v>
      </c>
    </row>
    <row r="268" spans="1:9">
      <c r="A268" t="s">
        <v>398</v>
      </c>
      <c r="B268" t="s">
        <v>403</v>
      </c>
      <c r="C268" t="s">
        <v>404</v>
      </c>
      <c r="D268">
        <v>100</v>
      </c>
      <c r="E268">
        <v>0.94</v>
      </c>
      <c r="F268">
        <v>0</v>
      </c>
      <c r="G268">
        <v>0</v>
      </c>
      <c r="H268">
        <v>0.94</v>
      </c>
      <c r="I268">
        <v>94</v>
      </c>
    </row>
    <row r="269" spans="1:9">
      <c r="A269" t="s">
        <v>398</v>
      </c>
      <c r="B269" t="s">
        <v>405</v>
      </c>
      <c r="C269" t="s">
        <v>406</v>
      </c>
      <c r="D269">
        <v>50</v>
      </c>
      <c r="E269">
        <v>1.88</v>
      </c>
      <c r="F269">
        <v>0</v>
      </c>
      <c r="G269">
        <v>0</v>
      </c>
      <c r="H269">
        <v>1.88</v>
      </c>
      <c r="I269">
        <v>94</v>
      </c>
    </row>
    <row r="270" spans="1:9">
      <c r="A270" t="s">
        <v>398</v>
      </c>
      <c r="B270" t="s">
        <v>407</v>
      </c>
      <c r="C270" t="s">
        <v>408</v>
      </c>
      <c r="D270">
        <v>20</v>
      </c>
      <c r="E270">
        <v>3.96</v>
      </c>
      <c r="F270">
        <v>0</v>
      </c>
      <c r="G270">
        <v>0</v>
      </c>
      <c r="H270">
        <v>3.96</v>
      </c>
      <c r="I270">
        <v>79.2</v>
      </c>
    </row>
    <row r="271" spans="1:9">
      <c r="A271" t="s">
        <v>409</v>
      </c>
      <c r="B271" t="s">
        <v>38</v>
      </c>
      <c r="C271" t="s">
        <v>410</v>
      </c>
      <c r="D271">
        <v>150</v>
      </c>
      <c r="E271">
        <v>7.68</v>
      </c>
      <c r="F271">
        <v>0.63</v>
      </c>
      <c r="G271">
        <v>0</v>
      </c>
      <c r="H271">
        <v>2.8415999999999997</v>
      </c>
      <c r="I271">
        <v>426.24</v>
      </c>
    </row>
    <row r="272" spans="1:9">
      <c r="A272" t="s">
        <v>409</v>
      </c>
      <c r="B272" t="s">
        <v>76</v>
      </c>
      <c r="C272" t="s">
        <v>411</v>
      </c>
      <c r="D272">
        <v>57</v>
      </c>
      <c r="E272">
        <v>16.649999999999999</v>
      </c>
      <c r="F272">
        <v>0.63</v>
      </c>
      <c r="G272">
        <v>0</v>
      </c>
      <c r="H272">
        <v>6.160499999999999</v>
      </c>
      <c r="I272">
        <v>351.15</v>
      </c>
    </row>
    <row r="273" spans="1:9">
      <c r="A273" t="s">
        <v>409</v>
      </c>
      <c r="B273" t="s">
        <v>29</v>
      </c>
      <c r="C273" t="s">
        <v>412</v>
      </c>
      <c r="D273">
        <v>5</v>
      </c>
      <c r="E273">
        <v>7.69</v>
      </c>
      <c r="F273">
        <v>0.6</v>
      </c>
      <c r="G273">
        <v>0</v>
      </c>
      <c r="H273">
        <v>3.0760000000000005</v>
      </c>
      <c r="I273">
        <v>15.38</v>
      </c>
    </row>
    <row r="274" spans="1:9">
      <c r="A274" t="s">
        <v>409</v>
      </c>
      <c r="B274" t="s">
        <v>23</v>
      </c>
      <c r="C274" t="s">
        <v>413</v>
      </c>
      <c r="D274">
        <v>129</v>
      </c>
      <c r="E274">
        <v>7.44</v>
      </c>
      <c r="F274">
        <v>0.6</v>
      </c>
      <c r="G274">
        <v>0</v>
      </c>
      <c r="H274">
        <v>2.9760000000000004</v>
      </c>
      <c r="I274">
        <v>383.9</v>
      </c>
    </row>
    <row r="275" spans="1:9">
      <c r="A275" t="s">
        <v>409</v>
      </c>
      <c r="B275" t="s">
        <v>110</v>
      </c>
      <c r="C275" t="s">
        <v>414</v>
      </c>
      <c r="D275">
        <v>102</v>
      </c>
      <c r="E275">
        <v>12.79</v>
      </c>
      <c r="F275">
        <v>0.6</v>
      </c>
      <c r="G275">
        <v>0</v>
      </c>
      <c r="H275">
        <v>5.1159999999999997</v>
      </c>
      <c r="I275">
        <v>521.83000000000004</v>
      </c>
    </row>
    <row r="276" spans="1:9">
      <c r="A276" t="s">
        <v>409</v>
      </c>
      <c r="B276" t="s">
        <v>415</v>
      </c>
      <c r="C276" t="s">
        <v>416</v>
      </c>
      <c r="D276">
        <v>10</v>
      </c>
      <c r="E276">
        <v>2.3199999999999998</v>
      </c>
      <c r="F276">
        <v>0</v>
      </c>
      <c r="G276">
        <v>0</v>
      </c>
      <c r="H276">
        <v>2.3199999999999998</v>
      </c>
      <c r="I276">
        <v>23.2</v>
      </c>
    </row>
    <row r="277" spans="1:9">
      <c r="A277" t="s">
        <v>409</v>
      </c>
      <c r="B277" t="s">
        <v>417</v>
      </c>
      <c r="C277" t="s">
        <v>418</v>
      </c>
      <c r="D277">
        <v>50</v>
      </c>
      <c r="E277">
        <v>1</v>
      </c>
      <c r="F277">
        <v>0</v>
      </c>
      <c r="G277">
        <v>0</v>
      </c>
      <c r="H277">
        <v>1</v>
      </c>
      <c r="I277">
        <v>50</v>
      </c>
    </row>
    <row r="278" spans="1:9">
      <c r="A278" t="s">
        <v>409</v>
      </c>
      <c r="B278" t="s">
        <v>419</v>
      </c>
      <c r="C278" t="s">
        <v>420</v>
      </c>
      <c r="D278">
        <v>1</v>
      </c>
      <c r="E278">
        <v>5</v>
      </c>
      <c r="F278">
        <v>0</v>
      </c>
      <c r="G278">
        <v>0</v>
      </c>
      <c r="H278">
        <v>5</v>
      </c>
      <c r="I278">
        <v>5</v>
      </c>
    </row>
    <row r="279" spans="1:9">
      <c r="A279" t="s">
        <v>409</v>
      </c>
      <c r="B279" t="s">
        <v>33</v>
      </c>
      <c r="C279" t="s">
        <v>421</v>
      </c>
      <c r="D279">
        <v>80</v>
      </c>
      <c r="E279">
        <v>1.05</v>
      </c>
      <c r="F279">
        <v>0.6</v>
      </c>
      <c r="G279">
        <v>0</v>
      </c>
      <c r="H279">
        <v>0.42000000000000004</v>
      </c>
      <c r="I279">
        <v>33.6</v>
      </c>
    </row>
    <row r="280" spans="1:9">
      <c r="A280" t="s">
        <v>409</v>
      </c>
      <c r="B280" t="s">
        <v>40</v>
      </c>
      <c r="C280" t="s">
        <v>346</v>
      </c>
      <c r="D280">
        <v>150</v>
      </c>
      <c r="E280">
        <v>1.1399999999999999</v>
      </c>
      <c r="F280">
        <v>0.6</v>
      </c>
      <c r="G280">
        <v>0</v>
      </c>
      <c r="H280">
        <v>0.45599999999999996</v>
      </c>
      <c r="I280">
        <v>68.400000000000006</v>
      </c>
    </row>
    <row r="281" spans="1:9">
      <c r="A281" t="s">
        <v>422</v>
      </c>
      <c r="B281" t="s">
        <v>38</v>
      </c>
      <c r="C281" t="s">
        <v>343</v>
      </c>
      <c r="D281">
        <v>219</v>
      </c>
      <c r="E281">
        <v>2.44</v>
      </c>
      <c r="F281">
        <v>0</v>
      </c>
      <c r="G281">
        <v>0</v>
      </c>
      <c r="H281">
        <v>2.44</v>
      </c>
      <c r="I281">
        <v>534.36</v>
      </c>
    </row>
    <row r="282" spans="1:9">
      <c r="A282" t="s">
        <v>422</v>
      </c>
      <c r="B282" t="s">
        <v>21</v>
      </c>
      <c r="C282" t="s">
        <v>344</v>
      </c>
      <c r="D282">
        <v>249</v>
      </c>
      <c r="E282">
        <v>3.56</v>
      </c>
      <c r="F282">
        <v>0</v>
      </c>
      <c r="G282">
        <v>0</v>
      </c>
      <c r="H282">
        <v>3.56</v>
      </c>
      <c r="I282">
        <v>886.44</v>
      </c>
    </row>
    <row r="283" spans="1:9">
      <c r="A283" t="s">
        <v>422</v>
      </c>
      <c r="B283" t="s">
        <v>23</v>
      </c>
      <c r="C283" t="s">
        <v>345</v>
      </c>
      <c r="D283">
        <v>66</v>
      </c>
      <c r="E283">
        <v>2.41</v>
      </c>
      <c r="F283">
        <v>0</v>
      </c>
      <c r="G283">
        <v>0</v>
      </c>
      <c r="H283">
        <v>2.41</v>
      </c>
      <c r="I283">
        <v>159.06</v>
      </c>
    </row>
    <row r="284" spans="1:9">
      <c r="A284" t="s">
        <v>422</v>
      </c>
      <c r="B284" t="s">
        <v>40</v>
      </c>
      <c r="C284" t="s">
        <v>346</v>
      </c>
      <c r="D284">
        <v>250</v>
      </c>
      <c r="E284">
        <v>0.36</v>
      </c>
      <c r="F284">
        <v>0</v>
      </c>
      <c r="G284">
        <v>0</v>
      </c>
      <c r="H284">
        <v>0.36</v>
      </c>
      <c r="I284">
        <v>90</v>
      </c>
    </row>
    <row r="285" spans="1:9">
      <c r="A285" t="s">
        <v>422</v>
      </c>
      <c r="B285" t="s">
        <v>31</v>
      </c>
      <c r="C285" t="s">
        <v>351</v>
      </c>
      <c r="D285">
        <v>100</v>
      </c>
      <c r="E285">
        <v>2.06</v>
      </c>
      <c r="F285">
        <v>0</v>
      </c>
      <c r="G285">
        <v>0</v>
      </c>
      <c r="H285">
        <v>2.06</v>
      </c>
      <c r="I285">
        <v>206</v>
      </c>
    </row>
    <row r="286" spans="1:9">
      <c r="A286" t="s">
        <v>422</v>
      </c>
      <c r="B286" t="s">
        <v>33</v>
      </c>
      <c r="C286" t="s">
        <v>347</v>
      </c>
      <c r="D286">
        <v>250</v>
      </c>
      <c r="E286">
        <v>0.33</v>
      </c>
      <c r="F286">
        <v>0</v>
      </c>
      <c r="G286">
        <v>0</v>
      </c>
      <c r="H286">
        <v>0.33</v>
      </c>
      <c r="I286">
        <v>82.5</v>
      </c>
    </row>
    <row r="287" spans="1:9">
      <c r="A287" t="s">
        <v>422</v>
      </c>
      <c r="B287" t="s">
        <v>42</v>
      </c>
      <c r="C287" t="s">
        <v>348</v>
      </c>
      <c r="D287">
        <v>50</v>
      </c>
      <c r="E287">
        <v>1.99</v>
      </c>
      <c r="F287">
        <v>0</v>
      </c>
      <c r="G287">
        <v>0</v>
      </c>
      <c r="H287">
        <v>1.99</v>
      </c>
      <c r="I287">
        <v>99.5</v>
      </c>
    </row>
    <row r="288" spans="1:9">
      <c r="A288" t="s">
        <v>423</v>
      </c>
      <c r="B288" t="s">
        <v>29</v>
      </c>
      <c r="C288" t="s">
        <v>349</v>
      </c>
      <c r="D288">
        <v>15</v>
      </c>
      <c r="E288">
        <v>7.69</v>
      </c>
      <c r="F288">
        <v>0.6</v>
      </c>
      <c r="G288">
        <v>0</v>
      </c>
      <c r="H288">
        <v>3.0760000000000005</v>
      </c>
    </row>
    <row r="289" spans="1:9">
      <c r="A289" t="s">
        <v>423</v>
      </c>
      <c r="B289" t="s">
        <v>23</v>
      </c>
      <c r="C289" t="s">
        <v>345</v>
      </c>
      <c r="D289">
        <v>21</v>
      </c>
      <c r="E289">
        <v>7.44</v>
      </c>
      <c r="F289">
        <v>0.6</v>
      </c>
      <c r="G289">
        <v>0</v>
      </c>
      <c r="H289">
        <v>2.9760000000000004</v>
      </c>
    </row>
    <row r="290" spans="1:9">
      <c r="A290" t="s">
        <v>424</v>
      </c>
      <c r="B290" t="s">
        <v>38</v>
      </c>
      <c r="C290" t="s">
        <v>343</v>
      </c>
      <c r="D290">
        <v>33</v>
      </c>
      <c r="E290">
        <v>2.44</v>
      </c>
      <c r="F290">
        <v>0</v>
      </c>
      <c r="G290">
        <v>0</v>
      </c>
      <c r="H290">
        <v>2.44</v>
      </c>
      <c r="I290">
        <v>80.52</v>
      </c>
    </row>
    <row r="291" spans="1:9">
      <c r="A291" t="s">
        <v>424</v>
      </c>
      <c r="B291" t="s">
        <v>23</v>
      </c>
      <c r="C291" t="s">
        <v>345</v>
      </c>
      <c r="D291">
        <v>414</v>
      </c>
      <c r="E291">
        <v>2.41</v>
      </c>
      <c r="F291">
        <v>0</v>
      </c>
      <c r="G291">
        <v>0</v>
      </c>
      <c r="H291">
        <v>2.41</v>
      </c>
      <c r="I291">
        <v>997.74</v>
      </c>
    </row>
    <row r="292" spans="1:9">
      <c r="A292" t="s">
        <v>425</v>
      </c>
      <c r="B292" t="s">
        <v>23</v>
      </c>
      <c r="C292" t="s">
        <v>345</v>
      </c>
      <c r="D292">
        <v>6</v>
      </c>
      <c r="E292">
        <v>2.63</v>
      </c>
      <c r="F292">
        <v>0</v>
      </c>
      <c r="G292">
        <v>0</v>
      </c>
      <c r="H292">
        <v>2.63</v>
      </c>
      <c r="I292">
        <v>15.78</v>
      </c>
    </row>
    <row r="293" spans="1:9">
      <c r="A293" t="s">
        <v>425</v>
      </c>
      <c r="B293" t="s">
        <v>426</v>
      </c>
      <c r="C293" t="s">
        <v>427</v>
      </c>
      <c r="D293">
        <v>8</v>
      </c>
      <c r="E293">
        <v>2.4</v>
      </c>
      <c r="F293">
        <v>0</v>
      </c>
      <c r="G293">
        <v>0</v>
      </c>
      <c r="H293">
        <v>2.4</v>
      </c>
      <c r="I293">
        <v>19.2</v>
      </c>
    </row>
    <row r="294" spans="1:9">
      <c r="A294" t="s">
        <v>425</v>
      </c>
      <c r="B294" t="s">
        <v>428</v>
      </c>
      <c r="C294" t="s">
        <v>429</v>
      </c>
      <c r="D294">
        <v>500</v>
      </c>
      <c r="E294">
        <v>0.63300000000000001</v>
      </c>
      <c r="F294">
        <v>0</v>
      </c>
      <c r="G294">
        <v>0</v>
      </c>
      <c r="H294">
        <v>0.63300000000000001</v>
      </c>
      <c r="I294">
        <v>316.5</v>
      </c>
    </row>
    <row r="295" spans="1:9">
      <c r="A295" t="s">
        <v>430</v>
      </c>
      <c r="B295" t="s">
        <v>428</v>
      </c>
      <c r="C295" t="s">
        <v>429</v>
      </c>
      <c r="D295">
        <v>500</v>
      </c>
      <c r="E295">
        <v>0.63300000000000001</v>
      </c>
      <c r="F295">
        <v>0</v>
      </c>
      <c r="G295">
        <v>0</v>
      </c>
      <c r="H295">
        <v>0.63300000000000001</v>
      </c>
      <c r="I295">
        <v>316.5</v>
      </c>
    </row>
    <row r="296" spans="1:9">
      <c r="A296" t="s">
        <v>430</v>
      </c>
      <c r="B296" t="s">
        <v>79</v>
      </c>
      <c r="C296" t="s">
        <v>304</v>
      </c>
      <c r="D296">
        <v>3</v>
      </c>
      <c r="E296">
        <v>62</v>
      </c>
      <c r="F296">
        <v>0</v>
      </c>
      <c r="G296">
        <v>0</v>
      </c>
      <c r="H296">
        <v>62</v>
      </c>
      <c r="I296">
        <v>186</v>
      </c>
    </row>
    <row r="297" spans="1:9">
      <c r="A297" t="s">
        <v>431</v>
      </c>
      <c r="B297" t="s">
        <v>432</v>
      </c>
      <c r="C297" t="s">
        <v>433</v>
      </c>
      <c r="D297">
        <v>208</v>
      </c>
      <c r="E297">
        <v>0.88</v>
      </c>
      <c r="F297">
        <v>0</v>
      </c>
      <c r="G297">
        <v>0</v>
      </c>
      <c r="H297">
        <v>0.88</v>
      </c>
      <c r="I297">
        <v>183.04</v>
      </c>
    </row>
    <row r="298" spans="1:9">
      <c r="A298" t="s">
        <v>431</v>
      </c>
      <c r="B298" t="s">
        <v>54</v>
      </c>
      <c r="C298" t="s">
        <v>434</v>
      </c>
      <c r="D298">
        <v>12</v>
      </c>
      <c r="E298">
        <v>3.97</v>
      </c>
      <c r="F298">
        <v>0</v>
      </c>
      <c r="G298">
        <v>0</v>
      </c>
      <c r="H298">
        <v>3.97</v>
      </c>
      <c r="I298">
        <v>47.64</v>
      </c>
    </row>
    <row r="299" spans="1:9">
      <c r="A299" t="s">
        <v>431</v>
      </c>
      <c r="B299" t="s">
        <v>13</v>
      </c>
      <c r="C299" t="s">
        <v>300</v>
      </c>
      <c r="D299">
        <v>9</v>
      </c>
      <c r="E299">
        <v>3.62</v>
      </c>
      <c r="F299">
        <v>0</v>
      </c>
      <c r="G299">
        <v>0</v>
      </c>
      <c r="H299">
        <v>3.62</v>
      </c>
      <c r="I299">
        <v>32.58</v>
      </c>
    </row>
    <row r="300" spans="1:9">
      <c r="A300" t="s">
        <v>435</v>
      </c>
      <c r="B300" t="s">
        <v>436</v>
      </c>
      <c r="C300" t="s">
        <v>437</v>
      </c>
      <c r="D300">
        <v>100</v>
      </c>
      <c r="E300">
        <v>0.22</v>
      </c>
      <c r="F300">
        <v>0.5</v>
      </c>
      <c r="G300">
        <v>0</v>
      </c>
      <c r="H300">
        <v>0.11</v>
      </c>
      <c r="I300">
        <v>11</v>
      </c>
    </row>
    <row r="301" spans="1:9">
      <c r="A301" t="s">
        <v>435</v>
      </c>
      <c r="B301" t="s">
        <v>438</v>
      </c>
      <c r="C301" t="s">
        <v>439</v>
      </c>
      <c r="D301">
        <v>100</v>
      </c>
      <c r="E301">
        <v>0.23</v>
      </c>
      <c r="F301">
        <v>0.5</v>
      </c>
      <c r="G301">
        <v>0</v>
      </c>
      <c r="H301">
        <v>0.115</v>
      </c>
      <c r="I301">
        <v>11.5</v>
      </c>
    </row>
    <row r="302" spans="1:9">
      <c r="A302" t="s">
        <v>435</v>
      </c>
      <c r="B302" t="s">
        <v>440</v>
      </c>
      <c r="C302" t="s">
        <v>441</v>
      </c>
      <c r="D302">
        <v>100</v>
      </c>
      <c r="E302">
        <v>0.31</v>
      </c>
      <c r="F302">
        <v>0.5</v>
      </c>
      <c r="G302">
        <v>0</v>
      </c>
      <c r="H302">
        <v>0.155</v>
      </c>
      <c r="I302">
        <v>15.5</v>
      </c>
    </row>
    <row r="303" spans="1:9">
      <c r="A303" t="s">
        <v>435</v>
      </c>
      <c r="B303" t="s">
        <v>442</v>
      </c>
      <c r="C303" t="s">
        <v>443</v>
      </c>
      <c r="D303">
        <v>100</v>
      </c>
      <c r="E303">
        <v>0.51</v>
      </c>
      <c r="F303">
        <v>0.5</v>
      </c>
      <c r="G303">
        <v>0</v>
      </c>
      <c r="H303">
        <v>0.255</v>
      </c>
      <c r="I303">
        <v>25.5</v>
      </c>
    </row>
    <row r="304" spans="1:9">
      <c r="A304" t="s">
        <v>435</v>
      </c>
      <c r="B304" t="s">
        <v>444</v>
      </c>
      <c r="C304" t="s">
        <v>445</v>
      </c>
      <c r="D304">
        <v>50</v>
      </c>
      <c r="E304">
        <v>0.78</v>
      </c>
      <c r="F304">
        <v>0.5</v>
      </c>
      <c r="G304">
        <v>0</v>
      </c>
      <c r="H304">
        <v>0.39</v>
      </c>
      <c r="I304">
        <v>19.5</v>
      </c>
    </row>
    <row r="305" spans="1:9">
      <c r="A305" t="s">
        <v>435</v>
      </c>
      <c r="B305" t="s">
        <v>446</v>
      </c>
      <c r="C305" t="s">
        <v>447</v>
      </c>
      <c r="D305">
        <v>20</v>
      </c>
      <c r="E305">
        <v>1.43</v>
      </c>
      <c r="F305">
        <v>0.5</v>
      </c>
      <c r="G305">
        <v>0</v>
      </c>
      <c r="H305">
        <v>0.71499999999999997</v>
      </c>
      <c r="I305">
        <v>14.3</v>
      </c>
    </row>
    <row r="306" spans="1:9">
      <c r="A306" t="s">
        <v>448</v>
      </c>
      <c r="B306" t="s">
        <v>79</v>
      </c>
      <c r="C306" t="s">
        <v>449</v>
      </c>
      <c r="D306">
        <v>7</v>
      </c>
      <c r="E306">
        <v>62</v>
      </c>
      <c r="F306">
        <v>0</v>
      </c>
      <c r="G306">
        <v>0</v>
      </c>
      <c r="H306">
        <v>62</v>
      </c>
      <c r="I306">
        <v>434</v>
      </c>
    </row>
    <row r="307" spans="1:9">
      <c r="A307" t="s">
        <v>450</v>
      </c>
      <c r="B307" t="s">
        <v>79</v>
      </c>
      <c r="C307" t="s">
        <v>451</v>
      </c>
      <c r="D307">
        <v>1</v>
      </c>
      <c r="E307">
        <v>62</v>
      </c>
      <c r="F307">
        <v>0</v>
      </c>
      <c r="G307">
        <v>0</v>
      </c>
      <c r="H307">
        <v>62</v>
      </c>
      <c r="I307">
        <v>62</v>
      </c>
    </row>
    <row r="308" spans="1:9">
      <c r="A308" t="s">
        <v>452</v>
      </c>
      <c r="B308" t="s">
        <v>333</v>
      </c>
      <c r="C308" t="s">
        <v>334</v>
      </c>
      <c r="D308">
        <v>3</v>
      </c>
      <c r="E308">
        <v>130</v>
      </c>
      <c r="F308">
        <v>0</v>
      </c>
      <c r="G308">
        <v>0</v>
      </c>
      <c r="H308">
        <v>130</v>
      </c>
      <c r="I308">
        <v>390</v>
      </c>
    </row>
    <row r="309" spans="1:9">
      <c r="A309" t="s">
        <v>452</v>
      </c>
      <c r="B309" t="s">
        <v>335</v>
      </c>
      <c r="C309" t="s">
        <v>336</v>
      </c>
      <c r="D309">
        <v>3</v>
      </c>
      <c r="E309">
        <v>18.5</v>
      </c>
      <c r="F309">
        <v>0</v>
      </c>
      <c r="G309">
        <v>0</v>
      </c>
      <c r="H309">
        <v>18.5</v>
      </c>
      <c r="I309">
        <v>55.5</v>
      </c>
    </row>
    <row r="310" spans="1:9">
      <c r="A310" t="s">
        <v>453</v>
      </c>
      <c r="B310" t="s">
        <v>62</v>
      </c>
      <c r="C310" t="s">
        <v>454</v>
      </c>
      <c r="D310">
        <v>200</v>
      </c>
      <c r="E310">
        <v>1.6</v>
      </c>
      <c r="F310">
        <v>0</v>
      </c>
      <c r="G310">
        <v>0</v>
      </c>
      <c r="H310">
        <v>1.6</v>
      </c>
      <c r="I310">
        <v>320</v>
      </c>
    </row>
    <row r="311" spans="1:9">
      <c r="A311" t="s">
        <v>455</v>
      </c>
      <c r="B311" t="s">
        <v>456</v>
      </c>
      <c r="C311" t="s">
        <v>457</v>
      </c>
      <c r="D311">
        <v>1</v>
      </c>
      <c r="E311">
        <v>2.5</v>
      </c>
      <c r="F311">
        <v>0</v>
      </c>
      <c r="G311">
        <v>0</v>
      </c>
      <c r="H311">
        <v>2.5</v>
      </c>
    </row>
    <row r="312" spans="1:9">
      <c r="A312" t="s">
        <v>455</v>
      </c>
      <c r="B312" t="s">
        <v>458</v>
      </c>
      <c r="C312" t="s">
        <v>459</v>
      </c>
      <c r="D312">
        <v>20</v>
      </c>
      <c r="E312">
        <v>0.65</v>
      </c>
      <c r="F312">
        <v>0</v>
      </c>
      <c r="G312">
        <v>0</v>
      </c>
      <c r="H312">
        <v>0.65</v>
      </c>
    </row>
    <row r="313" spans="1:9">
      <c r="A313" t="s">
        <v>460</v>
      </c>
      <c r="B313" t="s">
        <v>461</v>
      </c>
      <c r="C313" t="s">
        <v>462</v>
      </c>
      <c r="D313">
        <v>1</v>
      </c>
      <c r="E313">
        <v>5.6</v>
      </c>
      <c r="F313">
        <v>0</v>
      </c>
      <c r="G313">
        <v>0</v>
      </c>
      <c r="H313">
        <v>5.6</v>
      </c>
      <c r="I313">
        <v>5.6</v>
      </c>
    </row>
    <row r="314" spans="1:9">
      <c r="A314" t="s">
        <v>463</v>
      </c>
      <c r="B314" t="s">
        <v>464</v>
      </c>
      <c r="C314" t="s">
        <v>465</v>
      </c>
      <c r="D314">
        <v>30</v>
      </c>
      <c r="E314">
        <v>1.7</v>
      </c>
      <c r="F314">
        <v>0.4</v>
      </c>
      <c r="G314">
        <v>0</v>
      </c>
      <c r="H314">
        <v>1.02</v>
      </c>
      <c r="I314">
        <v>30.6</v>
      </c>
    </row>
    <row r="315" spans="1:9">
      <c r="A315" t="s">
        <v>466</v>
      </c>
      <c r="B315" t="s">
        <v>467</v>
      </c>
      <c r="C315" t="s">
        <v>468</v>
      </c>
      <c r="D315">
        <v>1</v>
      </c>
      <c r="E315">
        <v>1847.75</v>
      </c>
      <c r="F315">
        <v>0</v>
      </c>
      <c r="G315">
        <v>0</v>
      </c>
      <c r="H315">
        <v>1847.75</v>
      </c>
      <c r="I315">
        <v>1847.75</v>
      </c>
    </row>
    <row r="316" spans="1:9">
      <c r="A316" t="s">
        <v>466</v>
      </c>
      <c r="B316" t="s">
        <v>469</v>
      </c>
      <c r="C316" t="s">
        <v>470</v>
      </c>
      <c r="D316">
        <v>1</v>
      </c>
      <c r="E316">
        <v>672.25</v>
      </c>
      <c r="F316">
        <v>0</v>
      </c>
      <c r="G316">
        <v>0</v>
      </c>
      <c r="H316">
        <v>672.25</v>
      </c>
      <c r="I316">
        <v>672.25</v>
      </c>
    </row>
    <row r="317" spans="1:9">
      <c r="A317" t="s">
        <v>466</v>
      </c>
      <c r="B317" t="s">
        <v>471</v>
      </c>
      <c r="C317" t="s">
        <v>472</v>
      </c>
      <c r="D317">
        <v>1</v>
      </c>
      <c r="E317">
        <v>125</v>
      </c>
      <c r="F317">
        <v>0</v>
      </c>
      <c r="G317">
        <v>0</v>
      </c>
      <c r="H317">
        <v>125</v>
      </c>
      <c r="I317">
        <v>125</v>
      </c>
    </row>
    <row r="318" spans="1:9">
      <c r="A318" t="s">
        <v>466</v>
      </c>
      <c r="B318" t="s">
        <v>473</v>
      </c>
      <c r="C318" t="s">
        <v>474</v>
      </c>
      <c r="D318">
        <v>1</v>
      </c>
      <c r="E318">
        <v>239.65</v>
      </c>
      <c r="F318">
        <v>0</v>
      </c>
      <c r="G318">
        <v>0</v>
      </c>
      <c r="H318">
        <v>239.65</v>
      </c>
      <c r="I318">
        <v>239.65</v>
      </c>
    </row>
    <row r="319" spans="1:9">
      <c r="A319" t="s">
        <v>475</v>
      </c>
      <c r="B319" t="s">
        <v>476</v>
      </c>
      <c r="C319" t="s">
        <v>477</v>
      </c>
      <c r="D319">
        <v>50</v>
      </c>
      <c r="E319">
        <v>1.48</v>
      </c>
      <c r="F319">
        <v>0</v>
      </c>
      <c r="G319">
        <v>0</v>
      </c>
      <c r="H319">
        <v>1.48</v>
      </c>
      <c r="I319">
        <v>74</v>
      </c>
    </row>
    <row r="320" spans="1:9">
      <c r="A320" t="s">
        <v>478</v>
      </c>
      <c r="B320" t="s">
        <v>38</v>
      </c>
      <c r="C320" t="s">
        <v>343</v>
      </c>
      <c r="D320">
        <v>132</v>
      </c>
      <c r="E320">
        <v>2.4</v>
      </c>
      <c r="F320">
        <v>0</v>
      </c>
      <c r="G320">
        <v>0</v>
      </c>
      <c r="H320">
        <v>2.4</v>
      </c>
      <c r="I320">
        <v>316.8</v>
      </c>
    </row>
    <row r="321" spans="1:9">
      <c r="A321" t="s">
        <v>478</v>
      </c>
      <c r="B321" t="s">
        <v>23</v>
      </c>
      <c r="C321" t="s">
        <v>345</v>
      </c>
      <c r="D321">
        <v>129</v>
      </c>
      <c r="E321">
        <v>2.63</v>
      </c>
      <c r="F321">
        <v>0</v>
      </c>
      <c r="G321">
        <v>0</v>
      </c>
      <c r="H321">
        <v>2.63</v>
      </c>
      <c r="I321">
        <v>339.27</v>
      </c>
    </row>
    <row r="322" spans="1:9">
      <c r="A322" t="s">
        <v>479</v>
      </c>
      <c r="B322" t="s">
        <v>89</v>
      </c>
      <c r="C322" t="s">
        <v>305</v>
      </c>
      <c r="D322">
        <v>10</v>
      </c>
      <c r="E322">
        <v>13.64</v>
      </c>
      <c r="F322">
        <v>0</v>
      </c>
      <c r="G322">
        <v>0</v>
      </c>
      <c r="H322">
        <v>13.64</v>
      </c>
      <c r="I322">
        <v>136.4</v>
      </c>
    </row>
    <row r="323" spans="1:9">
      <c r="A323" t="s">
        <v>479</v>
      </c>
      <c r="B323" t="s">
        <v>91</v>
      </c>
      <c r="C323" t="s">
        <v>306</v>
      </c>
      <c r="D323">
        <v>30</v>
      </c>
      <c r="E323">
        <v>0.4</v>
      </c>
      <c r="F323">
        <v>0</v>
      </c>
      <c r="G323">
        <v>0</v>
      </c>
      <c r="H323">
        <v>0.4</v>
      </c>
      <c r="I323">
        <v>12</v>
      </c>
    </row>
    <row r="324" spans="1:9">
      <c r="A324" t="s">
        <v>479</v>
      </c>
      <c r="B324" t="s">
        <v>480</v>
      </c>
      <c r="C324" t="s">
        <v>481</v>
      </c>
      <c r="D324">
        <v>1</v>
      </c>
      <c r="E324">
        <v>1.2</v>
      </c>
      <c r="F324">
        <v>0</v>
      </c>
      <c r="G324">
        <v>0</v>
      </c>
      <c r="H324">
        <v>1.2</v>
      </c>
      <c r="I324">
        <v>1.2</v>
      </c>
    </row>
    <row r="325" spans="1:9">
      <c r="A325" t="s">
        <v>479</v>
      </c>
      <c r="B325" t="s">
        <v>482</v>
      </c>
      <c r="C325" t="s">
        <v>483</v>
      </c>
      <c r="D325">
        <v>1</v>
      </c>
      <c r="E325">
        <v>1.5</v>
      </c>
      <c r="F325">
        <v>0</v>
      </c>
      <c r="G325">
        <v>0</v>
      </c>
      <c r="H325">
        <v>1.5</v>
      </c>
      <c r="I325">
        <v>1.5</v>
      </c>
    </row>
    <row r="326" spans="1:9">
      <c r="A326" t="s">
        <v>479</v>
      </c>
      <c r="B326" t="s">
        <v>322</v>
      </c>
      <c r="C326" t="s">
        <v>323</v>
      </c>
      <c r="D326">
        <v>1</v>
      </c>
      <c r="E326">
        <v>1.98</v>
      </c>
      <c r="F326">
        <v>0</v>
      </c>
      <c r="G326">
        <v>0</v>
      </c>
      <c r="H326">
        <v>1.98</v>
      </c>
      <c r="I326">
        <v>1.98</v>
      </c>
    </row>
    <row r="327" spans="1:9">
      <c r="A327" t="s">
        <v>479</v>
      </c>
      <c r="B327" t="s">
        <v>484</v>
      </c>
      <c r="C327" t="s">
        <v>485</v>
      </c>
      <c r="D327">
        <v>1</v>
      </c>
      <c r="E327">
        <v>2.6</v>
      </c>
      <c r="F327">
        <v>0</v>
      </c>
      <c r="G327">
        <v>0</v>
      </c>
      <c r="H327">
        <v>2.6</v>
      </c>
      <c r="I327">
        <v>2.6</v>
      </c>
    </row>
    <row r="328" spans="1:9">
      <c r="A328" t="s">
        <v>486</v>
      </c>
      <c r="B328" t="s">
        <v>487</v>
      </c>
      <c r="C328" t="s">
        <v>488</v>
      </c>
      <c r="D328">
        <v>1</v>
      </c>
      <c r="E328">
        <v>143.5</v>
      </c>
      <c r="F328">
        <v>0.02</v>
      </c>
      <c r="G328">
        <v>0</v>
      </c>
      <c r="H328">
        <v>140.63</v>
      </c>
      <c r="I328">
        <v>140.63</v>
      </c>
    </row>
    <row r="329" spans="1:9">
      <c r="A329" t="s">
        <v>486</v>
      </c>
      <c r="B329" t="s">
        <v>489</v>
      </c>
      <c r="C329" t="s">
        <v>490</v>
      </c>
      <c r="D329">
        <v>1</v>
      </c>
      <c r="E329">
        <v>57.5</v>
      </c>
      <c r="F329">
        <v>0.02</v>
      </c>
      <c r="G329">
        <v>0</v>
      </c>
      <c r="H329">
        <v>56.35</v>
      </c>
      <c r="I329">
        <v>56.35</v>
      </c>
    </row>
    <row r="330" spans="1:9">
      <c r="A330" t="s">
        <v>486</v>
      </c>
      <c r="B330" t="s">
        <v>491</v>
      </c>
      <c r="C330" t="s">
        <v>492</v>
      </c>
      <c r="D330">
        <v>1</v>
      </c>
      <c r="E330">
        <v>57.5</v>
      </c>
      <c r="F330">
        <v>0.02</v>
      </c>
      <c r="G330">
        <v>0</v>
      </c>
      <c r="H330">
        <v>56.35</v>
      </c>
      <c r="I330">
        <v>56.35</v>
      </c>
    </row>
    <row r="331" spans="1:9">
      <c r="A331" t="s">
        <v>493</v>
      </c>
      <c r="B331" t="s">
        <v>494</v>
      </c>
      <c r="C331" t="s">
        <v>495</v>
      </c>
      <c r="D331">
        <v>1</v>
      </c>
      <c r="E331">
        <v>1754</v>
      </c>
      <c r="F331">
        <v>0.15</v>
      </c>
      <c r="G331">
        <v>0</v>
      </c>
      <c r="H331">
        <v>1490.8999999999999</v>
      </c>
      <c r="I331">
        <v>1490.9</v>
      </c>
    </row>
    <row r="332" spans="1:9">
      <c r="A332" t="s">
        <v>496</v>
      </c>
      <c r="B332" t="s">
        <v>487</v>
      </c>
      <c r="C332" t="s">
        <v>488</v>
      </c>
      <c r="D332">
        <v>2</v>
      </c>
      <c r="E332">
        <v>139.9</v>
      </c>
      <c r="F332">
        <v>0.05</v>
      </c>
      <c r="G332">
        <v>0.02</v>
      </c>
      <c r="H332">
        <v>130.24690000000001</v>
      </c>
      <c r="I332">
        <v>260.49</v>
      </c>
    </row>
    <row r="333" spans="1:9">
      <c r="A333" t="s">
        <v>496</v>
      </c>
      <c r="B333" t="s">
        <v>489</v>
      </c>
      <c r="C333" t="s">
        <v>490</v>
      </c>
      <c r="D333">
        <v>2</v>
      </c>
      <c r="E333">
        <v>55.99</v>
      </c>
      <c r="F333">
        <v>0.05</v>
      </c>
      <c r="G333">
        <v>0.02</v>
      </c>
      <c r="H333">
        <v>52.126689999999996</v>
      </c>
      <c r="I333">
        <v>104.25</v>
      </c>
    </row>
    <row r="334" spans="1:9">
      <c r="A334" t="s">
        <v>496</v>
      </c>
      <c r="B334" t="s">
        <v>491</v>
      </c>
      <c r="C334" t="s">
        <v>492</v>
      </c>
      <c r="D334">
        <v>2</v>
      </c>
      <c r="E334">
        <v>55.99</v>
      </c>
      <c r="F334">
        <v>0.05</v>
      </c>
      <c r="G334">
        <v>0.02</v>
      </c>
      <c r="H334">
        <v>52.126689999999996</v>
      </c>
      <c r="I334">
        <v>104.25</v>
      </c>
    </row>
    <row r="335" spans="1:9">
      <c r="A335" t="s">
        <v>496</v>
      </c>
      <c r="B335" t="s">
        <v>497</v>
      </c>
      <c r="C335" t="s">
        <v>498</v>
      </c>
      <c r="D335">
        <v>3</v>
      </c>
      <c r="E335">
        <v>32</v>
      </c>
      <c r="F335">
        <v>0</v>
      </c>
      <c r="G335">
        <v>0</v>
      </c>
      <c r="H335">
        <v>32</v>
      </c>
      <c r="I335">
        <v>96</v>
      </c>
    </row>
    <row r="336" spans="1:9">
      <c r="A336" t="s">
        <v>496</v>
      </c>
      <c r="B336" t="s">
        <v>499</v>
      </c>
      <c r="C336" t="s">
        <v>500</v>
      </c>
      <c r="D336">
        <v>1</v>
      </c>
      <c r="E336">
        <v>116</v>
      </c>
      <c r="F336">
        <v>0</v>
      </c>
      <c r="G336">
        <v>0</v>
      </c>
      <c r="H336">
        <v>116</v>
      </c>
      <c r="I336">
        <v>116</v>
      </c>
    </row>
    <row r="337" spans="1:9">
      <c r="A337" t="s">
        <v>501</v>
      </c>
      <c r="B337" t="s">
        <v>502</v>
      </c>
      <c r="C337" t="s">
        <v>503</v>
      </c>
      <c r="D337">
        <v>1</v>
      </c>
      <c r="E337">
        <v>125</v>
      </c>
      <c r="F337">
        <v>0</v>
      </c>
      <c r="G337">
        <v>0</v>
      </c>
      <c r="H337">
        <v>125</v>
      </c>
      <c r="I337">
        <v>125</v>
      </c>
    </row>
    <row r="338" spans="1:9">
      <c r="A338" t="s">
        <v>504</v>
      </c>
      <c r="B338" t="s">
        <v>505</v>
      </c>
      <c r="C338" t="s">
        <v>506</v>
      </c>
      <c r="D338">
        <v>50</v>
      </c>
      <c r="E338">
        <v>1.36</v>
      </c>
      <c r="F338">
        <v>0</v>
      </c>
      <c r="G338">
        <v>0</v>
      </c>
      <c r="H338">
        <v>1.36</v>
      </c>
      <c r="I338">
        <v>68</v>
      </c>
    </row>
    <row r="339" spans="1:9">
      <c r="A339" t="s">
        <v>504</v>
      </c>
      <c r="B339" t="s">
        <v>507</v>
      </c>
      <c r="C339" t="s">
        <v>508</v>
      </c>
      <c r="D339">
        <v>100</v>
      </c>
      <c r="E339">
        <v>3.93</v>
      </c>
      <c r="F339">
        <v>0</v>
      </c>
      <c r="G339">
        <v>0</v>
      </c>
      <c r="H339">
        <v>3.93</v>
      </c>
      <c r="I339">
        <v>393</v>
      </c>
    </row>
    <row r="340" spans="1:9">
      <c r="A340" t="s">
        <v>509</v>
      </c>
      <c r="B340" t="s">
        <v>40</v>
      </c>
      <c r="C340" t="s">
        <v>510</v>
      </c>
      <c r="D340">
        <v>300</v>
      </c>
      <c r="E340">
        <v>0.39</v>
      </c>
      <c r="F340">
        <v>0</v>
      </c>
      <c r="G340">
        <v>0</v>
      </c>
      <c r="H340">
        <v>0.39</v>
      </c>
      <c r="I340">
        <v>117</v>
      </c>
    </row>
    <row r="341" spans="1:9">
      <c r="A341" t="s">
        <v>509</v>
      </c>
      <c r="B341" t="s">
        <v>31</v>
      </c>
      <c r="C341" t="s">
        <v>351</v>
      </c>
      <c r="D341">
        <v>100</v>
      </c>
      <c r="E341">
        <v>2.2200000000000002</v>
      </c>
      <c r="F341">
        <v>0</v>
      </c>
      <c r="G341">
        <v>0</v>
      </c>
      <c r="H341">
        <v>2.2200000000000002</v>
      </c>
      <c r="I341">
        <v>222</v>
      </c>
    </row>
    <row r="342" spans="1:9">
      <c r="A342" t="s">
        <v>509</v>
      </c>
      <c r="B342" t="s">
        <v>33</v>
      </c>
      <c r="C342" t="s">
        <v>347</v>
      </c>
      <c r="D342">
        <v>200</v>
      </c>
      <c r="E342">
        <v>0.36</v>
      </c>
      <c r="F342">
        <v>0</v>
      </c>
      <c r="G342">
        <v>0</v>
      </c>
      <c r="H342">
        <v>0.36</v>
      </c>
      <c r="I342">
        <v>72</v>
      </c>
    </row>
    <row r="343" spans="1:9">
      <c r="A343" t="s">
        <v>509</v>
      </c>
      <c r="B343" t="s">
        <v>76</v>
      </c>
      <c r="C343" t="s">
        <v>511</v>
      </c>
      <c r="D343">
        <v>60</v>
      </c>
      <c r="E343">
        <v>5.83</v>
      </c>
      <c r="F343">
        <v>0</v>
      </c>
      <c r="G343">
        <v>0</v>
      </c>
      <c r="H343">
        <v>5.83</v>
      </c>
      <c r="I343">
        <v>349.8</v>
      </c>
    </row>
    <row r="344" spans="1:9">
      <c r="A344" t="s">
        <v>509</v>
      </c>
      <c r="B344" t="s">
        <v>110</v>
      </c>
      <c r="C344" t="s">
        <v>512</v>
      </c>
      <c r="D344">
        <v>60</v>
      </c>
      <c r="E344">
        <v>4.4800000000000004</v>
      </c>
      <c r="F344">
        <v>0</v>
      </c>
      <c r="G344">
        <v>0</v>
      </c>
      <c r="H344">
        <v>4.4800000000000004</v>
      </c>
      <c r="I344">
        <v>268.8</v>
      </c>
    </row>
    <row r="345" spans="1:9">
      <c r="A345" t="s">
        <v>513</v>
      </c>
      <c r="B345" t="s">
        <v>335</v>
      </c>
      <c r="C345" t="s">
        <v>336</v>
      </c>
      <c r="D345">
        <v>1</v>
      </c>
      <c r="E345">
        <v>20.37</v>
      </c>
      <c r="F345">
        <v>0</v>
      </c>
      <c r="G345">
        <v>0</v>
      </c>
      <c r="H345">
        <v>20.37</v>
      </c>
      <c r="I345">
        <v>20.37</v>
      </c>
    </row>
    <row r="346" spans="1:9">
      <c r="A346" t="s">
        <v>514</v>
      </c>
      <c r="B346" t="s">
        <v>428</v>
      </c>
      <c r="C346" t="s">
        <v>429</v>
      </c>
      <c r="D346">
        <v>200</v>
      </c>
      <c r="E346">
        <v>0.72</v>
      </c>
      <c r="F346">
        <v>0</v>
      </c>
      <c r="G346">
        <v>0</v>
      </c>
      <c r="H346">
        <v>0.72</v>
      </c>
      <c r="I346">
        <v>144</v>
      </c>
    </row>
    <row r="347" spans="1:9">
      <c r="A347" t="s">
        <v>514</v>
      </c>
      <c r="B347" t="s">
        <v>515</v>
      </c>
      <c r="C347" t="s">
        <v>516</v>
      </c>
      <c r="D347">
        <v>50</v>
      </c>
      <c r="E347">
        <v>0.49869999999999998</v>
      </c>
      <c r="F347">
        <v>0.25</v>
      </c>
      <c r="G347">
        <v>0</v>
      </c>
      <c r="H347">
        <v>0.374025</v>
      </c>
      <c r="I347">
        <v>18.7</v>
      </c>
    </row>
    <row r="348" spans="1:9">
      <c r="A348" t="s">
        <v>514</v>
      </c>
      <c r="B348" t="s">
        <v>517</v>
      </c>
      <c r="C348" t="s">
        <v>518</v>
      </c>
      <c r="D348">
        <v>50</v>
      </c>
      <c r="E348">
        <v>0.7954</v>
      </c>
      <c r="F348">
        <v>0.25</v>
      </c>
      <c r="G348">
        <v>0</v>
      </c>
      <c r="H348">
        <v>0.59655000000000002</v>
      </c>
      <c r="I348">
        <v>29.83</v>
      </c>
    </row>
    <row r="349" spans="1:9">
      <c r="A349" t="s">
        <v>519</v>
      </c>
      <c r="B349" t="s">
        <v>487</v>
      </c>
      <c r="C349" t="s">
        <v>488</v>
      </c>
      <c r="D349">
        <v>1</v>
      </c>
      <c r="E349">
        <v>143.5</v>
      </c>
      <c r="F349">
        <v>0.02</v>
      </c>
      <c r="G349">
        <v>0</v>
      </c>
      <c r="H349">
        <v>140.63</v>
      </c>
      <c r="I349">
        <v>140.63</v>
      </c>
    </row>
    <row r="350" spans="1:9">
      <c r="A350" t="s">
        <v>519</v>
      </c>
      <c r="B350" t="s">
        <v>520</v>
      </c>
      <c r="C350" t="s">
        <v>521</v>
      </c>
      <c r="D350">
        <v>1</v>
      </c>
      <c r="E350">
        <v>0.96</v>
      </c>
      <c r="F350">
        <v>0</v>
      </c>
      <c r="G350">
        <v>0</v>
      </c>
      <c r="H350">
        <v>0.96</v>
      </c>
      <c r="I350">
        <v>0.96</v>
      </c>
    </row>
    <row r="351" spans="1:9">
      <c r="A351" t="s">
        <v>519</v>
      </c>
      <c r="B351" t="s">
        <v>522</v>
      </c>
      <c r="C351" t="s">
        <v>523</v>
      </c>
      <c r="D351">
        <v>1</v>
      </c>
      <c r="E351">
        <v>0.96</v>
      </c>
      <c r="F351">
        <v>0</v>
      </c>
      <c r="G351">
        <v>0</v>
      </c>
      <c r="H351">
        <v>0.96</v>
      </c>
      <c r="I351">
        <v>0.96</v>
      </c>
    </row>
    <row r="352" spans="1:9">
      <c r="A352" t="s">
        <v>519</v>
      </c>
      <c r="B352" t="s">
        <v>524</v>
      </c>
      <c r="C352" t="s">
        <v>525</v>
      </c>
      <c r="D352">
        <v>1</v>
      </c>
      <c r="E352">
        <v>0.96</v>
      </c>
      <c r="F352">
        <v>0</v>
      </c>
      <c r="G352">
        <v>0</v>
      </c>
      <c r="H352">
        <v>0.96</v>
      </c>
      <c r="I352">
        <v>0.96</v>
      </c>
    </row>
    <row r="353" spans="1:9">
      <c r="A353" t="s">
        <v>519</v>
      </c>
      <c r="B353" t="s">
        <v>526</v>
      </c>
      <c r="C353" t="s">
        <v>527</v>
      </c>
      <c r="D353">
        <v>1</v>
      </c>
      <c r="E353">
        <v>0.96</v>
      </c>
      <c r="F353">
        <v>0</v>
      </c>
      <c r="G353">
        <v>0</v>
      </c>
      <c r="H353">
        <v>0.96</v>
      </c>
      <c r="I353">
        <v>0.96</v>
      </c>
    </row>
    <row r="354" spans="1:9">
      <c r="A354" t="s">
        <v>519</v>
      </c>
      <c r="B354" t="s">
        <v>528</v>
      </c>
      <c r="C354" t="s">
        <v>529</v>
      </c>
      <c r="D354">
        <v>1</v>
      </c>
      <c r="E354">
        <v>0.96</v>
      </c>
      <c r="F354">
        <v>0</v>
      </c>
      <c r="G354">
        <v>0</v>
      </c>
      <c r="H354">
        <v>0.96</v>
      </c>
      <c r="I354">
        <v>0.96</v>
      </c>
    </row>
    <row r="355" spans="1:9">
      <c r="A355" t="s">
        <v>530</v>
      </c>
      <c r="B355" t="s">
        <v>531</v>
      </c>
      <c r="C355" t="s">
        <v>532</v>
      </c>
      <c r="D355">
        <v>100</v>
      </c>
      <c r="E355">
        <v>0.4</v>
      </c>
      <c r="F355">
        <v>0</v>
      </c>
      <c r="G355">
        <v>0</v>
      </c>
      <c r="H355">
        <v>0.4</v>
      </c>
      <c r="I355">
        <v>40</v>
      </c>
    </row>
    <row r="356" spans="1:9">
      <c r="A356" t="s">
        <v>530</v>
      </c>
      <c r="B356" t="s">
        <v>533</v>
      </c>
      <c r="C356" t="s">
        <v>534</v>
      </c>
      <c r="D356">
        <v>250</v>
      </c>
      <c r="E356">
        <v>0.44</v>
      </c>
      <c r="F356">
        <v>0</v>
      </c>
      <c r="G356">
        <v>0</v>
      </c>
      <c r="H356">
        <v>0.44</v>
      </c>
      <c r="I356">
        <v>110</v>
      </c>
    </row>
    <row r="357" spans="1:9">
      <c r="A357" t="s">
        <v>530</v>
      </c>
      <c r="B357" t="s">
        <v>535</v>
      </c>
      <c r="C357" t="s">
        <v>536</v>
      </c>
      <c r="D357">
        <v>250</v>
      </c>
      <c r="E357">
        <v>0.66</v>
      </c>
      <c r="F357">
        <v>0</v>
      </c>
      <c r="G357">
        <v>0</v>
      </c>
      <c r="H357">
        <v>0.66</v>
      </c>
      <c r="I357">
        <v>165</v>
      </c>
    </row>
    <row r="358" spans="1:9">
      <c r="A358" t="s">
        <v>530</v>
      </c>
      <c r="B358" t="s">
        <v>537</v>
      </c>
      <c r="C358" t="s">
        <v>538</v>
      </c>
      <c r="D358">
        <v>200</v>
      </c>
      <c r="E358">
        <v>1.83</v>
      </c>
      <c r="F358">
        <v>0</v>
      </c>
      <c r="G358">
        <v>0</v>
      </c>
      <c r="H358">
        <v>1.83</v>
      </c>
      <c r="I358">
        <v>366</v>
      </c>
    </row>
    <row r="359" spans="1:9">
      <c r="A359" t="s">
        <v>539</v>
      </c>
      <c r="B359" t="s">
        <v>489</v>
      </c>
      <c r="C359" t="s">
        <v>490</v>
      </c>
      <c r="D359">
        <v>1</v>
      </c>
      <c r="E359">
        <v>57.5</v>
      </c>
      <c r="F359">
        <v>0.02</v>
      </c>
      <c r="G359">
        <v>0</v>
      </c>
      <c r="H359">
        <v>56.35</v>
      </c>
      <c r="I359">
        <v>56.35</v>
      </c>
    </row>
    <row r="360" spans="1:9">
      <c r="A360" t="s">
        <v>539</v>
      </c>
      <c r="B360" t="s">
        <v>491</v>
      </c>
      <c r="C360" t="s">
        <v>492</v>
      </c>
      <c r="D360">
        <v>1</v>
      </c>
      <c r="E360">
        <v>57.5</v>
      </c>
      <c r="F360">
        <v>0.02</v>
      </c>
      <c r="G360">
        <v>0</v>
      </c>
      <c r="H360">
        <v>56.35</v>
      </c>
      <c r="I360">
        <v>56.35</v>
      </c>
    </row>
    <row r="361" spans="1:9">
      <c r="A361" t="s">
        <v>539</v>
      </c>
      <c r="B361" t="s">
        <v>113</v>
      </c>
      <c r="C361" t="s">
        <v>540</v>
      </c>
      <c r="D361">
        <v>1</v>
      </c>
      <c r="E361">
        <v>29</v>
      </c>
      <c r="F361">
        <v>0.02</v>
      </c>
      <c r="G361">
        <v>0</v>
      </c>
      <c r="H361">
        <v>28.419999999999998</v>
      </c>
      <c r="I361">
        <v>28.42</v>
      </c>
    </row>
    <row r="362" spans="1:9">
      <c r="A362" t="s">
        <v>539</v>
      </c>
      <c r="B362" t="s">
        <v>541</v>
      </c>
      <c r="C362" t="s">
        <v>542</v>
      </c>
      <c r="D362">
        <v>1</v>
      </c>
      <c r="E362">
        <v>59.71</v>
      </c>
      <c r="F362">
        <v>0.4</v>
      </c>
      <c r="G362">
        <v>0.02</v>
      </c>
      <c r="H362">
        <v>35.109479999999998</v>
      </c>
      <c r="I362">
        <v>35.11</v>
      </c>
    </row>
    <row r="363" spans="1:9">
      <c r="A363" t="s">
        <v>539</v>
      </c>
      <c r="B363" t="s">
        <v>543</v>
      </c>
      <c r="C363" t="s">
        <v>544</v>
      </c>
      <c r="D363">
        <v>1</v>
      </c>
      <c r="E363">
        <v>29.76</v>
      </c>
      <c r="F363">
        <v>0.4</v>
      </c>
      <c r="G363">
        <v>0.02</v>
      </c>
      <c r="H363">
        <v>17.49888</v>
      </c>
      <c r="I363">
        <v>17.5</v>
      </c>
    </row>
    <row r="364" spans="1:9">
      <c r="A364" t="s">
        <v>545</v>
      </c>
      <c r="B364" t="s">
        <v>340</v>
      </c>
      <c r="C364" t="s">
        <v>341</v>
      </c>
      <c r="D364">
        <v>150</v>
      </c>
      <c r="E364">
        <v>3.1545000000000001</v>
      </c>
      <c r="F364">
        <v>0.5</v>
      </c>
      <c r="G364">
        <v>0</v>
      </c>
      <c r="H364">
        <v>1.57725</v>
      </c>
      <c r="I364">
        <v>236.59</v>
      </c>
    </row>
    <row r="365" spans="1:9">
      <c r="A365" t="s">
        <v>545</v>
      </c>
      <c r="B365" t="s">
        <v>546</v>
      </c>
      <c r="C365" t="s">
        <v>547</v>
      </c>
      <c r="D365">
        <v>1</v>
      </c>
      <c r="E365">
        <v>75.39</v>
      </c>
      <c r="F365">
        <v>0.02</v>
      </c>
      <c r="G365">
        <v>0</v>
      </c>
      <c r="H365">
        <v>73.882199999999997</v>
      </c>
      <c r="I365">
        <v>73.88</v>
      </c>
    </row>
    <row r="366" spans="1:9">
      <c r="A366" t="s">
        <v>545</v>
      </c>
      <c r="B366" t="s">
        <v>548</v>
      </c>
      <c r="C366" t="s">
        <v>549</v>
      </c>
      <c r="D366">
        <v>2</v>
      </c>
      <c r="E366">
        <v>145</v>
      </c>
      <c r="F366">
        <v>0</v>
      </c>
      <c r="G366">
        <v>0</v>
      </c>
      <c r="H366">
        <v>145</v>
      </c>
      <c r="I366">
        <v>290</v>
      </c>
    </row>
    <row r="367" spans="1:9">
      <c r="A367" t="s">
        <v>545</v>
      </c>
      <c r="B367" t="s">
        <v>550</v>
      </c>
      <c r="C367" t="s">
        <v>551</v>
      </c>
      <c r="D367">
        <v>1</v>
      </c>
      <c r="E367">
        <v>139</v>
      </c>
      <c r="F367">
        <v>0.4</v>
      </c>
      <c r="G367">
        <v>0.02</v>
      </c>
      <c r="H367">
        <v>81.731999999999985</v>
      </c>
      <c r="I367">
        <v>81.73</v>
      </c>
    </row>
    <row r="368" spans="1:9">
      <c r="A368" t="s">
        <v>552</v>
      </c>
      <c r="B368" t="s">
        <v>553</v>
      </c>
      <c r="C368" t="s">
        <v>554</v>
      </c>
      <c r="D368">
        <v>50</v>
      </c>
      <c r="E368">
        <v>0.52</v>
      </c>
      <c r="F368">
        <v>0</v>
      </c>
      <c r="G368">
        <v>0</v>
      </c>
      <c r="H368">
        <v>0.52</v>
      </c>
    </row>
    <row r="369" spans="1:9">
      <c r="A369" t="s">
        <v>552</v>
      </c>
      <c r="B369" t="s">
        <v>555</v>
      </c>
      <c r="C369" t="s">
        <v>556</v>
      </c>
      <c r="D369">
        <v>50</v>
      </c>
      <c r="E369">
        <v>0.61</v>
      </c>
      <c r="F369">
        <v>0</v>
      </c>
      <c r="G369">
        <v>0</v>
      </c>
      <c r="H369">
        <v>0.61</v>
      </c>
    </row>
    <row r="370" spans="1:9">
      <c r="A370" t="s">
        <v>557</v>
      </c>
      <c r="B370" t="s">
        <v>23</v>
      </c>
      <c r="C370" t="s">
        <v>558</v>
      </c>
      <c r="D370">
        <v>225</v>
      </c>
      <c r="E370">
        <v>2.63</v>
      </c>
      <c r="F370">
        <v>0</v>
      </c>
      <c r="G370">
        <v>0</v>
      </c>
      <c r="H370">
        <v>2.63</v>
      </c>
      <c r="I370">
        <v>591.75</v>
      </c>
    </row>
    <row r="371" spans="1:9">
      <c r="A371" t="s">
        <v>559</v>
      </c>
      <c r="B371" t="s">
        <v>38</v>
      </c>
      <c r="C371" t="s">
        <v>343</v>
      </c>
      <c r="D371">
        <v>60</v>
      </c>
      <c r="E371">
        <v>2.25</v>
      </c>
      <c r="F371">
        <v>0</v>
      </c>
      <c r="G371">
        <v>0</v>
      </c>
      <c r="H371">
        <v>2.25</v>
      </c>
      <c r="I371">
        <v>135</v>
      </c>
    </row>
    <row r="372" spans="1:9">
      <c r="A372" t="s">
        <v>559</v>
      </c>
      <c r="B372" t="s">
        <v>23</v>
      </c>
      <c r="C372" t="s">
        <v>345</v>
      </c>
      <c r="D372">
        <v>60</v>
      </c>
      <c r="E372">
        <v>2.23</v>
      </c>
      <c r="F372">
        <v>0</v>
      </c>
      <c r="G372">
        <v>0</v>
      </c>
      <c r="H372">
        <v>2.23</v>
      </c>
      <c r="I372">
        <v>133.80000000000001</v>
      </c>
    </row>
    <row r="373" spans="1:9">
      <c r="A373" t="s">
        <v>559</v>
      </c>
      <c r="B373" t="s">
        <v>76</v>
      </c>
      <c r="C373" t="s">
        <v>511</v>
      </c>
      <c r="D373">
        <v>90</v>
      </c>
      <c r="E373">
        <v>4.9782000000000002</v>
      </c>
      <c r="F373">
        <v>0</v>
      </c>
      <c r="G373">
        <v>0</v>
      </c>
      <c r="H373">
        <v>4.9782000000000002</v>
      </c>
      <c r="I373">
        <v>448.04</v>
      </c>
    </row>
    <row r="374" spans="1:9">
      <c r="A374" t="s">
        <v>559</v>
      </c>
      <c r="B374" t="s">
        <v>110</v>
      </c>
      <c r="C374" t="s">
        <v>512</v>
      </c>
      <c r="D374">
        <v>90</v>
      </c>
      <c r="E374">
        <v>3.82</v>
      </c>
      <c r="F374">
        <v>0</v>
      </c>
      <c r="G374">
        <v>0</v>
      </c>
      <c r="H374">
        <v>3.82</v>
      </c>
      <c r="I374">
        <v>343.8</v>
      </c>
    </row>
    <row r="375" spans="1:9">
      <c r="A375" t="s">
        <v>559</v>
      </c>
      <c r="B375" t="s">
        <v>31</v>
      </c>
      <c r="C375" t="s">
        <v>351</v>
      </c>
      <c r="D375">
        <v>50</v>
      </c>
      <c r="E375">
        <v>1.9</v>
      </c>
      <c r="F375">
        <v>0</v>
      </c>
      <c r="G375">
        <v>0</v>
      </c>
      <c r="H375">
        <v>1.9</v>
      </c>
      <c r="I375">
        <v>95</v>
      </c>
    </row>
    <row r="376" spans="1:9">
      <c r="A376" t="s">
        <v>559</v>
      </c>
      <c r="B376" t="s">
        <v>33</v>
      </c>
      <c r="C376" t="s">
        <v>347</v>
      </c>
      <c r="D376">
        <v>50</v>
      </c>
      <c r="E376">
        <v>0.3</v>
      </c>
      <c r="F376">
        <v>0</v>
      </c>
      <c r="G376">
        <v>0</v>
      </c>
      <c r="H376">
        <v>0.3</v>
      </c>
      <c r="I376">
        <v>15</v>
      </c>
    </row>
    <row r="377" spans="1:9">
      <c r="A377" t="s">
        <v>560</v>
      </c>
      <c r="B377" t="s">
        <v>561</v>
      </c>
      <c r="C377" t="s">
        <v>562</v>
      </c>
      <c r="D377">
        <v>50</v>
      </c>
      <c r="E377">
        <v>3.4</v>
      </c>
      <c r="F377">
        <v>0</v>
      </c>
      <c r="G377">
        <v>0</v>
      </c>
      <c r="H377">
        <v>3.4</v>
      </c>
      <c r="I377">
        <v>170</v>
      </c>
    </row>
    <row r="378" spans="1:9">
      <c r="A378" t="s">
        <v>560</v>
      </c>
      <c r="B378" t="s">
        <v>563</v>
      </c>
      <c r="C378" t="s">
        <v>564</v>
      </c>
      <c r="D378">
        <v>50</v>
      </c>
      <c r="E378">
        <v>1.1499999999999999</v>
      </c>
      <c r="F378">
        <v>0</v>
      </c>
      <c r="G378">
        <v>0</v>
      </c>
      <c r="H378">
        <v>1.1499999999999999</v>
      </c>
      <c r="I378">
        <v>57.5</v>
      </c>
    </row>
    <row r="379" spans="1:9">
      <c r="A379" t="s">
        <v>560</v>
      </c>
      <c r="B379" t="s">
        <v>565</v>
      </c>
      <c r="C379" t="s">
        <v>566</v>
      </c>
      <c r="D379">
        <v>300</v>
      </c>
      <c r="E379">
        <v>0.59</v>
      </c>
      <c r="F379">
        <v>0</v>
      </c>
      <c r="G379">
        <v>0</v>
      </c>
      <c r="H379">
        <v>0.59</v>
      </c>
      <c r="I379">
        <v>177</v>
      </c>
    </row>
    <row r="380" spans="1:9">
      <c r="A380" t="s">
        <v>567</v>
      </c>
      <c r="B380" t="s">
        <v>568</v>
      </c>
      <c r="C380" t="s">
        <v>569</v>
      </c>
      <c r="D380">
        <v>20</v>
      </c>
      <c r="E380">
        <v>0.95109999999999995</v>
      </c>
      <c r="F380">
        <v>0.25</v>
      </c>
      <c r="G380">
        <v>0</v>
      </c>
      <c r="H380">
        <v>0.71332499999999999</v>
      </c>
    </row>
    <row r="381" spans="1:9">
      <c r="A381" t="s">
        <v>567</v>
      </c>
      <c r="B381" t="s">
        <v>570</v>
      </c>
      <c r="C381" t="s">
        <v>571</v>
      </c>
      <c r="D381">
        <v>0</v>
      </c>
      <c r="E381">
        <v>36.799999999999997</v>
      </c>
      <c r="F381">
        <v>0.35</v>
      </c>
      <c r="G381">
        <v>0</v>
      </c>
      <c r="H381">
        <v>23.919999999999998</v>
      </c>
    </row>
    <row r="382" spans="1:9">
      <c r="A382" t="s">
        <v>572</v>
      </c>
      <c r="B382" t="s">
        <v>573</v>
      </c>
      <c r="C382" t="s">
        <v>574</v>
      </c>
      <c r="D382">
        <v>1</v>
      </c>
      <c r="E382">
        <v>7.8</v>
      </c>
      <c r="F382">
        <v>0</v>
      </c>
      <c r="G382">
        <v>0</v>
      </c>
      <c r="H382">
        <v>7.8</v>
      </c>
      <c r="I382">
        <v>7.8</v>
      </c>
    </row>
    <row r="383" spans="1:9">
      <c r="A383" t="s">
        <v>572</v>
      </c>
      <c r="B383" t="s">
        <v>575</v>
      </c>
      <c r="C383" t="s">
        <v>576</v>
      </c>
      <c r="D383">
        <v>1</v>
      </c>
      <c r="E383">
        <v>1.1499999999999999</v>
      </c>
      <c r="F383">
        <v>0</v>
      </c>
      <c r="G383">
        <v>0</v>
      </c>
      <c r="H383">
        <v>1.1499999999999999</v>
      </c>
      <c r="I383">
        <v>1.1499999999999999</v>
      </c>
    </row>
    <row r="384" spans="1:9">
      <c r="A384" t="s">
        <v>572</v>
      </c>
      <c r="B384" t="s">
        <v>577</v>
      </c>
      <c r="C384" t="s">
        <v>578</v>
      </c>
      <c r="D384">
        <v>1</v>
      </c>
      <c r="E384">
        <v>4.75</v>
      </c>
      <c r="F384">
        <v>0</v>
      </c>
      <c r="G384">
        <v>0</v>
      </c>
      <c r="H384">
        <v>4.75</v>
      </c>
      <c r="I384">
        <v>4.75</v>
      </c>
    </row>
    <row r="385" spans="1:9">
      <c r="A385" t="s">
        <v>572</v>
      </c>
      <c r="B385" t="s">
        <v>579</v>
      </c>
      <c r="C385" t="s">
        <v>580</v>
      </c>
      <c r="D385">
        <v>200</v>
      </c>
      <c r="E385">
        <v>0.93</v>
      </c>
      <c r="F385">
        <v>0</v>
      </c>
      <c r="G385">
        <v>0</v>
      </c>
      <c r="H385">
        <v>0.93</v>
      </c>
      <c r="I385">
        <v>186</v>
      </c>
    </row>
    <row r="386" spans="1:9">
      <c r="A386" t="s">
        <v>581</v>
      </c>
      <c r="B386" t="s">
        <v>582</v>
      </c>
      <c r="C386" t="s">
        <v>583</v>
      </c>
      <c r="D386">
        <v>1</v>
      </c>
      <c r="E386">
        <v>108</v>
      </c>
      <c r="F386">
        <v>0</v>
      </c>
      <c r="G386">
        <v>0</v>
      </c>
      <c r="H386">
        <v>108</v>
      </c>
      <c r="I386">
        <v>108</v>
      </c>
    </row>
    <row r="387" spans="1:9">
      <c r="A387" t="s">
        <v>581</v>
      </c>
      <c r="B387" t="s">
        <v>584</v>
      </c>
      <c r="C387" t="s">
        <v>583</v>
      </c>
      <c r="D387">
        <v>1</v>
      </c>
      <c r="E387">
        <v>113</v>
      </c>
      <c r="F387">
        <v>0</v>
      </c>
      <c r="G387">
        <v>0</v>
      </c>
      <c r="H387">
        <v>113</v>
      </c>
      <c r="I387">
        <v>113</v>
      </c>
    </row>
    <row r="388" spans="1:9">
      <c r="A388" t="s">
        <v>585</v>
      </c>
      <c r="B388" t="s">
        <v>586</v>
      </c>
      <c r="C388" t="s">
        <v>587</v>
      </c>
      <c r="D388">
        <v>51</v>
      </c>
      <c r="E388">
        <v>3.66</v>
      </c>
      <c r="F388">
        <v>0</v>
      </c>
      <c r="G388">
        <v>0</v>
      </c>
      <c r="H388">
        <v>3.66</v>
      </c>
      <c r="I388">
        <v>186.66</v>
      </c>
    </row>
    <row r="389" spans="1:9">
      <c r="A389" t="s">
        <v>585</v>
      </c>
      <c r="B389" t="s">
        <v>38</v>
      </c>
      <c r="C389" t="s">
        <v>343</v>
      </c>
      <c r="D389">
        <v>120</v>
      </c>
      <c r="E389">
        <v>2.4</v>
      </c>
      <c r="F389">
        <v>0</v>
      </c>
      <c r="G389">
        <v>0</v>
      </c>
      <c r="H389">
        <v>2.4</v>
      </c>
      <c r="I389">
        <v>288</v>
      </c>
    </row>
    <row r="390" spans="1:9">
      <c r="A390" t="s">
        <v>585</v>
      </c>
      <c r="B390" t="s">
        <v>23</v>
      </c>
      <c r="C390" t="s">
        <v>345</v>
      </c>
      <c r="D390">
        <v>99</v>
      </c>
      <c r="E390">
        <v>2.63</v>
      </c>
      <c r="F390">
        <v>0</v>
      </c>
      <c r="G390">
        <v>0</v>
      </c>
      <c r="H390">
        <v>2.63</v>
      </c>
      <c r="I390">
        <v>260.37</v>
      </c>
    </row>
    <row r="391" spans="1:9">
      <c r="A391" t="s">
        <v>585</v>
      </c>
      <c r="B391" t="s">
        <v>40</v>
      </c>
      <c r="C391" t="s">
        <v>346</v>
      </c>
      <c r="D391">
        <v>200</v>
      </c>
      <c r="E391">
        <v>0.4</v>
      </c>
      <c r="F391">
        <v>0</v>
      </c>
      <c r="G391">
        <v>0</v>
      </c>
      <c r="H391">
        <v>0.4</v>
      </c>
      <c r="I391">
        <v>80</v>
      </c>
    </row>
    <row r="392" spans="1:9">
      <c r="A392" t="s">
        <v>585</v>
      </c>
      <c r="B392" t="s">
        <v>31</v>
      </c>
      <c r="C392" t="s">
        <v>351</v>
      </c>
      <c r="D392">
        <v>50</v>
      </c>
      <c r="E392">
        <v>2.25</v>
      </c>
      <c r="F392">
        <v>0</v>
      </c>
      <c r="G392">
        <v>0</v>
      </c>
      <c r="H392">
        <v>2.25</v>
      </c>
      <c r="I392">
        <v>112.5</v>
      </c>
    </row>
    <row r="393" spans="1:9">
      <c r="A393" t="s">
        <v>585</v>
      </c>
      <c r="B393" t="s">
        <v>33</v>
      </c>
      <c r="C393" t="s">
        <v>347</v>
      </c>
      <c r="D393">
        <v>150</v>
      </c>
      <c r="E393">
        <v>0.39</v>
      </c>
      <c r="F393">
        <v>0</v>
      </c>
      <c r="G393">
        <v>0</v>
      </c>
      <c r="H393">
        <v>0.39</v>
      </c>
      <c r="I393">
        <v>58.5</v>
      </c>
    </row>
    <row r="394" spans="1:9">
      <c r="A394" t="s">
        <v>588</v>
      </c>
      <c r="B394" t="s">
        <v>589</v>
      </c>
      <c r="C394" t="s">
        <v>590</v>
      </c>
      <c r="D394">
        <v>260</v>
      </c>
      <c r="E394">
        <v>0.35</v>
      </c>
      <c r="F394">
        <v>0</v>
      </c>
      <c r="G394">
        <v>0</v>
      </c>
      <c r="H394">
        <v>0.35</v>
      </c>
      <c r="I394">
        <v>91</v>
      </c>
    </row>
    <row r="395" spans="1:9">
      <c r="A395" t="s">
        <v>591</v>
      </c>
      <c r="B395" t="s">
        <v>23</v>
      </c>
      <c r="C395" t="s">
        <v>592</v>
      </c>
      <c r="D395">
        <v>24</v>
      </c>
      <c r="E395">
        <v>2.63</v>
      </c>
      <c r="F395">
        <v>0</v>
      </c>
      <c r="G395">
        <v>0</v>
      </c>
      <c r="H395">
        <v>2.63</v>
      </c>
      <c r="I395">
        <v>63.12</v>
      </c>
    </row>
    <row r="396" spans="1:9">
      <c r="A396" t="s">
        <v>593</v>
      </c>
      <c r="B396" t="s">
        <v>594</v>
      </c>
      <c r="C396" t="s">
        <v>595</v>
      </c>
      <c r="D396">
        <v>3</v>
      </c>
      <c r="E396">
        <v>24</v>
      </c>
      <c r="F396">
        <v>0</v>
      </c>
      <c r="G396">
        <v>0</v>
      </c>
      <c r="H396">
        <v>24</v>
      </c>
      <c r="I396">
        <v>72</v>
      </c>
    </row>
    <row r="397" spans="1:9">
      <c r="A397" t="s">
        <v>593</v>
      </c>
      <c r="B397" t="s">
        <v>596</v>
      </c>
      <c r="C397" t="s">
        <v>597</v>
      </c>
      <c r="D397">
        <v>3</v>
      </c>
      <c r="E397">
        <v>39.9</v>
      </c>
      <c r="F397">
        <v>0</v>
      </c>
      <c r="G397">
        <v>0</v>
      </c>
      <c r="H397">
        <v>39.9</v>
      </c>
      <c r="I397">
        <v>119.7</v>
      </c>
    </row>
    <row r="398" spans="1:9">
      <c r="A398" t="s">
        <v>593</v>
      </c>
      <c r="B398" t="s">
        <v>598</v>
      </c>
      <c r="C398" t="s">
        <v>599</v>
      </c>
      <c r="D398">
        <v>3</v>
      </c>
      <c r="E398">
        <v>44.7</v>
      </c>
      <c r="F398">
        <v>0</v>
      </c>
      <c r="G398">
        <v>0</v>
      </c>
      <c r="H398">
        <v>44.7</v>
      </c>
      <c r="I398">
        <v>134.1</v>
      </c>
    </row>
    <row r="399" spans="1:9">
      <c r="A399" t="s">
        <v>600</v>
      </c>
      <c r="B399" t="s">
        <v>340</v>
      </c>
      <c r="C399" t="s">
        <v>601</v>
      </c>
      <c r="D399">
        <v>50</v>
      </c>
      <c r="E399">
        <v>3.16</v>
      </c>
      <c r="F399">
        <v>0.5</v>
      </c>
      <c r="G399">
        <v>0</v>
      </c>
      <c r="H399">
        <v>1.58</v>
      </c>
      <c r="I399">
        <v>79</v>
      </c>
    </row>
    <row r="400" spans="1:9">
      <c r="A400" t="s">
        <v>602</v>
      </c>
      <c r="B400" t="s">
        <v>603</v>
      </c>
      <c r="C400" t="s">
        <v>604</v>
      </c>
      <c r="D400">
        <v>50</v>
      </c>
      <c r="E400">
        <v>5.68</v>
      </c>
      <c r="F400">
        <v>0.5</v>
      </c>
      <c r="G400">
        <v>0</v>
      </c>
      <c r="H400">
        <v>2.84</v>
      </c>
      <c r="I400">
        <v>142</v>
      </c>
    </row>
    <row r="401" spans="1:9">
      <c r="A401" t="s">
        <v>605</v>
      </c>
      <c r="B401" t="s">
        <v>340</v>
      </c>
      <c r="C401" t="s">
        <v>341</v>
      </c>
      <c r="D401">
        <v>150</v>
      </c>
      <c r="E401">
        <v>3.1545000000000001</v>
      </c>
      <c r="F401">
        <v>0.5</v>
      </c>
      <c r="G401">
        <v>0</v>
      </c>
      <c r="H401">
        <v>1.57725</v>
      </c>
      <c r="I401">
        <v>236.59</v>
      </c>
    </row>
    <row r="402" spans="1:9">
      <c r="A402" t="s">
        <v>606</v>
      </c>
      <c r="B402" t="s">
        <v>382</v>
      </c>
      <c r="C402" t="s">
        <v>383</v>
      </c>
      <c r="D402">
        <v>6</v>
      </c>
      <c r="E402">
        <v>2.27</v>
      </c>
      <c r="F402">
        <v>0</v>
      </c>
      <c r="G402">
        <v>0</v>
      </c>
      <c r="H402">
        <v>2.27</v>
      </c>
      <c r="I402">
        <v>13.62</v>
      </c>
    </row>
    <row r="403" spans="1:9">
      <c r="A403" t="s">
        <v>606</v>
      </c>
      <c r="B403" t="s">
        <v>384</v>
      </c>
      <c r="C403" t="s">
        <v>385</v>
      </c>
      <c r="D403">
        <v>2</v>
      </c>
      <c r="E403">
        <v>2.27</v>
      </c>
      <c r="F403">
        <v>0</v>
      </c>
      <c r="G403">
        <v>0</v>
      </c>
      <c r="H403">
        <v>2.27</v>
      </c>
      <c r="I403">
        <v>4.54</v>
      </c>
    </row>
    <row r="404" spans="1:9">
      <c r="A404" t="s">
        <v>606</v>
      </c>
      <c r="B404" t="s">
        <v>386</v>
      </c>
      <c r="C404" t="s">
        <v>387</v>
      </c>
      <c r="D404">
        <v>6</v>
      </c>
      <c r="E404">
        <v>2.27</v>
      </c>
      <c r="F404">
        <v>0</v>
      </c>
      <c r="G404">
        <v>0</v>
      </c>
      <c r="H404">
        <v>2.27</v>
      </c>
      <c r="I404">
        <v>13.62</v>
      </c>
    </row>
    <row r="405" spans="1:9">
      <c r="A405" t="s">
        <v>606</v>
      </c>
      <c r="B405" t="s">
        <v>388</v>
      </c>
      <c r="C405" t="s">
        <v>389</v>
      </c>
      <c r="D405">
        <v>5</v>
      </c>
      <c r="E405">
        <v>2.27</v>
      </c>
      <c r="F405">
        <v>0</v>
      </c>
      <c r="G405">
        <v>0</v>
      </c>
      <c r="H405">
        <v>2.27</v>
      </c>
      <c r="I405">
        <v>11.35</v>
      </c>
    </row>
    <row r="406" spans="1:9">
      <c r="A406" t="s">
        <v>606</v>
      </c>
      <c r="B406" t="s">
        <v>390</v>
      </c>
      <c r="C406" t="s">
        <v>391</v>
      </c>
      <c r="D406">
        <v>3</v>
      </c>
      <c r="E406">
        <v>6.91</v>
      </c>
      <c r="F406">
        <v>0</v>
      </c>
      <c r="G406">
        <v>0</v>
      </c>
      <c r="H406">
        <v>6.91</v>
      </c>
      <c r="I406">
        <v>20.73</v>
      </c>
    </row>
    <row r="407" spans="1:9">
      <c r="A407" t="s">
        <v>606</v>
      </c>
      <c r="B407" t="s">
        <v>607</v>
      </c>
      <c r="C407" t="s">
        <v>608</v>
      </c>
      <c r="D407">
        <v>6</v>
      </c>
      <c r="E407">
        <v>1.01</v>
      </c>
      <c r="F407">
        <v>0</v>
      </c>
      <c r="G407">
        <v>0</v>
      </c>
      <c r="H407">
        <v>1.01</v>
      </c>
      <c r="I407">
        <v>6.06</v>
      </c>
    </row>
    <row r="408" spans="1:9">
      <c r="A408" t="s">
        <v>606</v>
      </c>
      <c r="B408" t="s">
        <v>609</v>
      </c>
      <c r="C408" t="s">
        <v>610</v>
      </c>
      <c r="D408">
        <v>3</v>
      </c>
      <c r="E408">
        <v>0.49</v>
      </c>
      <c r="F408">
        <v>0</v>
      </c>
      <c r="G408">
        <v>0</v>
      </c>
      <c r="H408">
        <v>0.49</v>
      </c>
      <c r="I408">
        <v>1.47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E3574-8765-4A9D-B082-052F57F8EE23}">
  <dimension ref="A1:B81"/>
  <sheetViews>
    <sheetView workbookViewId="0">
      <selection activeCell="A21" sqref="A21"/>
    </sheetView>
  </sheetViews>
  <sheetFormatPr defaultRowHeight="15"/>
  <cols>
    <col min="1" max="1" width="42.42578125" bestFit="1" customWidth="1"/>
    <col min="2" max="2" width="10.42578125" bestFit="1" customWidth="1"/>
    <col min="3" max="3" width="10.140625" bestFit="1" customWidth="1"/>
  </cols>
  <sheetData>
    <row r="1" spans="1:2">
      <c r="A1" t="s">
        <v>0</v>
      </c>
      <c r="B1" t="s">
        <v>611</v>
      </c>
    </row>
    <row r="2" spans="1:2">
      <c r="A2" t="s">
        <v>9</v>
      </c>
      <c r="B2" s="6">
        <v>45488</v>
      </c>
    </row>
    <row r="3" spans="1:2">
      <c r="A3" t="s">
        <v>12</v>
      </c>
      <c r="B3" s="6">
        <v>45491</v>
      </c>
    </row>
    <row r="4" spans="1:2">
      <c r="A4" t="s">
        <v>15</v>
      </c>
      <c r="B4" s="6">
        <v>45909</v>
      </c>
    </row>
    <row r="5" spans="1:2">
      <c r="A5" t="s">
        <v>18</v>
      </c>
      <c r="B5" s="6">
        <v>45910</v>
      </c>
    </row>
    <row r="6" spans="1:2">
      <c r="A6" t="s">
        <v>37</v>
      </c>
      <c r="B6" s="6">
        <v>46080</v>
      </c>
    </row>
    <row r="7" spans="1:2">
      <c r="A7" t="s">
        <v>44</v>
      </c>
      <c r="B7" s="6">
        <v>46080</v>
      </c>
    </row>
    <row r="8" spans="1:2">
      <c r="A8" t="s">
        <v>49</v>
      </c>
      <c r="B8" s="6">
        <v>45460</v>
      </c>
    </row>
    <row r="9" spans="1:2">
      <c r="A9" t="s">
        <v>64</v>
      </c>
      <c r="B9" s="6">
        <v>45460</v>
      </c>
    </row>
    <row r="10" spans="1:2">
      <c r="A10" t="s">
        <v>71</v>
      </c>
      <c r="B10" s="6">
        <v>45460</v>
      </c>
    </row>
    <row r="11" spans="1:2">
      <c r="A11" t="s">
        <v>72</v>
      </c>
      <c r="B11" s="6">
        <v>45461</v>
      </c>
    </row>
    <row r="12" spans="1:2">
      <c r="A12" t="s">
        <v>73</v>
      </c>
      <c r="B12" s="6">
        <v>45841</v>
      </c>
    </row>
    <row r="13" spans="1:2">
      <c r="A13" t="s">
        <v>75</v>
      </c>
      <c r="B13" s="6">
        <v>45842</v>
      </c>
    </row>
    <row r="14" spans="1:2">
      <c r="A14" t="s">
        <v>78</v>
      </c>
      <c r="B14" s="6">
        <v>45464</v>
      </c>
    </row>
    <row r="15" spans="1:2">
      <c r="A15" t="s">
        <v>93</v>
      </c>
      <c r="B15" s="6">
        <v>45896</v>
      </c>
    </row>
    <row r="16" spans="1:2">
      <c r="A16" t="s">
        <v>94</v>
      </c>
      <c r="B16" s="6">
        <v>45534</v>
      </c>
    </row>
    <row r="17" spans="1:2">
      <c r="A17" t="s">
        <v>95</v>
      </c>
      <c r="B17" s="6">
        <v>45576</v>
      </c>
    </row>
    <row r="18" spans="1:2">
      <c r="A18" t="s">
        <v>96</v>
      </c>
      <c r="B18" s="6">
        <v>45988</v>
      </c>
    </row>
    <row r="19" spans="1:2">
      <c r="A19" t="s">
        <v>99</v>
      </c>
      <c r="B19" s="6">
        <v>45989</v>
      </c>
    </row>
    <row r="20" spans="1:2">
      <c r="A20" t="s">
        <v>102</v>
      </c>
      <c r="B20" s="6">
        <v>45699</v>
      </c>
    </row>
    <row r="21" spans="1:2">
      <c r="A21" t="s">
        <v>103</v>
      </c>
      <c r="B21" s="6">
        <v>45707</v>
      </c>
    </row>
    <row r="22" spans="1:2">
      <c r="A22" t="s">
        <v>105</v>
      </c>
      <c r="B22" s="6">
        <v>46079</v>
      </c>
    </row>
    <row r="23" spans="1:2">
      <c r="A23" t="s">
        <v>108</v>
      </c>
      <c r="B23" s="6">
        <v>46080</v>
      </c>
    </row>
    <row r="24" spans="1:2">
      <c r="A24" t="s">
        <v>112</v>
      </c>
      <c r="B24" s="6">
        <v>45714</v>
      </c>
    </row>
    <row r="25" spans="1:2">
      <c r="A25" t="s">
        <v>115</v>
      </c>
      <c r="B25" s="6">
        <v>46105</v>
      </c>
    </row>
    <row r="26" spans="1:2">
      <c r="A26" t="s">
        <v>116</v>
      </c>
      <c r="B26" s="6">
        <v>45735</v>
      </c>
    </row>
    <row r="27" spans="1:2">
      <c r="A27" t="s">
        <v>119</v>
      </c>
      <c r="B27" s="6">
        <v>45751</v>
      </c>
    </row>
    <row r="28" spans="1:2">
      <c r="A28" t="s">
        <v>121</v>
      </c>
      <c r="B28" s="6">
        <v>45797</v>
      </c>
    </row>
    <row r="29" spans="1:2">
      <c r="A29" t="s">
        <v>128</v>
      </c>
      <c r="B29" s="6">
        <v>45804</v>
      </c>
    </row>
    <row r="30" spans="1:2">
      <c r="A30" t="s">
        <v>131</v>
      </c>
      <c r="B30" s="6">
        <v>46203</v>
      </c>
    </row>
    <row r="31" spans="1:2">
      <c r="A31" t="s">
        <v>136</v>
      </c>
      <c r="B31" s="6">
        <v>45820</v>
      </c>
    </row>
    <row r="32" spans="1:2">
      <c r="A32" t="s">
        <v>142</v>
      </c>
      <c r="B32" s="6">
        <v>45832</v>
      </c>
    </row>
    <row r="33" spans="1:2">
      <c r="A33" t="s">
        <v>143</v>
      </c>
      <c r="B33" s="6">
        <v>45838</v>
      </c>
    </row>
    <row r="34" spans="1:2">
      <c r="A34" t="s">
        <v>144</v>
      </c>
      <c r="B34" s="6">
        <v>45838</v>
      </c>
    </row>
    <row r="35" spans="1:2">
      <c r="A35" t="s">
        <v>146</v>
      </c>
      <c r="B35" s="6">
        <v>46105</v>
      </c>
    </row>
    <row r="36" spans="1:2">
      <c r="A36" t="s">
        <v>147</v>
      </c>
      <c r="B36" s="6">
        <v>46052</v>
      </c>
    </row>
    <row r="37" spans="1:2">
      <c r="A37" t="s">
        <v>158</v>
      </c>
      <c r="B37" s="6">
        <v>45916</v>
      </c>
    </row>
    <row r="38" spans="1:2">
      <c r="A38" t="s">
        <v>161</v>
      </c>
      <c r="B38" s="6">
        <v>45916</v>
      </c>
    </row>
    <row r="39" spans="1:2">
      <c r="A39" t="s">
        <v>164</v>
      </c>
      <c r="B39" s="6">
        <v>45918</v>
      </c>
    </row>
    <row r="40" spans="1:2">
      <c r="A40" t="s">
        <v>167</v>
      </c>
      <c r="B40" s="6">
        <v>45918</v>
      </c>
    </row>
    <row r="41" spans="1:2">
      <c r="A41" t="s">
        <v>176</v>
      </c>
      <c r="B41" s="6">
        <v>45537</v>
      </c>
    </row>
    <row r="42" spans="1:2">
      <c r="A42" t="s">
        <v>178</v>
      </c>
      <c r="B42" s="6">
        <v>45537</v>
      </c>
    </row>
    <row r="43" spans="1:2">
      <c r="A43" t="s">
        <v>181</v>
      </c>
      <c r="B43" s="6">
        <v>45932</v>
      </c>
    </row>
    <row r="44" spans="1:2">
      <c r="A44" t="s">
        <v>183</v>
      </c>
      <c r="B44" s="6">
        <v>45937</v>
      </c>
    </row>
    <row r="45" spans="1:2">
      <c r="A45" t="s">
        <v>186</v>
      </c>
      <c r="B45" s="6">
        <v>45939</v>
      </c>
    </row>
    <row r="46" spans="1:2">
      <c r="A46" t="s">
        <v>188</v>
      </c>
      <c r="B46" s="6">
        <v>46057</v>
      </c>
    </row>
    <row r="47" spans="1:2">
      <c r="A47" t="s">
        <v>195</v>
      </c>
      <c r="B47" s="6">
        <v>45593</v>
      </c>
    </row>
    <row r="48" spans="1:2">
      <c r="A48" t="s">
        <v>204</v>
      </c>
      <c r="B48" s="6">
        <v>45994</v>
      </c>
    </row>
    <row r="49" spans="1:2">
      <c r="A49" t="s">
        <v>207</v>
      </c>
      <c r="B49" s="6">
        <v>45610</v>
      </c>
    </row>
    <row r="50" spans="1:2">
      <c r="A50" t="s">
        <v>208</v>
      </c>
      <c r="B50" s="6">
        <v>46007</v>
      </c>
    </row>
    <row r="51" spans="1:2">
      <c r="A51" t="s">
        <v>211</v>
      </c>
      <c r="B51" s="6">
        <v>46008</v>
      </c>
    </row>
    <row r="52" spans="1:2">
      <c r="A52" t="s">
        <v>214</v>
      </c>
      <c r="B52" s="6">
        <v>46009</v>
      </c>
    </row>
    <row r="53" spans="1:2">
      <c r="A53" t="s">
        <v>215</v>
      </c>
      <c r="B53" s="6">
        <v>45625</v>
      </c>
    </row>
    <row r="54" spans="1:2">
      <c r="A54" t="s">
        <v>222</v>
      </c>
      <c r="B54" s="6">
        <v>45635</v>
      </c>
    </row>
    <row r="55" spans="1:2">
      <c r="A55" t="s">
        <v>223</v>
      </c>
      <c r="B55" s="6">
        <v>46031</v>
      </c>
    </row>
    <row r="56" spans="1:2">
      <c r="A56" t="s">
        <v>224</v>
      </c>
      <c r="B56" s="6">
        <v>46031</v>
      </c>
    </row>
    <row r="57" spans="1:2">
      <c r="A57" t="s">
        <v>239</v>
      </c>
      <c r="B57" s="6">
        <v>46108</v>
      </c>
    </row>
    <row r="58" spans="1:2">
      <c r="A58" t="s">
        <v>262</v>
      </c>
      <c r="B58" s="6">
        <v>46156</v>
      </c>
    </row>
    <row r="59" spans="1:2">
      <c r="A59" t="s">
        <v>263</v>
      </c>
      <c r="B59" s="6">
        <v>46156</v>
      </c>
    </row>
    <row r="60" spans="1:2">
      <c r="A60" t="s">
        <v>264</v>
      </c>
      <c r="B60" s="6">
        <v>46168</v>
      </c>
    </row>
    <row r="61" spans="1:2">
      <c r="A61" t="s">
        <v>285</v>
      </c>
      <c r="B61" s="6">
        <v>46170</v>
      </c>
    </row>
    <row r="62" spans="1:2">
      <c r="A62" t="s">
        <v>287</v>
      </c>
      <c r="B62" s="6">
        <v>46202</v>
      </c>
    </row>
    <row r="63" spans="1:2">
      <c r="A63" t="s">
        <v>290</v>
      </c>
      <c r="B63" s="6">
        <v>46213</v>
      </c>
    </row>
    <row r="64" spans="1:2">
      <c r="A64" t="s">
        <v>291</v>
      </c>
      <c r="B64" s="6">
        <v>46213</v>
      </c>
    </row>
    <row r="65" spans="1:2">
      <c r="A65" t="s">
        <v>612</v>
      </c>
      <c r="B65" s="6">
        <v>45694</v>
      </c>
    </row>
    <row r="66" spans="1:2">
      <c r="A66" t="s">
        <v>613</v>
      </c>
      <c r="B66" s="6">
        <v>45866</v>
      </c>
    </row>
    <row r="67" spans="1:2">
      <c r="A67" t="s">
        <v>614</v>
      </c>
      <c r="B67" s="6">
        <v>45883</v>
      </c>
    </row>
    <row r="68" spans="1:2">
      <c r="A68" t="s">
        <v>615</v>
      </c>
      <c r="B68" s="6">
        <v>45883</v>
      </c>
    </row>
    <row r="69" spans="1:2">
      <c r="A69" t="s">
        <v>616</v>
      </c>
      <c r="B69" s="6">
        <v>45891</v>
      </c>
    </row>
    <row r="70" spans="1:2">
      <c r="A70" t="s">
        <v>617</v>
      </c>
      <c r="B70" s="6">
        <v>45898</v>
      </c>
    </row>
    <row r="71" spans="1:2">
      <c r="A71" t="s">
        <v>618</v>
      </c>
      <c r="B71" s="6">
        <v>45639</v>
      </c>
    </row>
    <row r="72" spans="1:2">
      <c r="A72" t="s">
        <v>619</v>
      </c>
      <c r="B72" s="6">
        <v>45707</v>
      </c>
    </row>
    <row r="73" spans="1:2">
      <c r="A73" t="s">
        <v>620</v>
      </c>
      <c r="B73" s="6">
        <v>45708</v>
      </c>
    </row>
    <row r="74" spans="1:2">
      <c r="A74" t="s">
        <v>621</v>
      </c>
      <c r="B74" s="6">
        <v>45804</v>
      </c>
    </row>
    <row r="75" spans="1:2">
      <c r="A75" t="s">
        <v>622</v>
      </c>
      <c r="B75" s="6">
        <v>45804</v>
      </c>
    </row>
    <row r="76" spans="1:2">
      <c r="A76" t="s">
        <v>623</v>
      </c>
      <c r="B76" s="6">
        <v>45806</v>
      </c>
    </row>
    <row r="77" spans="1:2">
      <c r="A77" t="s">
        <v>624</v>
      </c>
      <c r="B77" s="6">
        <v>45806</v>
      </c>
    </row>
    <row r="78" spans="1:2">
      <c r="A78" t="s">
        <v>625</v>
      </c>
      <c r="B78" s="6">
        <v>45811</v>
      </c>
    </row>
    <row r="79" spans="1:2">
      <c r="A79" t="s">
        <v>626</v>
      </c>
      <c r="B79" s="6">
        <v>45826</v>
      </c>
    </row>
    <row r="80" spans="1:2">
      <c r="A80" t="s">
        <v>627</v>
      </c>
      <c r="B80" s="6">
        <v>45831</v>
      </c>
    </row>
    <row r="81" spans="1:2">
      <c r="A81" t="s">
        <v>628</v>
      </c>
      <c r="B81" s="6">
        <v>45838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61857-22C5-4565-9A57-C6A6AB190551}">
  <dimension ref="A1:L97"/>
  <sheetViews>
    <sheetView workbookViewId="0">
      <selection activeCell="A3" sqref="A3"/>
    </sheetView>
  </sheetViews>
  <sheetFormatPr defaultRowHeight="15"/>
  <cols>
    <col min="1" max="1" width="45.42578125" bestFit="1" customWidth="1"/>
    <col min="2" max="2" width="19.42578125" bestFit="1" customWidth="1"/>
    <col min="3" max="3" width="81.140625" bestFit="1" customWidth="1"/>
    <col min="4" max="4" width="7.140625" bestFit="1" customWidth="1"/>
    <col min="5" max="5" width="11" style="2" bestFit="1" customWidth="1"/>
    <col min="6" max="7" width="8.85546875" bestFit="1" customWidth="1"/>
    <col min="8" max="8" width="20.5703125" style="2" bestFit="1" customWidth="1"/>
    <col min="9" max="9" width="11" style="2" bestFit="1" customWidth="1"/>
    <col min="10" max="10" width="11" style="2" customWidth="1"/>
    <col min="11" max="12" width="8.85546875" style="1" bestFit="1" customWidth="1"/>
    <col min="13" max="13" width="7.710937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s="1" t="s">
        <v>5</v>
      </c>
      <c r="G1" s="1" t="s">
        <v>6</v>
      </c>
      <c r="H1" t="s">
        <v>629</v>
      </c>
      <c r="I1" s="2" t="s">
        <v>8</v>
      </c>
      <c r="J1"/>
      <c r="K1"/>
      <c r="L1"/>
    </row>
    <row r="2" spans="1:12">
      <c r="A2" t="s">
        <v>294</v>
      </c>
      <c r="B2" t="s">
        <v>295</v>
      </c>
      <c r="C2" t="s">
        <v>296</v>
      </c>
      <c r="D2">
        <v>50</v>
      </c>
      <c r="E2" s="2">
        <v>4.51</v>
      </c>
      <c r="F2" s="1">
        <v>0</v>
      </c>
      <c r="G2" s="1">
        <v>0</v>
      </c>
      <c r="H2">
        <v>4.51</v>
      </c>
      <c r="I2" s="2">
        <v>225.5</v>
      </c>
      <c r="J2"/>
      <c r="K2"/>
      <c r="L2"/>
    </row>
    <row r="3" spans="1:12">
      <c r="A3" t="s">
        <v>297</v>
      </c>
      <c r="B3" t="s">
        <v>298</v>
      </c>
      <c r="C3" t="s">
        <v>299</v>
      </c>
      <c r="D3">
        <v>200</v>
      </c>
      <c r="E3" s="2">
        <v>0.66</v>
      </c>
      <c r="F3" s="1">
        <v>0</v>
      </c>
      <c r="G3" s="1">
        <v>0</v>
      </c>
      <c r="H3">
        <v>0.66</v>
      </c>
      <c r="I3" s="2">
        <v>132</v>
      </c>
      <c r="J3"/>
      <c r="K3"/>
      <c r="L3"/>
    </row>
    <row r="4" spans="1:12">
      <c r="A4" t="s">
        <v>297</v>
      </c>
      <c r="B4" t="s">
        <v>13</v>
      </c>
      <c r="C4" t="s">
        <v>300</v>
      </c>
      <c r="D4">
        <v>3</v>
      </c>
      <c r="E4" s="2">
        <v>3.62</v>
      </c>
      <c r="F4" s="1">
        <v>0</v>
      </c>
      <c r="G4" s="1">
        <v>0</v>
      </c>
      <c r="H4">
        <v>3.62</v>
      </c>
      <c r="I4" s="2">
        <v>10.86</v>
      </c>
      <c r="J4"/>
      <c r="K4"/>
      <c r="L4"/>
    </row>
    <row r="5" spans="1:12">
      <c r="A5" t="s">
        <v>301</v>
      </c>
      <c r="B5" t="s">
        <v>302</v>
      </c>
      <c r="C5" t="s">
        <v>303</v>
      </c>
      <c r="D5">
        <v>305</v>
      </c>
      <c r="E5" s="2">
        <v>0.36</v>
      </c>
      <c r="F5" s="1">
        <v>0</v>
      </c>
      <c r="G5" s="1">
        <v>0</v>
      </c>
      <c r="H5">
        <v>0.36</v>
      </c>
      <c r="I5" s="2">
        <v>109.8</v>
      </c>
      <c r="J5"/>
      <c r="K5"/>
      <c r="L5"/>
    </row>
    <row r="6" spans="1:12">
      <c r="A6" t="s">
        <v>301</v>
      </c>
      <c r="B6" t="s">
        <v>79</v>
      </c>
      <c r="C6" t="s">
        <v>304</v>
      </c>
      <c r="D6">
        <v>1</v>
      </c>
      <c r="E6" s="2">
        <v>62</v>
      </c>
      <c r="F6" s="1">
        <v>0</v>
      </c>
      <c r="G6" s="1">
        <v>0</v>
      </c>
      <c r="H6">
        <v>62</v>
      </c>
      <c r="I6" s="2">
        <v>62</v>
      </c>
      <c r="J6"/>
      <c r="K6"/>
      <c r="L6"/>
    </row>
    <row r="7" spans="1:12">
      <c r="A7" t="s">
        <v>301</v>
      </c>
      <c r="B7" t="s">
        <v>89</v>
      </c>
      <c r="C7" t="s">
        <v>305</v>
      </c>
      <c r="D7">
        <v>2</v>
      </c>
      <c r="E7" s="2">
        <v>12.37</v>
      </c>
      <c r="F7" s="1">
        <v>0</v>
      </c>
      <c r="G7" s="1">
        <v>0</v>
      </c>
      <c r="H7">
        <v>12.37</v>
      </c>
      <c r="I7" s="2">
        <v>24.74</v>
      </c>
      <c r="J7"/>
      <c r="K7"/>
      <c r="L7"/>
    </row>
    <row r="8" spans="1:12">
      <c r="A8" t="s">
        <v>301</v>
      </c>
      <c r="B8" t="s">
        <v>91</v>
      </c>
      <c r="C8" t="s">
        <v>306</v>
      </c>
      <c r="D8">
        <v>6</v>
      </c>
      <c r="E8" s="2">
        <v>0.36</v>
      </c>
      <c r="F8" s="1">
        <v>0</v>
      </c>
      <c r="G8" s="1">
        <v>0</v>
      </c>
      <c r="H8">
        <v>0.36</v>
      </c>
      <c r="I8" s="2">
        <v>2.16</v>
      </c>
      <c r="J8"/>
      <c r="K8"/>
      <c r="L8"/>
    </row>
    <row r="9" spans="1:12">
      <c r="A9" t="s">
        <v>307</v>
      </c>
      <c r="B9" t="s">
        <v>308</v>
      </c>
      <c r="C9" t="s">
        <v>309</v>
      </c>
      <c r="D9">
        <v>1</v>
      </c>
      <c r="E9" s="2">
        <v>39.53</v>
      </c>
      <c r="F9" s="1">
        <v>0</v>
      </c>
      <c r="G9" s="1">
        <v>0</v>
      </c>
      <c r="H9">
        <v>39.53</v>
      </c>
      <c r="I9" s="2">
        <v>39.53</v>
      </c>
      <c r="J9"/>
      <c r="K9"/>
      <c r="L9"/>
    </row>
    <row r="10" spans="1:12">
      <c r="A10" t="s">
        <v>361</v>
      </c>
      <c r="B10" t="s">
        <v>362</v>
      </c>
      <c r="C10" t="s">
        <v>363</v>
      </c>
      <c r="D10">
        <v>1</v>
      </c>
      <c r="E10" s="2">
        <v>119.95</v>
      </c>
      <c r="F10" s="1">
        <v>0</v>
      </c>
      <c r="G10" s="1">
        <v>0</v>
      </c>
      <c r="H10">
        <v>119.95</v>
      </c>
      <c r="I10" s="2">
        <v>119.95</v>
      </c>
      <c r="J10"/>
      <c r="K10"/>
      <c r="L10"/>
    </row>
    <row r="11" spans="1:12">
      <c r="A11" t="s">
        <v>364</v>
      </c>
      <c r="B11" t="s">
        <v>79</v>
      </c>
      <c r="C11" t="s">
        <v>304</v>
      </c>
      <c r="D11">
        <v>10</v>
      </c>
      <c r="E11" s="2">
        <v>62</v>
      </c>
      <c r="F11" s="1">
        <v>0</v>
      </c>
      <c r="G11" s="1">
        <v>0</v>
      </c>
      <c r="H11">
        <v>62</v>
      </c>
      <c r="I11" s="2">
        <v>620</v>
      </c>
      <c r="J11"/>
      <c r="K11"/>
      <c r="L11"/>
    </row>
    <row r="12" spans="1:12">
      <c r="A12" t="s">
        <v>364</v>
      </c>
      <c r="B12" t="s">
        <v>365</v>
      </c>
      <c r="C12" t="s">
        <v>366</v>
      </c>
      <c r="D12">
        <v>100</v>
      </c>
      <c r="E12" s="2">
        <v>0.48</v>
      </c>
      <c r="F12" s="1">
        <v>0</v>
      </c>
      <c r="G12" s="1">
        <v>0</v>
      </c>
      <c r="H12">
        <v>0.48</v>
      </c>
      <c r="I12" s="2">
        <v>48</v>
      </c>
      <c r="J12"/>
      <c r="K12"/>
      <c r="L12"/>
    </row>
    <row r="13" spans="1:12">
      <c r="A13" t="s">
        <v>364</v>
      </c>
      <c r="B13" t="s">
        <v>367</v>
      </c>
      <c r="C13" t="s">
        <v>368</v>
      </c>
      <c r="D13">
        <v>50</v>
      </c>
      <c r="E13" s="2">
        <v>1.53</v>
      </c>
      <c r="F13" s="1">
        <v>0</v>
      </c>
      <c r="G13" s="1">
        <v>0</v>
      </c>
      <c r="H13">
        <v>1.53</v>
      </c>
      <c r="I13" s="2">
        <v>76.5</v>
      </c>
      <c r="J13"/>
      <c r="K13"/>
      <c r="L13"/>
    </row>
    <row r="14" spans="1:12">
      <c r="A14" t="s">
        <v>369</v>
      </c>
      <c r="B14" t="s">
        <v>29</v>
      </c>
      <c r="C14" t="s">
        <v>370</v>
      </c>
      <c r="D14">
        <v>10</v>
      </c>
      <c r="E14" s="2">
        <v>3.08</v>
      </c>
      <c r="F14" s="1">
        <v>0</v>
      </c>
      <c r="G14" s="1">
        <v>0</v>
      </c>
      <c r="H14">
        <v>3.08</v>
      </c>
      <c r="I14" s="2">
        <v>30.8</v>
      </c>
      <c r="J14"/>
      <c r="K14"/>
      <c r="L14"/>
    </row>
    <row r="15" spans="1:12">
      <c r="A15" t="s">
        <v>371</v>
      </c>
      <c r="B15" t="s">
        <v>372</v>
      </c>
      <c r="C15" t="s">
        <v>373</v>
      </c>
      <c r="D15">
        <v>1</v>
      </c>
      <c r="E15" s="2">
        <v>3.66</v>
      </c>
      <c r="F15" s="1">
        <v>0</v>
      </c>
      <c r="G15" s="1">
        <v>0</v>
      </c>
      <c r="H15">
        <v>3.66</v>
      </c>
      <c r="I15" s="2">
        <v>3.66</v>
      </c>
      <c r="J15"/>
      <c r="K15"/>
      <c r="L15"/>
    </row>
    <row r="16" spans="1:12">
      <c r="A16" t="s">
        <v>371</v>
      </c>
      <c r="B16" t="s">
        <v>374</v>
      </c>
      <c r="C16" t="s">
        <v>375</v>
      </c>
      <c r="D16">
        <v>1</v>
      </c>
      <c r="E16" s="2">
        <v>3.66</v>
      </c>
      <c r="F16" s="1">
        <v>0</v>
      </c>
      <c r="G16" s="1">
        <v>0</v>
      </c>
      <c r="H16">
        <v>3.66</v>
      </c>
      <c r="I16" s="2">
        <v>3.66</v>
      </c>
      <c r="J16"/>
      <c r="K16"/>
      <c r="L16"/>
    </row>
    <row r="17" spans="1:12">
      <c r="A17" t="s">
        <v>371</v>
      </c>
      <c r="B17" t="s">
        <v>376</v>
      </c>
      <c r="C17" t="s">
        <v>377</v>
      </c>
      <c r="D17">
        <v>1</v>
      </c>
      <c r="E17" s="2">
        <v>3.66</v>
      </c>
      <c r="F17" s="1">
        <v>0</v>
      </c>
      <c r="G17" s="1">
        <v>0</v>
      </c>
      <c r="H17">
        <v>3.66</v>
      </c>
      <c r="I17" s="2">
        <v>3.66</v>
      </c>
      <c r="J17"/>
      <c r="K17"/>
      <c r="L17"/>
    </row>
    <row r="18" spans="1:12">
      <c r="A18" t="s">
        <v>371</v>
      </c>
      <c r="B18" t="s">
        <v>378</v>
      </c>
      <c r="C18" t="s">
        <v>379</v>
      </c>
      <c r="D18">
        <v>1</v>
      </c>
      <c r="E18" s="2">
        <v>3.66</v>
      </c>
      <c r="F18" s="1">
        <v>0</v>
      </c>
      <c r="G18" s="1">
        <v>0</v>
      </c>
      <c r="H18">
        <v>3.66</v>
      </c>
      <c r="I18" s="2">
        <v>3.66</v>
      </c>
      <c r="J18"/>
      <c r="K18"/>
      <c r="L18"/>
    </row>
    <row r="19" spans="1:12">
      <c r="A19" t="s">
        <v>371</v>
      </c>
      <c r="B19" t="s">
        <v>380</v>
      </c>
      <c r="C19" t="s">
        <v>381</v>
      </c>
      <c r="D19">
        <v>1</v>
      </c>
      <c r="E19" s="2">
        <v>7.74</v>
      </c>
      <c r="F19" s="1">
        <v>0</v>
      </c>
      <c r="G19" s="1">
        <v>0</v>
      </c>
      <c r="H19">
        <v>7.74</v>
      </c>
      <c r="I19" s="2">
        <v>7.74</v>
      </c>
      <c r="J19"/>
      <c r="K19"/>
      <c r="L19"/>
    </row>
    <row r="20" spans="1:12">
      <c r="A20" t="s">
        <v>371</v>
      </c>
      <c r="B20" t="s">
        <v>382</v>
      </c>
      <c r="C20" t="s">
        <v>383</v>
      </c>
      <c r="D20">
        <v>1</v>
      </c>
      <c r="E20" s="2">
        <v>2.27</v>
      </c>
      <c r="F20" s="1">
        <v>0</v>
      </c>
      <c r="G20" s="1">
        <v>0</v>
      </c>
      <c r="H20">
        <v>2.27</v>
      </c>
      <c r="I20" s="2">
        <v>2.27</v>
      </c>
      <c r="J20"/>
      <c r="K20"/>
      <c r="L20"/>
    </row>
    <row r="21" spans="1:12">
      <c r="A21" t="s">
        <v>371</v>
      </c>
      <c r="B21" t="s">
        <v>384</v>
      </c>
      <c r="C21" t="s">
        <v>385</v>
      </c>
      <c r="D21">
        <v>1</v>
      </c>
      <c r="E21" s="2">
        <v>2.27</v>
      </c>
      <c r="F21" s="1">
        <v>0</v>
      </c>
      <c r="G21" s="1">
        <v>0</v>
      </c>
      <c r="H21">
        <v>2.27</v>
      </c>
      <c r="I21" s="2">
        <v>2.27</v>
      </c>
      <c r="J21"/>
      <c r="K21"/>
      <c r="L21"/>
    </row>
    <row r="22" spans="1:12">
      <c r="A22" t="s">
        <v>371</v>
      </c>
      <c r="B22" t="s">
        <v>386</v>
      </c>
      <c r="C22" t="s">
        <v>387</v>
      </c>
      <c r="D22">
        <v>1</v>
      </c>
      <c r="E22" s="2">
        <v>2.27</v>
      </c>
      <c r="F22" s="1">
        <v>0</v>
      </c>
      <c r="G22" s="1">
        <v>0</v>
      </c>
      <c r="H22">
        <v>2.27</v>
      </c>
      <c r="I22" s="2">
        <v>2.27</v>
      </c>
      <c r="J22"/>
      <c r="K22"/>
      <c r="L22"/>
    </row>
    <row r="23" spans="1:12">
      <c r="A23" t="s">
        <v>371</v>
      </c>
      <c r="B23" t="s">
        <v>388</v>
      </c>
      <c r="C23" t="s">
        <v>389</v>
      </c>
      <c r="D23">
        <v>1</v>
      </c>
      <c r="E23" s="2">
        <v>2.27</v>
      </c>
      <c r="F23" s="1">
        <v>0</v>
      </c>
      <c r="G23" s="1">
        <v>0</v>
      </c>
      <c r="H23">
        <v>2.27</v>
      </c>
      <c r="I23" s="2">
        <v>2.27</v>
      </c>
      <c r="J23"/>
      <c r="K23"/>
      <c r="L23"/>
    </row>
    <row r="24" spans="1:12">
      <c r="A24" t="s">
        <v>371</v>
      </c>
      <c r="B24" t="s">
        <v>390</v>
      </c>
      <c r="C24" t="s">
        <v>391</v>
      </c>
      <c r="D24">
        <v>1</v>
      </c>
      <c r="E24" s="2">
        <v>6.91</v>
      </c>
      <c r="F24" s="1">
        <v>0</v>
      </c>
      <c r="G24" s="1">
        <v>0</v>
      </c>
      <c r="H24">
        <v>6.91</v>
      </c>
      <c r="I24" s="2">
        <v>6.91</v>
      </c>
      <c r="J24"/>
      <c r="K24"/>
      <c r="L24"/>
    </row>
    <row r="25" spans="1:12">
      <c r="A25" t="s">
        <v>371</v>
      </c>
      <c r="B25" t="s">
        <v>392</v>
      </c>
      <c r="C25" t="s">
        <v>393</v>
      </c>
      <c r="D25">
        <v>3</v>
      </c>
      <c r="E25" s="2">
        <v>1.58</v>
      </c>
      <c r="F25" s="1">
        <v>0</v>
      </c>
      <c r="G25" s="1">
        <v>0</v>
      </c>
      <c r="H25">
        <v>1.58</v>
      </c>
      <c r="I25" s="2">
        <v>4.74</v>
      </c>
      <c r="J25"/>
      <c r="K25"/>
      <c r="L25"/>
    </row>
    <row r="26" spans="1:12">
      <c r="A26" t="s">
        <v>371</v>
      </c>
      <c r="B26" t="s">
        <v>394</v>
      </c>
      <c r="C26" t="s">
        <v>395</v>
      </c>
      <c r="D26">
        <v>3</v>
      </c>
      <c r="E26" s="2">
        <v>1.58</v>
      </c>
      <c r="F26" s="1">
        <v>0</v>
      </c>
      <c r="G26" s="1">
        <v>0</v>
      </c>
      <c r="H26">
        <v>1.58</v>
      </c>
      <c r="I26" s="2">
        <v>4.74</v>
      </c>
      <c r="J26"/>
      <c r="K26"/>
      <c r="L26"/>
    </row>
    <row r="27" spans="1:12">
      <c r="A27" t="s">
        <v>371</v>
      </c>
      <c r="B27" t="s">
        <v>396</v>
      </c>
      <c r="C27" t="s">
        <v>397</v>
      </c>
      <c r="D27">
        <v>3</v>
      </c>
      <c r="E27" s="2">
        <v>1.58</v>
      </c>
      <c r="F27" s="1">
        <v>0</v>
      </c>
      <c r="G27" s="1">
        <v>0</v>
      </c>
      <c r="H27">
        <v>1.58</v>
      </c>
      <c r="I27" s="2">
        <v>4.74</v>
      </c>
      <c r="J27"/>
      <c r="K27"/>
      <c r="L27"/>
    </row>
    <row r="28" spans="1:12">
      <c r="A28" t="s">
        <v>398</v>
      </c>
      <c r="B28" t="s">
        <v>399</v>
      </c>
      <c r="C28" t="s">
        <v>400</v>
      </c>
      <c r="D28">
        <v>100</v>
      </c>
      <c r="E28" s="2">
        <v>0.45</v>
      </c>
      <c r="F28" s="1">
        <v>0</v>
      </c>
      <c r="G28" s="1">
        <v>0</v>
      </c>
      <c r="H28">
        <v>0.45</v>
      </c>
      <c r="I28" s="2">
        <v>45</v>
      </c>
      <c r="J28"/>
      <c r="K28"/>
      <c r="L28"/>
    </row>
    <row r="29" spans="1:12">
      <c r="A29" t="s">
        <v>398</v>
      </c>
      <c r="B29" t="s">
        <v>401</v>
      </c>
      <c r="C29" t="s">
        <v>402</v>
      </c>
      <c r="D29">
        <v>100</v>
      </c>
      <c r="E29" s="2">
        <v>0.55000000000000004</v>
      </c>
      <c r="F29" s="1">
        <v>0</v>
      </c>
      <c r="G29" s="1">
        <v>0</v>
      </c>
      <c r="H29">
        <v>0.55000000000000004</v>
      </c>
      <c r="I29" s="2">
        <v>55</v>
      </c>
      <c r="J29"/>
      <c r="K29"/>
      <c r="L29"/>
    </row>
    <row r="30" spans="1:12">
      <c r="A30" t="s">
        <v>398</v>
      </c>
      <c r="B30" t="s">
        <v>403</v>
      </c>
      <c r="C30" t="s">
        <v>404</v>
      </c>
      <c r="D30">
        <v>100</v>
      </c>
      <c r="E30" s="2">
        <v>0.94</v>
      </c>
      <c r="F30" s="1">
        <v>0</v>
      </c>
      <c r="G30" s="1">
        <v>0</v>
      </c>
      <c r="H30">
        <v>0.94</v>
      </c>
      <c r="I30" s="2">
        <v>94</v>
      </c>
      <c r="J30"/>
      <c r="K30"/>
      <c r="L30"/>
    </row>
    <row r="31" spans="1:12">
      <c r="A31" t="s">
        <v>398</v>
      </c>
      <c r="B31" t="s">
        <v>405</v>
      </c>
      <c r="C31" t="s">
        <v>406</v>
      </c>
      <c r="D31">
        <v>50</v>
      </c>
      <c r="E31" s="2">
        <v>1.88</v>
      </c>
      <c r="F31" s="1">
        <v>0</v>
      </c>
      <c r="G31" s="1">
        <v>0</v>
      </c>
      <c r="H31">
        <v>1.88</v>
      </c>
      <c r="I31" s="2">
        <v>94</v>
      </c>
      <c r="J31"/>
      <c r="K31"/>
      <c r="L31"/>
    </row>
    <row r="32" spans="1:12">
      <c r="A32" t="s">
        <v>398</v>
      </c>
      <c r="B32" t="s">
        <v>407</v>
      </c>
      <c r="C32" t="s">
        <v>408</v>
      </c>
      <c r="D32">
        <v>20</v>
      </c>
      <c r="E32" s="2">
        <v>3.96</v>
      </c>
      <c r="F32" s="1">
        <v>0</v>
      </c>
      <c r="G32" s="1">
        <v>0</v>
      </c>
      <c r="H32">
        <v>3.96</v>
      </c>
      <c r="I32" s="2">
        <v>79.2</v>
      </c>
      <c r="J32"/>
      <c r="K32"/>
      <c r="L32"/>
    </row>
    <row r="33" spans="1:12">
      <c r="A33" t="s">
        <v>409</v>
      </c>
      <c r="B33" t="s">
        <v>38</v>
      </c>
      <c r="C33" t="s">
        <v>630</v>
      </c>
      <c r="D33">
        <v>150</v>
      </c>
      <c r="E33" s="2">
        <v>7.68</v>
      </c>
      <c r="F33" s="1">
        <v>0.63</v>
      </c>
      <c r="G33" s="1">
        <v>0</v>
      </c>
      <c r="H33">
        <v>2.8415999999999997</v>
      </c>
      <c r="I33" s="2">
        <v>426.24</v>
      </c>
      <c r="J33"/>
      <c r="K33"/>
      <c r="L33"/>
    </row>
    <row r="34" spans="1:12">
      <c r="A34" t="s">
        <v>409</v>
      </c>
      <c r="B34" t="s">
        <v>76</v>
      </c>
      <c r="C34" t="s">
        <v>411</v>
      </c>
      <c r="D34">
        <v>57</v>
      </c>
      <c r="E34" s="2">
        <v>16.649999999999999</v>
      </c>
      <c r="F34" s="1">
        <v>0.63</v>
      </c>
      <c r="G34" s="1">
        <v>0</v>
      </c>
      <c r="H34">
        <v>6.160499999999999</v>
      </c>
      <c r="I34" s="2">
        <v>351.15</v>
      </c>
      <c r="J34"/>
      <c r="K34"/>
      <c r="L34"/>
    </row>
    <row r="35" spans="1:12">
      <c r="A35" t="s">
        <v>409</v>
      </c>
      <c r="B35" t="s">
        <v>29</v>
      </c>
      <c r="C35" t="s">
        <v>412</v>
      </c>
      <c r="D35">
        <v>5</v>
      </c>
      <c r="E35" s="2">
        <v>7.69</v>
      </c>
      <c r="F35" s="1">
        <v>0.6</v>
      </c>
      <c r="G35" s="1">
        <v>0</v>
      </c>
      <c r="H35">
        <v>3.0760000000000005</v>
      </c>
      <c r="I35" s="2">
        <v>15.38</v>
      </c>
      <c r="J35"/>
      <c r="K35"/>
      <c r="L35"/>
    </row>
    <row r="36" spans="1:12">
      <c r="A36" t="s">
        <v>409</v>
      </c>
      <c r="B36" t="s">
        <v>23</v>
      </c>
      <c r="C36" t="s">
        <v>413</v>
      </c>
      <c r="D36">
        <v>129</v>
      </c>
      <c r="E36" s="2">
        <v>7.44</v>
      </c>
      <c r="F36" s="1">
        <v>0.6</v>
      </c>
      <c r="G36" s="1">
        <v>0</v>
      </c>
      <c r="H36">
        <v>2.9760000000000004</v>
      </c>
      <c r="I36" s="2">
        <v>383.9</v>
      </c>
      <c r="J36"/>
      <c r="K36"/>
      <c r="L36"/>
    </row>
    <row r="37" spans="1:12">
      <c r="A37" t="s">
        <v>409</v>
      </c>
      <c r="B37" t="s">
        <v>110</v>
      </c>
      <c r="C37" t="s">
        <v>414</v>
      </c>
      <c r="D37">
        <v>102</v>
      </c>
      <c r="E37" s="2">
        <v>12.79</v>
      </c>
      <c r="F37" s="1">
        <v>0.6</v>
      </c>
      <c r="G37" s="1">
        <v>0</v>
      </c>
      <c r="H37">
        <v>5.1159999999999997</v>
      </c>
      <c r="I37" s="2">
        <v>521.83000000000004</v>
      </c>
      <c r="J37"/>
      <c r="K37"/>
      <c r="L37"/>
    </row>
    <row r="38" spans="1:12">
      <c r="A38" t="s">
        <v>409</v>
      </c>
      <c r="B38" t="s">
        <v>415</v>
      </c>
      <c r="C38" t="s">
        <v>416</v>
      </c>
      <c r="D38">
        <v>10</v>
      </c>
      <c r="E38" s="2">
        <v>2.3199999999999998</v>
      </c>
      <c r="F38" s="1">
        <v>0</v>
      </c>
      <c r="G38" s="1">
        <v>0</v>
      </c>
      <c r="H38">
        <v>2.3199999999999998</v>
      </c>
      <c r="I38" s="2">
        <v>23.2</v>
      </c>
      <c r="J38"/>
      <c r="K38"/>
      <c r="L38"/>
    </row>
    <row r="39" spans="1:12">
      <c r="A39" t="s">
        <v>409</v>
      </c>
      <c r="B39" t="s">
        <v>417</v>
      </c>
      <c r="C39" t="s">
        <v>418</v>
      </c>
      <c r="D39">
        <v>50</v>
      </c>
      <c r="E39" s="2">
        <v>1</v>
      </c>
      <c r="F39" s="1">
        <v>0</v>
      </c>
      <c r="G39" s="1">
        <v>0</v>
      </c>
      <c r="H39">
        <v>1</v>
      </c>
      <c r="I39" s="2">
        <v>50</v>
      </c>
      <c r="J39"/>
      <c r="K39"/>
      <c r="L39"/>
    </row>
    <row r="40" spans="1:12">
      <c r="A40" t="s">
        <v>409</v>
      </c>
      <c r="B40" t="s">
        <v>419</v>
      </c>
      <c r="C40" t="s">
        <v>420</v>
      </c>
      <c r="D40">
        <v>1</v>
      </c>
      <c r="E40" s="2">
        <v>5</v>
      </c>
      <c r="F40" s="1">
        <v>0</v>
      </c>
      <c r="G40" s="1">
        <v>0</v>
      </c>
      <c r="H40">
        <v>5</v>
      </c>
      <c r="I40" s="2">
        <v>5</v>
      </c>
      <c r="J40"/>
      <c r="K40"/>
      <c r="L40"/>
    </row>
    <row r="41" spans="1:12">
      <c r="A41" t="s">
        <v>409</v>
      </c>
      <c r="B41" t="s">
        <v>33</v>
      </c>
      <c r="C41" t="s">
        <v>631</v>
      </c>
      <c r="D41">
        <v>80</v>
      </c>
      <c r="E41" s="2">
        <v>1.05</v>
      </c>
      <c r="F41" s="1">
        <v>0.6</v>
      </c>
      <c r="G41" s="1">
        <v>0</v>
      </c>
      <c r="H41">
        <v>0.42000000000000004</v>
      </c>
      <c r="I41" s="2">
        <v>33.6</v>
      </c>
      <c r="J41"/>
      <c r="K41"/>
      <c r="L41"/>
    </row>
    <row r="42" spans="1:12">
      <c r="A42" t="s">
        <v>409</v>
      </c>
      <c r="B42" t="s">
        <v>40</v>
      </c>
      <c r="C42" t="s">
        <v>510</v>
      </c>
      <c r="D42">
        <v>150</v>
      </c>
      <c r="E42" s="2">
        <v>1.1399999999999999</v>
      </c>
      <c r="F42" s="1">
        <v>0.6</v>
      </c>
      <c r="G42" s="1">
        <v>0</v>
      </c>
      <c r="H42">
        <v>0.45599999999999996</v>
      </c>
      <c r="I42" s="2">
        <v>68.400000000000006</v>
      </c>
      <c r="J42"/>
      <c r="K42"/>
      <c r="L42"/>
    </row>
    <row r="43" spans="1:12">
      <c r="A43" t="s">
        <v>422</v>
      </c>
      <c r="B43" t="s">
        <v>38</v>
      </c>
      <c r="C43" t="s">
        <v>343</v>
      </c>
      <c r="D43">
        <v>219</v>
      </c>
      <c r="E43" s="2">
        <v>2.44</v>
      </c>
      <c r="F43" s="1">
        <v>0</v>
      </c>
      <c r="G43" s="1">
        <v>0</v>
      </c>
      <c r="H43">
        <v>2.44</v>
      </c>
      <c r="I43" s="2">
        <v>534.36</v>
      </c>
      <c r="J43"/>
      <c r="K43"/>
      <c r="L43"/>
    </row>
    <row r="44" spans="1:12">
      <c r="A44" t="s">
        <v>422</v>
      </c>
      <c r="B44" t="s">
        <v>21</v>
      </c>
      <c r="C44" t="s">
        <v>344</v>
      </c>
      <c r="D44">
        <v>249</v>
      </c>
      <c r="E44" s="2">
        <v>3.56</v>
      </c>
      <c r="F44" s="1">
        <v>0</v>
      </c>
      <c r="G44" s="1">
        <v>0</v>
      </c>
      <c r="H44">
        <v>3.56</v>
      </c>
      <c r="I44" s="2">
        <v>886.44</v>
      </c>
      <c r="J44"/>
      <c r="K44"/>
      <c r="L44"/>
    </row>
    <row r="45" spans="1:12">
      <c r="A45" t="s">
        <v>422</v>
      </c>
      <c r="B45" t="s">
        <v>23</v>
      </c>
      <c r="C45" t="s">
        <v>345</v>
      </c>
      <c r="D45">
        <v>66</v>
      </c>
      <c r="E45" s="2">
        <v>2.41</v>
      </c>
      <c r="F45" s="1">
        <v>0</v>
      </c>
      <c r="G45" s="1">
        <v>0</v>
      </c>
      <c r="H45">
        <v>2.41</v>
      </c>
      <c r="I45" s="2">
        <v>159.06</v>
      </c>
      <c r="J45"/>
      <c r="K45"/>
      <c r="L45"/>
    </row>
    <row r="46" spans="1:12">
      <c r="A46" t="s">
        <v>422</v>
      </c>
      <c r="B46" t="s">
        <v>40</v>
      </c>
      <c r="C46" t="s">
        <v>510</v>
      </c>
      <c r="D46">
        <v>250</v>
      </c>
      <c r="E46" s="2">
        <v>0.36</v>
      </c>
      <c r="F46" s="1">
        <v>0</v>
      </c>
      <c r="G46" s="1">
        <v>0</v>
      </c>
      <c r="H46">
        <v>0.36</v>
      </c>
      <c r="I46" s="2">
        <v>90</v>
      </c>
      <c r="J46"/>
      <c r="K46"/>
      <c r="L46"/>
    </row>
    <row r="47" spans="1:12">
      <c r="A47" t="s">
        <v>422</v>
      </c>
      <c r="B47" t="s">
        <v>31</v>
      </c>
      <c r="C47" t="s">
        <v>351</v>
      </c>
      <c r="D47">
        <v>100</v>
      </c>
      <c r="E47" s="2">
        <v>2.06</v>
      </c>
      <c r="F47" s="1">
        <v>0</v>
      </c>
      <c r="G47" s="1">
        <v>0</v>
      </c>
      <c r="H47">
        <v>2.06</v>
      </c>
      <c r="I47" s="2">
        <v>206</v>
      </c>
      <c r="J47"/>
      <c r="K47"/>
      <c r="L47"/>
    </row>
    <row r="48" spans="1:12">
      <c r="A48" t="s">
        <v>422</v>
      </c>
      <c r="B48" t="s">
        <v>33</v>
      </c>
      <c r="C48" t="s">
        <v>347</v>
      </c>
      <c r="D48">
        <v>250</v>
      </c>
      <c r="E48" s="2">
        <v>0.33</v>
      </c>
      <c r="F48" s="1">
        <v>0</v>
      </c>
      <c r="G48" s="1">
        <v>0</v>
      </c>
      <c r="H48">
        <v>0.33</v>
      </c>
      <c r="I48" s="2">
        <v>82.5</v>
      </c>
      <c r="J48"/>
      <c r="K48"/>
      <c r="L48"/>
    </row>
    <row r="49" spans="1:12">
      <c r="A49" t="s">
        <v>422</v>
      </c>
      <c r="B49" t="s">
        <v>42</v>
      </c>
      <c r="C49" t="s">
        <v>348</v>
      </c>
      <c r="D49">
        <v>50</v>
      </c>
      <c r="E49" s="2">
        <v>1.99</v>
      </c>
      <c r="F49" s="1">
        <v>0</v>
      </c>
      <c r="G49" s="1">
        <v>0</v>
      </c>
      <c r="H49">
        <v>1.99</v>
      </c>
      <c r="I49" s="2">
        <v>99.5</v>
      </c>
      <c r="J49"/>
      <c r="K49"/>
      <c r="L49"/>
    </row>
    <row r="50" spans="1:12">
      <c r="A50" t="s">
        <v>423</v>
      </c>
      <c r="B50" t="s">
        <v>29</v>
      </c>
      <c r="C50" t="s">
        <v>349</v>
      </c>
      <c r="D50">
        <v>15</v>
      </c>
      <c r="E50" s="2">
        <v>7.69</v>
      </c>
      <c r="F50" s="1">
        <v>0.6</v>
      </c>
      <c r="G50" s="1">
        <v>0</v>
      </c>
      <c r="H50">
        <v>3.0760000000000005</v>
      </c>
      <c r="I50" s="2">
        <v>0</v>
      </c>
      <c r="J50"/>
      <c r="K50"/>
      <c r="L50"/>
    </row>
    <row r="51" spans="1:12">
      <c r="A51" t="s">
        <v>423</v>
      </c>
      <c r="B51" t="s">
        <v>23</v>
      </c>
      <c r="C51" t="s">
        <v>345</v>
      </c>
      <c r="D51">
        <v>21</v>
      </c>
      <c r="E51" s="2">
        <v>7.44</v>
      </c>
      <c r="F51" s="1">
        <v>0.6</v>
      </c>
      <c r="G51" s="1">
        <v>0</v>
      </c>
      <c r="H51">
        <v>2.9760000000000004</v>
      </c>
      <c r="I51" s="2">
        <v>0</v>
      </c>
      <c r="J51"/>
      <c r="K51"/>
      <c r="L51"/>
    </row>
    <row r="52" spans="1:12">
      <c r="A52" t="s">
        <v>424</v>
      </c>
      <c r="B52" t="s">
        <v>38</v>
      </c>
      <c r="C52" t="s">
        <v>343</v>
      </c>
      <c r="D52">
        <v>33</v>
      </c>
      <c r="E52" s="2">
        <v>2.44</v>
      </c>
      <c r="F52" s="1">
        <v>0</v>
      </c>
      <c r="G52" s="1">
        <v>0</v>
      </c>
      <c r="H52">
        <v>2.44</v>
      </c>
      <c r="I52" s="2">
        <v>80.52</v>
      </c>
      <c r="J52"/>
      <c r="K52"/>
      <c r="L52"/>
    </row>
    <row r="53" spans="1:12">
      <c r="A53" t="s">
        <v>424</v>
      </c>
      <c r="B53" t="s">
        <v>23</v>
      </c>
      <c r="C53" t="s">
        <v>345</v>
      </c>
      <c r="D53">
        <v>414</v>
      </c>
      <c r="E53" s="2">
        <v>2.41</v>
      </c>
      <c r="F53" s="1">
        <v>0</v>
      </c>
      <c r="G53" s="1">
        <v>0</v>
      </c>
      <c r="H53">
        <v>2.41</v>
      </c>
      <c r="I53" s="2">
        <v>997.74</v>
      </c>
      <c r="J53"/>
      <c r="K53"/>
      <c r="L53"/>
    </row>
    <row r="54" spans="1:12">
      <c r="A54" t="s">
        <v>425</v>
      </c>
      <c r="B54" t="s">
        <v>23</v>
      </c>
      <c r="C54" t="s">
        <v>345</v>
      </c>
      <c r="D54">
        <v>6</v>
      </c>
      <c r="E54" s="2">
        <v>2.63</v>
      </c>
      <c r="F54" s="1">
        <v>0</v>
      </c>
      <c r="G54" s="1">
        <v>0</v>
      </c>
      <c r="H54">
        <v>2.63</v>
      </c>
      <c r="I54" s="2">
        <v>15.78</v>
      </c>
      <c r="J54"/>
      <c r="K54"/>
      <c r="L54"/>
    </row>
    <row r="55" spans="1:12">
      <c r="A55" t="s">
        <v>425</v>
      </c>
      <c r="B55" t="s">
        <v>426</v>
      </c>
      <c r="C55" t="s">
        <v>427</v>
      </c>
      <c r="D55">
        <v>8</v>
      </c>
      <c r="E55" s="2">
        <v>2.4</v>
      </c>
      <c r="F55" s="1">
        <v>0</v>
      </c>
      <c r="G55" s="1">
        <v>0</v>
      </c>
      <c r="H55">
        <v>2.4</v>
      </c>
      <c r="I55" s="2">
        <v>19.2</v>
      </c>
      <c r="J55"/>
      <c r="K55"/>
      <c r="L55"/>
    </row>
    <row r="56" spans="1:12">
      <c r="A56" t="s">
        <v>425</v>
      </c>
      <c r="B56" t="s">
        <v>428</v>
      </c>
      <c r="C56" t="s">
        <v>429</v>
      </c>
      <c r="D56">
        <v>500</v>
      </c>
      <c r="E56" s="2">
        <v>0.63300000000000001</v>
      </c>
      <c r="F56" s="1">
        <v>0</v>
      </c>
      <c r="G56" s="1">
        <v>0</v>
      </c>
      <c r="H56">
        <v>0.63300000000000001</v>
      </c>
      <c r="I56" s="2">
        <v>316.5</v>
      </c>
      <c r="J56"/>
      <c r="K56"/>
      <c r="L56"/>
    </row>
    <row r="57" spans="1:12">
      <c r="A57" t="s">
        <v>430</v>
      </c>
      <c r="B57" t="s">
        <v>428</v>
      </c>
      <c r="C57" t="s">
        <v>429</v>
      </c>
      <c r="D57">
        <v>500</v>
      </c>
      <c r="E57" s="2">
        <v>0.63300000000000001</v>
      </c>
      <c r="F57" s="1">
        <v>0</v>
      </c>
      <c r="G57" s="1">
        <v>0</v>
      </c>
      <c r="H57">
        <v>0.63300000000000001</v>
      </c>
      <c r="I57" s="2">
        <v>316.5</v>
      </c>
      <c r="J57"/>
      <c r="K57"/>
      <c r="L57"/>
    </row>
    <row r="58" spans="1:12">
      <c r="A58" t="s">
        <v>430</v>
      </c>
      <c r="B58" t="s">
        <v>79</v>
      </c>
      <c r="C58" t="s">
        <v>304</v>
      </c>
      <c r="D58">
        <v>3</v>
      </c>
      <c r="E58" s="2">
        <v>62</v>
      </c>
      <c r="F58" s="1">
        <v>0</v>
      </c>
      <c r="G58" s="1">
        <v>0</v>
      </c>
      <c r="H58">
        <v>62</v>
      </c>
      <c r="I58" s="2">
        <v>186</v>
      </c>
      <c r="J58"/>
      <c r="K58"/>
      <c r="L58"/>
    </row>
    <row r="59" spans="1:12">
      <c r="A59" t="s">
        <v>431</v>
      </c>
      <c r="B59" t="s">
        <v>432</v>
      </c>
      <c r="C59" t="s">
        <v>433</v>
      </c>
      <c r="D59">
        <v>208</v>
      </c>
      <c r="E59" s="2">
        <v>0.88</v>
      </c>
      <c r="F59" s="1">
        <v>0</v>
      </c>
      <c r="G59" s="1">
        <v>0</v>
      </c>
      <c r="H59">
        <v>0.88</v>
      </c>
      <c r="I59" s="2">
        <v>183.04</v>
      </c>
      <c r="J59"/>
      <c r="K59"/>
      <c r="L59"/>
    </row>
    <row r="60" spans="1:12">
      <c r="A60" t="s">
        <v>431</v>
      </c>
      <c r="B60" t="s">
        <v>54</v>
      </c>
      <c r="C60" t="s">
        <v>434</v>
      </c>
      <c r="D60">
        <v>12</v>
      </c>
      <c r="E60" s="2">
        <v>3.97</v>
      </c>
      <c r="F60" s="1">
        <v>0</v>
      </c>
      <c r="G60" s="1">
        <v>0</v>
      </c>
      <c r="H60">
        <v>3.97</v>
      </c>
      <c r="I60" s="2">
        <v>47.64</v>
      </c>
      <c r="J60"/>
      <c r="K60"/>
      <c r="L60"/>
    </row>
    <row r="61" spans="1:12">
      <c r="A61" t="s">
        <v>431</v>
      </c>
      <c r="B61" t="s">
        <v>13</v>
      </c>
      <c r="C61" t="s">
        <v>300</v>
      </c>
      <c r="D61">
        <v>9</v>
      </c>
      <c r="E61" s="2">
        <v>3.62</v>
      </c>
      <c r="F61" s="1">
        <v>0</v>
      </c>
      <c r="G61" s="1">
        <v>0</v>
      </c>
      <c r="H61">
        <v>3.62</v>
      </c>
      <c r="I61" s="2">
        <v>32.58</v>
      </c>
      <c r="J61"/>
      <c r="K61"/>
      <c r="L61"/>
    </row>
    <row r="62" spans="1:12">
      <c r="A62" t="s">
        <v>435</v>
      </c>
      <c r="B62" t="s">
        <v>436</v>
      </c>
      <c r="C62" t="s">
        <v>437</v>
      </c>
      <c r="D62">
        <v>100</v>
      </c>
      <c r="E62" s="2">
        <v>0.22</v>
      </c>
      <c r="F62" s="1">
        <v>0.5</v>
      </c>
      <c r="G62" s="1">
        <v>0</v>
      </c>
      <c r="H62">
        <v>0.11</v>
      </c>
      <c r="I62" s="2">
        <v>11</v>
      </c>
      <c r="J62"/>
      <c r="K62"/>
      <c r="L62"/>
    </row>
    <row r="63" spans="1:12">
      <c r="A63" t="s">
        <v>435</v>
      </c>
      <c r="B63" t="s">
        <v>438</v>
      </c>
      <c r="C63" t="s">
        <v>439</v>
      </c>
      <c r="D63">
        <v>100</v>
      </c>
      <c r="E63" s="2">
        <v>0.23</v>
      </c>
      <c r="F63" s="1">
        <v>0.5</v>
      </c>
      <c r="G63" s="1">
        <v>0</v>
      </c>
      <c r="H63">
        <v>0.115</v>
      </c>
      <c r="I63" s="2">
        <v>11.5</v>
      </c>
      <c r="J63"/>
      <c r="K63"/>
      <c r="L63"/>
    </row>
    <row r="64" spans="1:12">
      <c r="A64" t="s">
        <v>435</v>
      </c>
      <c r="B64" t="s">
        <v>440</v>
      </c>
      <c r="C64" t="s">
        <v>441</v>
      </c>
      <c r="D64">
        <v>100</v>
      </c>
      <c r="E64" s="2">
        <v>0.31</v>
      </c>
      <c r="F64" s="1">
        <v>0.5</v>
      </c>
      <c r="G64" s="1">
        <v>0</v>
      </c>
      <c r="H64">
        <v>0.155</v>
      </c>
      <c r="I64" s="2">
        <v>15.5</v>
      </c>
      <c r="J64"/>
      <c r="K64"/>
      <c r="L64"/>
    </row>
    <row r="65" spans="1:12">
      <c r="A65" t="s">
        <v>435</v>
      </c>
      <c r="B65" t="s">
        <v>442</v>
      </c>
      <c r="C65" t="s">
        <v>443</v>
      </c>
      <c r="D65">
        <v>100</v>
      </c>
      <c r="E65" s="2">
        <v>0.51</v>
      </c>
      <c r="F65" s="1">
        <v>0.5</v>
      </c>
      <c r="G65" s="1">
        <v>0</v>
      </c>
      <c r="H65">
        <v>0.255</v>
      </c>
      <c r="I65" s="2">
        <v>25.5</v>
      </c>
      <c r="J65"/>
      <c r="K65"/>
      <c r="L65"/>
    </row>
    <row r="66" spans="1:12">
      <c r="A66" t="s">
        <v>435</v>
      </c>
      <c r="B66" t="s">
        <v>444</v>
      </c>
      <c r="C66" t="s">
        <v>445</v>
      </c>
      <c r="D66">
        <v>50</v>
      </c>
      <c r="E66" s="2">
        <v>0.78</v>
      </c>
      <c r="F66" s="1">
        <v>0.5</v>
      </c>
      <c r="G66" s="1">
        <v>0</v>
      </c>
      <c r="H66">
        <v>0.39</v>
      </c>
      <c r="I66" s="2">
        <v>19.5</v>
      </c>
      <c r="J66"/>
      <c r="K66"/>
      <c r="L66"/>
    </row>
    <row r="67" spans="1:12">
      <c r="A67" t="s">
        <v>435</v>
      </c>
      <c r="B67" t="s">
        <v>446</v>
      </c>
      <c r="C67" t="s">
        <v>447</v>
      </c>
      <c r="D67">
        <v>20</v>
      </c>
      <c r="E67" s="2">
        <v>1.43</v>
      </c>
      <c r="F67" s="1">
        <v>0.5</v>
      </c>
      <c r="G67" s="1">
        <v>0</v>
      </c>
      <c r="H67">
        <v>0.71499999999999997</v>
      </c>
      <c r="I67" s="2">
        <v>14.3</v>
      </c>
      <c r="J67"/>
      <c r="K67"/>
      <c r="L67"/>
    </row>
    <row r="68" spans="1:12">
      <c r="A68" t="s">
        <v>448</v>
      </c>
      <c r="B68" t="s">
        <v>79</v>
      </c>
      <c r="C68" t="s">
        <v>449</v>
      </c>
      <c r="D68">
        <v>7</v>
      </c>
      <c r="E68" s="2">
        <v>62</v>
      </c>
      <c r="F68" s="1">
        <v>0</v>
      </c>
      <c r="G68" s="1">
        <v>0</v>
      </c>
      <c r="H68">
        <v>62</v>
      </c>
      <c r="I68" s="2">
        <v>434</v>
      </c>
      <c r="J68"/>
      <c r="K68"/>
      <c r="L68"/>
    </row>
    <row r="69" spans="1:12">
      <c r="A69" t="s">
        <v>450</v>
      </c>
      <c r="B69" t="s">
        <v>79</v>
      </c>
      <c r="C69" t="s">
        <v>451</v>
      </c>
      <c r="D69">
        <v>1</v>
      </c>
      <c r="E69" s="2">
        <v>62</v>
      </c>
      <c r="F69" s="1">
        <v>0</v>
      </c>
      <c r="G69" s="1">
        <v>0</v>
      </c>
      <c r="H69">
        <v>62</v>
      </c>
      <c r="I69" s="2">
        <v>62</v>
      </c>
      <c r="J69"/>
      <c r="K69"/>
      <c r="L69"/>
    </row>
    <row r="70" spans="1:12">
      <c r="A70" t="s">
        <v>452</v>
      </c>
      <c r="B70" t="s">
        <v>333</v>
      </c>
      <c r="C70" t="s">
        <v>334</v>
      </c>
      <c r="D70">
        <v>3</v>
      </c>
      <c r="E70" s="2">
        <v>130</v>
      </c>
      <c r="F70" s="1">
        <v>0</v>
      </c>
      <c r="G70" s="1">
        <v>0</v>
      </c>
      <c r="H70">
        <v>130</v>
      </c>
      <c r="I70" s="2">
        <v>390</v>
      </c>
      <c r="J70"/>
      <c r="K70"/>
      <c r="L70"/>
    </row>
    <row r="71" spans="1:12">
      <c r="A71" t="s">
        <v>452</v>
      </c>
      <c r="B71" t="s">
        <v>335</v>
      </c>
      <c r="C71" t="s">
        <v>336</v>
      </c>
      <c r="D71">
        <v>3</v>
      </c>
      <c r="E71" s="2">
        <v>18.5</v>
      </c>
      <c r="F71" s="1">
        <v>0</v>
      </c>
      <c r="G71" s="1">
        <v>0</v>
      </c>
      <c r="H71">
        <v>18.5</v>
      </c>
      <c r="I71" s="2">
        <v>55.5</v>
      </c>
      <c r="J71"/>
      <c r="K71"/>
      <c r="L71"/>
    </row>
    <row r="72" spans="1:12">
      <c r="A72" t="s">
        <v>453</v>
      </c>
      <c r="B72" t="s">
        <v>62</v>
      </c>
      <c r="C72" t="s">
        <v>454</v>
      </c>
      <c r="D72">
        <v>200</v>
      </c>
      <c r="E72" s="2">
        <v>1.6</v>
      </c>
      <c r="F72" s="1">
        <v>0</v>
      </c>
      <c r="G72" s="1">
        <v>0</v>
      </c>
      <c r="H72">
        <v>1.6</v>
      </c>
      <c r="I72" s="2">
        <v>320</v>
      </c>
      <c r="J72"/>
      <c r="K72"/>
      <c r="L72"/>
    </row>
    <row r="73" spans="1:12">
      <c r="A73" t="s">
        <v>455</v>
      </c>
      <c r="B73" t="s">
        <v>456</v>
      </c>
      <c r="C73" t="s">
        <v>457</v>
      </c>
      <c r="D73">
        <v>1</v>
      </c>
      <c r="E73" s="2">
        <v>2.5</v>
      </c>
      <c r="F73" s="1">
        <v>0</v>
      </c>
      <c r="G73" s="1">
        <v>0</v>
      </c>
      <c r="H73">
        <v>2.5</v>
      </c>
      <c r="I73" s="2">
        <v>0</v>
      </c>
      <c r="J73"/>
      <c r="K73"/>
      <c r="L73"/>
    </row>
    <row r="74" spans="1:12">
      <c r="A74" t="s">
        <v>455</v>
      </c>
      <c r="B74" t="s">
        <v>458</v>
      </c>
      <c r="C74" t="s">
        <v>459</v>
      </c>
      <c r="D74">
        <v>20</v>
      </c>
      <c r="E74" s="2">
        <v>0.65</v>
      </c>
      <c r="F74" s="1">
        <v>0</v>
      </c>
      <c r="G74" s="1">
        <v>0</v>
      </c>
      <c r="H74">
        <v>0.65</v>
      </c>
      <c r="I74" s="2">
        <v>0</v>
      </c>
      <c r="J74"/>
      <c r="K74"/>
      <c r="L74"/>
    </row>
    <row r="75" spans="1:12">
      <c r="A75" t="s">
        <v>460</v>
      </c>
      <c r="B75" t="s">
        <v>461</v>
      </c>
      <c r="C75" t="s">
        <v>462</v>
      </c>
      <c r="D75">
        <v>1</v>
      </c>
      <c r="E75" s="2">
        <v>5.6</v>
      </c>
      <c r="F75" s="1">
        <v>0</v>
      </c>
      <c r="G75" s="1">
        <v>0</v>
      </c>
      <c r="H75">
        <v>5.6</v>
      </c>
      <c r="I75" s="2">
        <v>5.6</v>
      </c>
      <c r="J75"/>
      <c r="K75"/>
      <c r="L75"/>
    </row>
    <row r="76" spans="1:12">
      <c r="A76" t="s">
        <v>479</v>
      </c>
      <c r="B76" t="s">
        <v>89</v>
      </c>
      <c r="C76" t="s">
        <v>305</v>
      </c>
      <c r="D76">
        <v>10</v>
      </c>
      <c r="E76" s="2">
        <v>13.64</v>
      </c>
      <c r="F76" s="1">
        <v>0</v>
      </c>
      <c r="G76" s="1">
        <v>0</v>
      </c>
      <c r="H76">
        <v>13.64</v>
      </c>
      <c r="I76" s="2">
        <v>136.4</v>
      </c>
      <c r="J76"/>
      <c r="K76"/>
      <c r="L76"/>
    </row>
    <row r="77" spans="1:12">
      <c r="A77" t="s">
        <v>479</v>
      </c>
      <c r="B77" t="s">
        <v>91</v>
      </c>
      <c r="C77" t="s">
        <v>306</v>
      </c>
      <c r="D77">
        <v>30</v>
      </c>
      <c r="E77" s="2">
        <v>0.4</v>
      </c>
      <c r="F77" s="1">
        <v>0</v>
      </c>
      <c r="G77" s="1">
        <v>0</v>
      </c>
      <c r="H77">
        <v>0.4</v>
      </c>
      <c r="I77" s="2">
        <v>12</v>
      </c>
      <c r="J77"/>
      <c r="K77"/>
      <c r="L77"/>
    </row>
    <row r="78" spans="1:12">
      <c r="A78" t="s">
        <v>479</v>
      </c>
      <c r="B78" t="s">
        <v>480</v>
      </c>
      <c r="C78" t="s">
        <v>481</v>
      </c>
      <c r="D78">
        <v>1</v>
      </c>
      <c r="E78" s="2">
        <v>1.2</v>
      </c>
      <c r="F78" s="1">
        <v>0</v>
      </c>
      <c r="G78" s="1">
        <v>0</v>
      </c>
      <c r="H78">
        <v>1.2</v>
      </c>
      <c r="I78" s="2">
        <v>1.2</v>
      </c>
      <c r="J78"/>
      <c r="K78"/>
      <c r="L78"/>
    </row>
    <row r="79" spans="1:12">
      <c r="A79" t="s">
        <v>479</v>
      </c>
      <c r="B79" t="s">
        <v>482</v>
      </c>
      <c r="C79" t="s">
        <v>483</v>
      </c>
      <c r="D79">
        <v>1</v>
      </c>
      <c r="E79" s="2">
        <v>1.5</v>
      </c>
      <c r="F79" s="1">
        <v>0</v>
      </c>
      <c r="G79" s="1">
        <v>0</v>
      </c>
      <c r="H79">
        <v>1.5</v>
      </c>
      <c r="I79" s="2">
        <v>1.5</v>
      </c>
      <c r="J79"/>
      <c r="K79"/>
      <c r="L79"/>
    </row>
    <row r="80" spans="1:12">
      <c r="A80" t="s">
        <v>479</v>
      </c>
      <c r="B80" t="s">
        <v>322</v>
      </c>
      <c r="C80" t="s">
        <v>323</v>
      </c>
      <c r="D80">
        <v>1</v>
      </c>
      <c r="E80" s="2">
        <v>1.98</v>
      </c>
      <c r="F80" s="1">
        <v>0</v>
      </c>
      <c r="G80" s="1">
        <v>0</v>
      </c>
      <c r="H80">
        <v>1.98</v>
      </c>
      <c r="I80" s="2">
        <v>1.98</v>
      </c>
      <c r="J80"/>
      <c r="K80"/>
      <c r="L80"/>
    </row>
    <row r="81" spans="1:12">
      <c r="A81" t="s">
        <v>479</v>
      </c>
      <c r="B81" t="s">
        <v>484</v>
      </c>
      <c r="C81" t="s">
        <v>485</v>
      </c>
      <c r="D81">
        <v>1</v>
      </c>
      <c r="E81" s="2">
        <v>2.6</v>
      </c>
      <c r="F81" s="1">
        <v>0</v>
      </c>
      <c r="G81" s="1">
        <v>0</v>
      </c>
      <c r="H81">
        <v>2.6</v>
      </c>
      <c r="I81" s="2">
        <v>2.6</v>
      </c>
      <c r="J81"/>
      <c r="K81"/>
      <c r="L81"/>
    </row>
    <row r="82" spans="1:12">
      <c r="A82" t="s">
        <v>493</v>
      </c>
      <c r="B82" t="s">
        <v>494</v>
      </c>
      <c r="C82" t="s">
        <v>495</v>
      </c>
      <c r="D82">
        <v>1</v>
      </c>
      <c r="E82" s="2">
        <v>1754</v>
      </c>
      <c r="F82" s="1">
        <v>0.15</v>
      </c>
      <c r="G82" s="1">
        <v>0</v>
      </c>
      <c r="H82">
        <v>1490.8999999999999</v>
      </c>
      <c r="I82" s="2">
        <v>1490.9</v>
      </c>
      <c r="J82"/>
      <c r="K82"/>
      <c r="L82"/>
    </row>
    <row r="83" spans="1:12">
      <c r="A83" t="s">
        <v>496</v>
      </c>
      <c r="B83" t="s">
        <v>487</v>
      </c>
      <c r="C83" t="s">
        <v>488</v>
      </c>
      <c r="D83">
        <v>2</v>
      </c>
      <c r="E83" s="2">
        <v>139.9</v>
      </c>
      <c r="F83" s="1">
        <v>0.05</v>
      </c>
      <c r="G83" s="1">
        <v>0.02</v>
      </c>
      <c r="H83">
        <v>135.703</v>
      </c>
      <c r="I83" s="2">
        <v>260.49</v>
      </c>
      <c r="J83"/>
      <c r="K83"/>
      <c r="L83"/>
    </row>
    <row r="84" spans="1:12">
      <c r="A84" t="s">
        <v>496</v>
      </c>
      <c r="B84" t="s">
        <v>489</v>
      </c>
      <c r="C84" t="s">
        <v>490</v>
      </c>
      <c r="D84">
        <v>2</v>
      </c>
      <c r="E84" s="2">
        <v>55.99</v>
      </c>
      <c r="F84" s="1">
        <v>0.05</v>
      </c>
      <c r="G84" s="1">
        <v>0.02</v>
      </c>
      <c r="H84">
        <v>54.310299999999998</v>
      </c>
      <c r="I84" s="2">
        <v>104.25</v>
      </c>
      <c r="J84"/>
      <c r="K84"/>
      <c r="L84"/>
    </row>
    <row r="85" spans="1:12">
      <c r="A85" t="s">
        <v>496</v>
      </c>
      <c r="B85" t="s">
        <v>491</v>
      </c>
      <c r="C85" t="s">
        <v>492</v>
      </c>
      <c r="D85">
        <v>2</v>
      </c>
      <c r="E85" s="2">
        <v>55.99</v>
      </c>
      <c r="F85" s="1">
        <v>0.05</v>
      </c>
      <c r="G85" s="1">
        <v>0.02</v>
      </c>
      <c r="H85">
        <v>54.310299999999998</v>
      </c>
      <c r="I85" s="2">
        <v>104.25</v>
      </c>
      <c r="J85"/>
      <c r="K85"/>
      <c r="L85"/>
    </row>
    <row r="86" spans="1:12">
      <c r="A86" t="s">
        <v>496</v>
      </c>
      <c r="B86" t="s">
        <v>497</v>
      </c>
      <c r="C86" t="s">
        <v>498</v>
      </c>
      <c r="D86">
        <v>3</v>
      </c>
      <c r="E86" s="2">
        <v>32</v>
      </c>
      <c r="F86" s="1">
        <v>0</v>
      </c>
      <c r="G86" s="1">
        <v>0</v>
      </c>
      <c r="H86">
        <v>32</v>
      </c>
      <c r="I86" s="2">
        <v>96</v>
      </c>
      <c r="J86"/>
      <c r="K86"/>
      <c r="L86"/>
    </row>
    <row r="87" spans="1:12">
      <c r="A87" t="s">
        <v>496</v>
      </c>
      <c r="B87" t="s">
        <v>499</v>
      </c>
      <c r="C87" t="s">
        <v>500</v>
      </c>
      <c r="D87">
        <v>1</v>
      </c>
      <c r="E87" s="2">
        <v>116</v>
      </c>
      <c r="F87" s="1">
        <v>0</v>
      </c>
      <c r="G87" s="1">
        <v>0</v>
      </c>
      <c r="H87">
        <v>116</v>
      </c>
      <c r="I87" s="2">
        <v>116</v>
      </c>
      <c r="J87"/>
      <c r="K87"/>
      <c r="L87"/>
    </row>
    <row r="88" spans="1:12">
      <c r="A88" t="s">
        <v>501</v>
      </c>
      <c r="B88" t="s">
        <v>502</v>
      </c>
      <c r="C88" t="s">
        <v>503</v>
      </c>
      <c r="D88">
        <v>1</v>
      </c>
      <c r="E88" s="2">
        <v>125</v>
      </c>
      <c r="F88" s="1">
        <v>0</v>
      </c>
      <c r="G88" s="1">
        <v>0</v>
      </c>
      <c r="H88">
        <v>125</v>
      </c>
      <c r="I88" s="2">
        <v>125</v>
      </c>
      <c r="J88"/>
      <c r="K88"/>
      <c r="L88"/>
    </row>
    <row r="89" spans="1:12">
      <c r="A89" t="s">
        <v>504</v>
      </c>
      <c r="B89" t="s">
        <v>505</v>
      </c>
      <c r="C89" t="s">
        <v>506</v>
      </c>
      <c r="D89">
        <v>50</v>
      </c>
      <c r="E89" s="2">
        <v>1.36</v>
      </c>
      <c r="F89" s="1">
        <v>0</v>
      </c>
      <c r="G89" s="1">
        <v>0</v>
      </c>
      <c r="H89">
        <v>1.36</v>
      </c>
      <c r="I89" s="2">
        <v>68</v>
      </c>
      <c r="J89"/>
      <c r="K89"/>
      <c r="L89"/>
    </row>
    <row r="90" spans="1:12">
      <c r="A90" t="s">
        <v>504</v>
      </c>
      <c r="B90" t="s">
        <v>507</v>
      </c>
      <c r="C90" t="s">
        <v>508</v>
      </c>
      <c r="D90">
        <v>100</v>
      </c>
      <c r="E90" s="2">
        <v>3.93</v>
      </c>
      <c r="F90" s="1">
        <v>0</v>
      </c>
      <c r="G90" s="1">
        <v>0</v>
      </c>
      <c r="H90">
        <v>3.93</v>
      </c>
      <c r="I90" s="2">
        <v>393</v>
      </c>
      <c r="J90"/>
      <c r="K90"/>
      <c r="L90"/>
    </row>
    <row r="91" spans="1:12">
      <c r="A91" t="s">
        <v>509</v>
      </c>
      <c r="B91" t="s">
        <v>40</v>
      </c>
      <c r="C91" t="s">
        <v>510</v>
      </c>
      <c r="D91">
        <v>300</v>
      </c>
      <c r="E91" s="2">
        <v>0.39</v>
      </c>
      <c r="F91" s="1">
        <v>0</v>
      </c>
      <c r="G91" s="1">
        <v>0</v>
      </c>
      <c r="H91">
        <v>0.39</v>
      </c>
      <c r="I91" s="2">
        <v>117</v>
      </c>
      <c r="J91"/>
      <c r="K91"/>
      <c r="L91"/>
    </row>
    <row r="92" spans="1:12">
      <c r="A92" t="s">
        <v>509</v>
      </c>
      <c r="B92" t="s">
        <v>31</v>
      </c>
      <c r="C92" t="s">
        <v>351</v>
      </c>
      <c r="D92">
        <v>100</v>
      </c>
      <c r="E92" s="2">
        <v>2.2200000000000002</v>
      </c>
      <c r="F92" s="1">
        <v>0</v>
      </c>
      <c r="G92" s="1">
        <v>0</v>
      </c>
      <c r="H92">
        <v>2.2200000000000002</v>
      </c>
      <c r="I92" s="2">
        <v>222</v>
      </c>
      <c r="J92"/>
      <c r="K92"/>
      <c r="L92"/>
    </row>
    <row r="93" spans="1:12">
      <c r="A93" t="s">
        <v>509</v>
      </c>
      <c r="B93" t="s">
        <v>33</v>
      </c>
      <c r="C93" t="s">
        <v>347</v>
      </c>
      <c r="D93">
        <v>200</v>
      </c>
      <c r="E93" s="2">
        <v>0.36</v>
      </c>
      <c r="F93" s="1">
        <v>0</v>
      </c>
      <c r="G93" s="1">
        <v>0</v>
      </c>
      <c r="H93">
        <v>0.36</v>
      </c>
      <c r="I93" s="2">
        <v>72</v>
      </c>
      <c r="J93"/>
      <c r="K93"/>
      <c r="L93"/>
    </row>
    <row r="94" spans="1:12">
      <c r="A94" t="s">
        <v>509</v>
      </c>
      <c r="B94" t="s">
        <v>76</v>
      </c>
      <c r="C94" t="s">
        <v>511</v>
      </c>
      <c r="D94">
        <v>60</v>
      </c>
      <c r="E94" s="2">
        <v>5.83</v>
      </c>
      <c r="F94" s="1">
        <v>0</v>
      </c>
      <c r="G94" s="1">
        <v>0</v>
      </c>
      <c r="H94">
        <v>5.83</v>
      </c>
      <c r="I94" s="2">
        <v>349.8</v>
      </c>
      <c r="J94"/>
      <c r="K94"/>
      <c r="L94"/>
    </row>
    <row r="95" spans="1:12">
      <c r="A95" t="s">
        <v>509</v>
      </c>
      <c r="B95" t="s">
        <v>110</v>
      </c>
      <c r="C95" t="s">
        <v>512</v>
      </c>
      <c r="D95">
        <v>60</v>
      </c>
      <c r="E95" s="2">
        <v>4.4800000000000004</v>
      </c>
      <c r="F95" s="1">
        <v>0</v>
      </c>
      <c r="G95" s="1">
        <v>0</v>
      </c>
      <c r="H95">
        <v>4.4800000000000004</v>
      </c>
      <c r="I95" s="2">
        <v>268.8</v>
      </c>
      <c r="J95"/>
      <c r="K95"/>
      <c r="L95"/>
    </row>
    <row r="96" spans="1:12">
      <c r="A96" t="s">
        <v>632</v>
      </c>
      <c r="B96" t="s">
        <v>505</v>
      </c>
      <c r="C96" t="s">
        <v>506</v>
      </c>
      <c r="D96">
        <v>50</v>
      </c>
      <c r="E96" s="2">
        <v>1.36</v>
      </c>
      <c r="F96" s="1">
        <v>0</v>
      </c>
      <c r="G96" s="1">
        <v>0</v>
      </c>
      <c r="H96">
        <v>1.36</v>
      </c>
      <c r="I96" s="2">
        <v>68</v>
      </c>
      <c r="J96"/>
      <c r="K96"/>
      <c r="L96"/>
    </row>
    <row r="97" spans="1:12">
      <c r="A97" t="s">
        <v>632</v>
      </c>
      <c r="B97" t="s">
        <v>507</v>
      </c>
      <c r="C97" t="s">
        <v>508</v>
      </c>
      <c r="D97">
        <v>100</v>
      </c>
      <c r="E97" s="2">
        <v>3.93</v>
      </c>
      <c r="F97" s="1">
        <v>0</v>
      </c>
      <c r="G97" s="1">
        <v>0</v>
      </c>
      <c r="H97">
        <v>3.93</v>
      </c>
      <c r="I97" s="2">
        <v>393</v>
      </c>
      <c r="J97"/>
      <c r="K97"/>
      <c r="L97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73EE2-FC4E-4C5C-A09F-DABC8A053D4D}">
  <dimension ref="A1:I57"/>
  <sheetViews>
    <sheetView topLeftCell="B1" workbookViewId="0">
      <selection activeCell="F2" sqref="F2"/>
    </sheetView>
  </sheetViews>
  <sheetFormatPr defaultRowHeight="15"/>
  <cols>
    <col min="1" max="1" width="43.28515625" bestFit="1" customWidth="1"/>
    <col min="2" max="2" width="16.7109375" bestFit="1" customWidth="1"/>
    <col min="3" max="3" width="81.140625" bestFit="1" customWidth="1"/>
    <col min="4" max="4" width="7.140625" bestFit="1" customWidth="1"/>
    <col min="5" max="5" width="11" style="2" bestFit="1" customWidth="1"/>
    <col min="6" max="7" width="8.85546875" style="1" bestFit="1" customWidth="1"/>
    <col min="8" max="8" width="20.5703125" style="2" bestFit="1" customWidth="1"/>
    <col min="9" max="9" width="11" style="2" customWidth="1"/>
    <col min="10" max="10" width="8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s="1" t="s">
        <v>5</v>
      </c>
      <c r="G1" s="1" t="s">
        <v>6</v>
      </c>
      <c r="H1" t="s">
        <v>629</v>
      </c>
      <c r="I1" s="2" t="s">
        <v>8</v>
      </c>
    </row>
    <row r="2" spans="1:9">
      <c r="A2" t="s">
        <v>9</v>
      </c>
      <c r="B2" t="s">
        <v>10</v>
      </c>
      <c r="C2" t="s">
        <v>633</v>
      </c>
      <c r="D2">
        <v>80</v>
      </c>
      <c r="E2" s="2">
        <v>4.0999999999999996</v>
      </c>
      <c r="F2" s="1">
        <v>0</v>
      </c>
      <c r="G2" s="1">
        <v>0</v>
      </c>
      <c r="H2" s="3">
        <v>4.0999999999999996</v>
      </c>
      <c r="I2" s="2">
        <v>328</v>
      </c>
    </row>
    <row r="3" spans="1:9" hidden="1">
      <c r="A3" t="s">
        <v>12</v>
      </c>
      <c r="B3" t="s">
        <v>13</v>
      </c>
      <c r="C3" t="s">
        <v>300</v>
      </c>
      <c r="D3">
        <v>3</v>
      </c>
      <c r="E3" s="2">
        <v>3.62</v>
      </c>
      <c r="F3" s="1">
        <v>0</v>
      </c>
      <c r="G3" s="1">
        <v>0</v>
      </c>
      <c r="H3" s="3">
        <v>3.62</v>
      </c>
      <c r="I3" s="2">
        <v>10.86</v>
      </c>
    </row>
    <row r="4" spans="1:9" hidden="1">
      <c r="A4" t="s">
        <v>634</v>
      </c>
      <c r="B4" t="s">
        <v>79</v>
      </c>
      <c r="C4" t="s">
        <v>304</v>
      </c>
      <c r="D4">
        <v>10</v>
      </c>
      <c r="E4" s="2">
        <v>62</v>
      </c>
      <c r="F4" s="1">
        <v>0</v>
      </c>
      <c r="G4" s="1">
        <v>0</v>
      </c>
      <c r="H4" s="3">
        <v>62</v>
      </c>
      <c r="I4" s="2">
        <v>620</v>
      </c>
    </row>
    <row r="5" spans="1:9" hidden="1">
      <c r="A5" t="s">
        <v>49</v>
      </c>
      <c r="B5" t="s">
        <v>38</v>
      </c>
      <c r="C5" t="s">
        <v>410</v>
      </c>
      <c r="D5">
        <v>30</v>
      </c>
      <c r="E5" s="2">
        <v>2.4</v>
      </c>
      <c r="F5" s="1">
        <v>0</v>
      </c>
      <c r="G5" s="1">
        <v>0</v>
      </c>
      <c r="H5" s="3">
        <v>2.4</v>
      </c>
      <c r="I5" s="2">
        <v>72</v>
      </c>
    </row>
    <row r="6" spans="1:9" hidden="1">
      <c r="A6" t="s">
        <v>49</v>
      </c>
      <c r="B6" t="s">
        <v>23</v>
      </c>
      <c r="C6" t="s">
        <v>413</v>
      </c>
      <c r="D6">
        <v>24</v>
      </c>
      <c r="E6" s="2">
        <v>2.63</v>
      </c>
      <c r="F6" s="1">
        <v>0</v>
      </c>
      <c r="G6" s="1">
        <v>0</v>
      </c>
      <c r="H6" s="3">
        <v>2.63</v>
      </c>
      <c r="I6" s="2">
        <v>63.12</v>
      </c>
    </row>
    <row r="7" spans="1:9" hidden="1">
      <c r="A7" t="s">
        <v>49</v>
      </c>
      <c r="B7" t="s">
        <v>40</v>
      </c>
      <c r="C7" t="s">
        <v>635</v>
      </c>
      <c r="D7">
        <v>50</v>
      </c>
      <c r="E7" s="2">
        <v>0.4</v>
      </c>
      <c r="F7" s="1">
        <v>0</v>
      </c>
      <c r="G7" s="1">
        <v>0</v>
      </c>
      <c r="H7" s="3">
        <v>0.4</v>
      </c>
      <c r="I7" s="2">
        <v>20</v>
      </c>
    </row>
    <row r="8" spans="1:9" hidden="1">
      <c r="A8" t="s">
        <v>49</v>
      </c>
      <c r="B8" t="s">
        <v>31</v>
      </c>
      <c r="C8" t="s">
        <v>636</v>
      </c>
      <c r="D8">
        <v>10</v>
      </c>
      <c r="E8" s="2">
        <v>2.25</v>
      </c>
      <c r="F8" s="1">
        <v>0</v>
      </c>
      <c r="G8" s="1">
        <v>0</v>
      </c>
      <c r="H8" s="3">
        <v>2.25</v>
      </c>
      <c r="I8" s="2">
        <v>22.5</v>
      </c>
    </row>
    <row r="9" spans="1:9" hidden="1">
      <c r="A9" t="s">
        <v>49</v>
      </c>
      <c r="B9" t="s">
        <v>54</v>
      </c>
      <c r="C9" t="s">
        <v>637</v>
      </c>
      <c r="D9">
        <v>33</v>
      </c>
      <c r="E9" s="2">
        <v>3.97</v>
      </c>
      <c r="F9" s="1">
        <v>0</v>
      </c>
      <c r="G9" s="1">
        <v>0</v>
      </c>
      <c r="H9" s="3">
        <v>3.97</v>
      </c>
      <c r="I9" s="2">
        <v>131.01</v>
      </c>
    </row>
    <row r="10" spans="1:9" hidden="1">
      <c r="A10" t="s">
        <v>49</v>
      </c>
      <c r="B10" t="s">
        <v>13</v>
      </c>
      <c r="C10" t="s">
        <v>638</v>
      </c>
      <c r="D10">
        <v>12</v>
      </c>
      <c r="E10" s="2">
        <v>3.62</v>
      </c>
      <c r="F10" s="1">
        <v>0</v>
      </c>
      <c r="G10" s="1">
        <v>0</v>
      </c>
      <c r="H10" s="3">
        <v>3.62</v>
      </c>
      <c r="I10" s="2">
        <v>43.44</v>
      </c>
    </row>
    <row r="11" spans="1:9" hidden="1">
      <c r="A11" t="s">
        <v>49</v>
      </c>
      <c r="B11" t="s">
        <v>57</v>
      </c>
      <c r="C11" t="s">
        <v>639</v>
      </c>
      <c r="D11">
        <v>4</v>
      </c>
      <c r="E11" s="2">
        <v>3.85</v>
      </c>
      <c r="F11" s="1">
        <v>0</v>
      </c>
      <c r="G11" s="1">
        <v>0</v>
      </c>
      <c r="H11" s="3">
        <v>3.85</v>
      </c>
      <c r="I11" s="2">
        <v>15.4</v>
      </c>
    </row>
    <row r="12" spans="1:9" hidden="1">
      <c r="A12" t="s">
        <v>49</v>
      </c>
      <c r="B12" t="s">
        <v>59</v>
      </c>
      <c r="C12" t="s">
        <v>640</v>
      </c>
      <c r="D12">
        <v>2</v>
      </c>
      <c r="E12" s="2">
        <v>1.84</v>
      </c>
      <c r="F12" s="1">
        <v>0</v>
      </c>
      <c r="G12" s="1">
        <v>0</v>
      </c>
      <c r="H12" s="3">
        <v>1.84</v>
      </c>
      <c r="I12" s="2">
        <v>3.68</v>
      </c>
    </row>
    <row r="13" spans="1:9" hidden="1">
      <c r="A13" t="s">
        <v>61</v>
      </c>
      <c r="B13" t="s">
        <v>62</v>
      </c>
      <c r="C13" t="s">
        <v>641</v>
      </c>
      <c r="D13">
        <v>320</v>
      </c>
      <c r="E13" s="2">
        <v>1.6</v>
      </c>
      <c r="F13" s="1">
        <v>0</v>
      </c>
      <c r="G13" s="1">
        <v>0</v>
      </c>
      <c r="H13" s="3">
        <v>1.6</v>
      </c>
      <c r="I13" s="2">
        <v>-512</v>
      </c>
    </row>
    <row r="14" spans="1:9" hidden="1">
      <c r="A14" t="s">
        <v>64</v>
      </c>
      <c r="B14" t="s">
        <v>65</v>
      </c>
      <c r="C14" t="s">
        <v>642</v>
      </c>
      <c r="D14">
        <v>1</v>
      </c>
      <c r="E14" s="2">
        <v>5.7</v>
      </c>
      <c r="F14" s="1">
        <v>0</v>
      </c>
      <c r="G14" s="1">
        <v>0</v>
      </c>
      <c r="H14" s="3">
        <v>5.7</v>
      </c>
      <c r="I14" s="2">
        <v>5.7</v>
      </c>
    </row>
    <row r="15" spans="1:9" hidden="1">
      <c r="A15" t="s">
        <v>64</v>
      </c>
      <c r="B15" t="s">
        <v>67</v>
      </c>
      <c r="C15" t="s">
        <v>643</v>
      </c>
      <c r="D15">
        <v>2</v>
      </c>
      <c r="E15" s="2">
        <v>5.25</v>
      </c>
      <c r="F15" s="1">
        <v>0</v>
      </c>
      <c r="G15" s="1">
        <v>0</v>
      </c>
      <c r="H15" s="3">
        <v>5.25</v>
      </c>
      <c r="I15" s="2">
        <v>10.5</v>
      </c>
    </row>
    <row r="16" spans="1:9" hidden="1">
      <c r="A16" t="s">
        <v>64</v>
      </c>
      <c r="B16" t="s">
        <v>69</v>
      </c>
      <c r="C16" t="s">
        <v>644</v>
      </c>
      <c r="D16">
        <v>1</v>
      </c>
      <c r="E16" s="2">
        <v>209.7</v>
      </c>
      <c r="F16" s="1">
        <v>0.35</v>
      </c>
      <c r="G16" s="1">
        <v>0</v>
      </c>
      <c r="H16" s="3">
        <v>136.30500000000001</v>
      </c>
      <c r="I16" s="2">
        <v>136.31</v>
      </c>
    </row>
    <row r="17" spans="1:9" hidden="1">
      <c r="A17" t="s">
        <v>64</v>
      </c>
      <c r="B17" t="s">
        <v>33</v>
      </c>
      <c r="C17" t="s">
        <v>347</v>
      </c>
      <c r="D17">
        <v>40</v>
      </c>
      <c r="E17" s="2">
        <v>1.03</v>
      </c>
      <c r="F17" s="1">
        <v>0.55000000000000004</v>
      </c>
      <c r="G17" s="1">
        <v>0</v>
      </c>
      <c r="H17" s="3">
        <v>0.46349999999999997</v>
      </c>
      <c r="I17" s="2">
        <v>18.54</v>
      </c>
    </row>
    <row r="18" spans="1:9" hidden="1">
      <c r="A18" t="s">
        <v>71</v>
      </c>
      <c r="B18" t="s">
        <v>38</v>
      </c>
      <c r="C18" t="s">
        <v>343</v>
      </c>
      <c r="D18">
        <v>270</v>
      </c>
      <c r="E18" s="2">
        <v>2.4</v>
      </c>
      <c r="F18" s="1">
        <v>0</v>
      </c>
      <c r="G18" s="1">
        <v>0</v>
      </c>
      <c r="H18" s="3">
        <v>2.4</v>
      </c>
      <c r="I18" s="2">
        <v>648</v>
      </c>
    </row>
    <row r="19" spans="1:9" hidden="1">
      <c r="A19" t="s">
        <v>71</v>
      </c>
      <c r="B19" t="s">
        <v>23</v>
      </c>
      <c r="C19" t="s">
        <v>345</v>
      </c>
      <c r="D19">
        <v>48</v>
      </c>
      <c r="E19" s="2">
        <v>2.63</v>
      </c>
      <c r="F19" s="1">
        <v>0</v>
      </c>
      <c r="G19" s="1">
        <v>0</v>
      </c>
      <c r="H19" s="3">
        <v>2.63</v>
      </c>
      <c r="I19" s="2">
        <v>126.24</v>
      </c>
    </row>
    <row r="20" spans="1:9" hidden="1">
      <c r="A20" t="s">
        <v>71</v>
      </c>
      <c r="B20" t="s">
        <v>40</v>
      </c>
      <c r="C20" t="s">
        <v>346</v>
      </c>
      <c r="D20">
        <v>150</v>
      </c>
      <c r="E20" s="2">
        <v>0.4</v>
      </c>
      <c r="F20" s="1">
        <v>0</v>
      </c>
      <c r="G20" s="1">
        <v>0</v>
      </c>
      <c r="H20" s="3">
        <v>0.4</v>
      </c>
      <c r="I20" s="2">
        <v>60</v>
      </c>
    </row>
    <row r="21" spans="1:9" hidden="1">
      <c r="A21" t="s">
        <v>71</v>
      </c>
      <c r="B21" t="s">
        <v>33</v>
      </c>
      <c r="C21" t="s">
        <v>347</v>
      </c>
      <c r="D21">
        <v>160</v>
      </c>
      <c r="E21" s="2">
        <v>1.03</v>
      </c>
      <c r="F21" s="1">
        <v>0.55000000000000004</v>
      </c>
      <c r="G21" s="1">
        <v>0</v>
      </c>
      <c r="H21" s="3">
        <v>0.46349999999999997</v>
      </c>
      <c r="I21" s="2">
        <v>74.16</v>
      </c>
    </row>
    <row r="22" spans="1:9" hidden="1">
      <c r="A22" t="s">
        <v>72</v>
      </c>
      <c r="B22" t="s">
        <v>23</v>
      </c>
      <c r="C22" t="s">
        <v>345</v>
      </c>
      <c r="D22">
        <v>222</v>
      </c>
      <c r="E22" s="2">
        <v>2.63</v>
      </c>
      <c r="F22" s="1">
        <v>0</v>
      </c>
      <c r="G22" s="1">
        <v>0</v>
      </c>
      <c r="H22" s="3">
        <v>2.63</v>
      </c>
      <c r="I22" s="2">
        <v>583.86</v>
      </c>
    </row>
    <row r="23" spans="1:9" hidden="1">
      <c r="A23" t="s">
        <v>73</v>
      </c>
      <c r="B23" t="s">
        <v>62</v>
      </c>
      <c r="C23" t="s">
        <v>645</v>
      </c>
      <c r="D23">
        <v>320</v>
      </c>
      <c r="E23" s="2">
        <v>1.6</v>
      </c>
      <c r="F23" s="1">
        <v>0</v>
      </c>
      <c r="G23" s="1">
        <v>0</v>
      </c>
      <c r="H23" s="3">
        <v>1.6</v>
      </c>
      <c r="I23" s="2">
        <v>512</v>
      </c>
    </row>
    <row r="24" spans="1:9" hidden="1">
      <c r="A24" t="s">
        <v>75</v>
      </c>
      <c r="B24" t="s">
        <v>76</v>
      </c>
      <c r="C24" t="s">
        <v>411</v>
      </c>
      <c r="D24">
        <v>108</v>
      </c>
      <c r="E24" s="2">
        <v>16.649999999999999</v>
      </c>
      <c r="F24" s="1">
        <v>0.63</v>
      </c>
      <c r="G24" s="1">
        <v>0</v>
      </c>
      <c r="H24" s="3">
        <v>6.160499999999999</v>
      </c>
      <c r="I24" s="2">
        <v>665.33</v>
      </c>
    </row>
    <row r="25" spans="1:9" hidden="1">
      <c r="A25" t="s">
        <v>75</v>
      </c>
      <c r="B25" t="s">
        <v>29</v>
      </c>
      <c r="C25" t="s">
        <v>349</v>
      </c>
      <c r="D25">
        <v>15</v>
      </c>
      <c r="E25" s="2">
        <v>7.69</v>
      </c>
      <c r="F25" s="1">
        <v>0.6</v>
      </c>
      <c r="G25" s="1">
        <v>0</v>
      </c>
      <c r="H25" s="3">
        <v>3.0760000000000005</v>
      </c>
      <c r="I25" s="2">
        <v>46.14</v>
      </c>
    </row>
    <row r="26" spans="1:9" hidden="1">
      <c r="A26" t="s">
        <v>75</v>
      </c>
      <c r="B26" t="s">
        <v>23</v>
      </c>
      <c r="C26" t="s">
        <v>345</v>
      </c>
      <c r="D26">
        <v>21</v>
      </c>
      <c r="E26" s="2">
        <v>7.44</v>
      </c>
      <c r="F26" s="1">
        <v>0.6</v>
      </c>
      <c r="G26" s="1">
        <v>0</v>
      </c>
      <c r="H26" s="3">
        <v>2.9760000000000004</v>
      </c>
      <c r="I26" s="2">
        <v>62.5</v>
      </c>
    </row>
    <row r="27" spans="1:9" hidden="1">
      <c r="A27" t="s">
        <v>78</v>
      </c>
      <c r="B27" t="s">
        <v>79</v>
      </c>
      <c r="C27" t="s">
        <v>304</v>
      </c>
      <c r="D27">
        <v>1</v>
      </c>
      <c r="E27" s="2">
        <v>62</v>
      </c>
      <c r="F27" s="1">
        <v>0</v>
      </c>
      <c r="G27" s="1">
        <v>0</v>
      </c>
      <c r="H27" s="3">
        <v>62</v>
      </c>
      <c r="I27" s="2">
        <v>62</v>
      </c>
    </row>
    <row r="28" spans="1:9" hidden="1">
      <c r="A28" t="s">
        <v>78</v>
      </c>
      <c r="B28" t="s">
        <v>81</v>
      </c>
      <c r="C28" t="s">
        <v>646</v>
      </c>
      <c r="D28">
        <v>20</v>
      </c>
      <c r="E28" s="2">
        <v>0.41239999999999999</v>
      </c>
      <c r="F28" s="1">
        <v>0.25</v>
      </c>
      <c r="G28" s="1">
        <v>0</v>
      </c>
      <c r="H28" s="3">
        <v>0.30930000000000002</v>
      </c>
      <c r="I28" s="2">
        <v>6.19</v>
      </c>
    </row>
    <row r="29" spans="1:9" hidden="1">
      <c r="A29" t="s">
        <v>78</v>
      </c>
      <c r="B29" t="s">
        <v>83</v>
      </c>
      <c r="C29" t="s">
        <v>647</v>
      </c>
      <c r="D29">
        <v>30</v>
      </c>
      <c r="E29" s="2">
        <v>0.70889999999999997</v>
      </c>
      <c r="F29" s="1">
        <v>0.25</v>
      </c>
      <c r="G29" s="1">
        <v>0</v>
      </c>
      <c r="H29" s="3">
        <v>0.53167500000000001</v>
      </c>
      <c r="I29" s="2">
        <v>15.95</v>
      </c>
    </row>
    <row r="30" spans="1:9" hidden="1">
      <c r="A30" t="s">
        <v>78</v>
      </c>
      <c r="B30" t="s">
        <v>85</v>
      </c>
      <c r="C30" t="s">
        <v>648</v>
      </c>
      <c r="D30">
        <v>0.5</v>
      </c>
      <c r="E30" s="2">
        <v>18.95</v>
      </c>
      <c r="F30" s="1">
        <v>0.35</v>
      </c>
      <c r="G30" s="1">
        <v>0</v>
      </c>
      <c r="H30" s="3">
        <v>12.317500000000001</v>
      </c>
      <c r="I30" s="2">
        <v>6.16</v>
      </c>
    </row>
    <row r="31" spans="1:9" hidden="1">
      <c r="A31" t="s">
        <v>78</v>
      </c>
      <c r="B31" t="s">
        <v>87</v>
      </c>
      <c r="C31" t="s">
        <v>649</v>
      </c>
      <c r="D31">
        <v>1</v>
      </c>
      <c r="E31" s="2">
        <v>7.55</v>
      </c>
      <c r="F31" s="1">
        <v>0.35</v>
      </c>
      <c r="G31" s="1">
        <v>0</v>
      </c>
      <c r="H31" s="3">
        <v>4.9074999999999998</v>
      </c>
      <c r="I31" s="2">
        <v>4.91</v>
      </c>
    </row>
    <row r="32" spans="1:9" hidden="1">
      <c r="A32" t="s">
        <v>78</v>
      </c>
      <c r="B32" t="s">
        <v>89</v>
      </c>
      <c r="C32" t="s">
        <v>305</v>
      </c>
      <c r="D32">
        <v>1</v>
      </c>
      <c r="E32" s="2">
        <v>25.77</v>
      </c>
      <c r="F32" s="1">
        <v>0.5</v>
      </c>
      <c r="G32" s="1">
        <v>0</v>
      </c>
      <c r="H32" s="3">
        <v>12.885</v>
      </c>
      <c r="I32" s="2">
        <v>12.89</v>
      </c>
    </row>
    <row r="33" spans="1:9" hidden="1">
      <c r="A33" t="s">
        <v>78</v>
      </c>
      <c r="B33" t="s">
        <v>91</v>
      </c>
      <c r="C33" t="s">
        <v>306</v>
      </c>
      <c r="D33">
        <v>3</v>
      </c>
      <c r="E33" s="2">
        <v>0.99</v>
      </c>
      <c r="F33" s="1">
        <v>0.5</v>
      </c>
      <c r="G33" s="1">
        <v>0</v>
      </c>
      <c r="H33" s="3">
        <v>0.495</v>
      </c>
      <c r="I33" s="2">
        <v>1.49</v>
      </c>
    </row>
    <row r="34" spans="1:9" hidden="1">
      <c r="A34" t="s">
        <v>93</v>
      </c>
      <c r="B34" t="s">
        <v>79</v>
      </c>
      <c r="C34" t="s">
        <v>304</v>
      </c>
      <c r="D34">
        <v>10</v>
      </c>
      <c r="E34" s="2">
        <v>62</v>
      </c>
      <c r="F34" s="1">
        <v>0</v>
      </c>
      <c r="G34" s="1">
        <v>0</v>
      </c>
      <c r="H34" s="3">
        <v>62</v>
      </c>
      <c r="I34" s="2">
        <v>620</v>
      </c>
    </row>
    <row r="35" spans="1:9" hidden="1">
      <c r="A35" t="s">
        <v>102</v>
      </c>
      <c r="B35" t="s">
        <v>79</v>
      </c>
      <c r="C35" t="s">
        <v>304</v>
      </c>
      <c r="D35">
        <v>1</v>
      </c>
      <c r="E35" s="2">
        <v>62</v>
      </c>
      <c r="F35" s="1">
        <v>0</v>
      </c>
      <c r="G35" s="1">
        <v>0</v>
      </c>
      <c r="H35" s="3">
        <v>62</v>
      </c>
      <c r="I35" s="2">
        <v>62</v>
      </c>
    </row>
    <row r="36" spans="1:9" hidden="1">
      <c r="A36" t="s">
        <v>103</v>
      </c>
      <c r="B36" t="s">
        <v>29</v>
      </c>
      <c r="C36" t="s">
        <v>650</v>
      </c>
      <c r="D36">
        <v>10</v>
      </c>
      <c r="E36" s="2">
        <v>3.08</v>
      </c>
      <c r="F36" s="1">
        <v>0</v>
      </c>
      <c r="G36" s="1">
        <v>0</v>
      </c>
      <c r="H36" s="3">
        <v>3.08</v>
      </c>
      <c r="I36" s="2">
        <v>30.8</v>
      </c>
    </row>
    <row r="37" spans="1:9" hidden="1">
      <c r="A37" t="s">
        <v>112</v>
      </c>
      <c r="B37" t="s">
        <v>29</v>
      </c>
      <c r="C37" t="s">
        <v>349</v>
      </c>
      <c r="D37">
        <v>10</v>
      </c>
      <c r="E37" s="2">
        <v>3.08</v>
      </c>
      <c r="F37" s="1">
        <v>0</v>
      </c>
      <c r="G37" s="1">
        <v>0</v>
      </c>
      <c r="H37" s="3">
        <v>3.08</v>
      </c>
      <c r="I37" s="2">
        <v>30.8</v>
      </c>
    </row>
    <row r="38" spans="1:9" hidden="1">
      <c r="A38" t="s">
        <v>112</v>
      </c>
      <c r="B38" t="s">
        <v>21</v>
      </c>
      <c r="C38" t="s">
        <v>344</v>
      </c>
      <c r="D38">
        <v>60</v>
      </c>
      <c r="E38" s="2">
        <v>4.0599999999999996</v>
      </c>
      <c r="F38" s="1">
        <v>0</v>
      </c>
      <c r="G38" s="1">
        <v>0</v>
      </c>
      <c r="H38" s="3">
        <v>4.0599999999999996</v>
      </c>
      <c r="I38" s="2">
        <v>243.6</v>
      </c>
    </row>
    <row r="39" spans="1:9" hidden="1">
      <c r="A39" t="s">
        <v>112</v>
      </c>
      <c r="B39" t="s">
        <v>23</v>
      </c>
      <c r="C39" t="s">
        <v>345</v>
      </c>
      <c r="D39">
        <v>60</v>
      </c>
      <c r="E39" s="2">
        <v>2.83</v>
      </c>
      <c r="F39" s="1">
        <v>0</v>
      </c>
      <c r="G39" s="1">
        <v>0</v>
      </c>
      <c r="H39" s="3">
        <v>2.83</v>
      </c>
      <c r="I39" s="2">
        <v>169.8</v>
      </c>
    </row>
    <row r="40" spans="1:9" hidden="1">
      <c r="A40" t="s">
        <v>112</v>
      </c>
      <c r="B40" t="s">
        <v>113</v>
      </c>
      <c r="C40" t="s">
        <v>540</v>
      </c>
      <c r="D40">
        <v>1</v>
      </c>
      <c r="E40" s="2">
        <v>13.71</v>
      </c>
      <c r="F40" s="1">
        <v>0</v>
      </c>
      <c r="G40" s="1">
        <v>0</v>
      </c>
      <c r="H40" s="3">
        <v>13.71</v>
      </c>
      <c r="I40" s="2">
        <v>13.71</v>
      </c>
    </row>
    <row r="41" spans="1:9" hidden="1">
      <c r="A41" t="s">
        <v>116</v>
      </c>
      <c r="B41" t="s">
        <v>117</v>
      </c>
      <c r="C41" t="s">
        <v>651</v>
      </c>
      <c r="D41">
        <v>21</v>
      </c>
      <c r="E41" s="2">
        <v>5.55</v>
      </c>
      <c r="F41" s="1">
        <v>0.25</v>
      </c>
      <c r="G41" s="1">
        <v>0</v>
      </c>
      <c r="H41" s="3">
        <v>4.1624999999999996</v>
      </c>
      <c r="I41" s="2">
        <v>87.41</v>
      </c>
    </row>
    <row r="42" spans="1:9" hidden="1">
      <c r="A42" t="s">
        <v>119</v>
      </c>
      <c r="B42" t="s">
        <v>31</v>
      </c>
      <c r="C42" t="s">
        <v>652</v>
      </c>
      <c r="D42">
        <v>50</v>
      </c>
      <c r="E42" s="2">
        <v>6.48</v>
      </c>
      <c r="F42" s="1">
        <v>0.6</v>
      </c>
      <c r="G42" s="1">
        <v>0</v>
      </c>
      <c r="H42" s="3">
        <v>2.5920000000000005</v>
      </c>
      <c r="I42" s="2">
        <v>129.6</v>
      </c>
    </row>
    <row r="43" spans="1:9" hidden="1">
      <c r="A43" t="s">
        <v>121</v>
      </c>
      <c r="B43" t="s">
        <v>122</v>
      </c>
      <c r="C43" t="s">
        <v>653</v>
      </c>
      <c r="D43">
        <v>10</v>
      </c>
      <c r="E43" s="2">
        <v>3.11</v>
      </c>
      <c r="F43" s="1">
        <v>0</v>
      </c>
      <c r="G43" s="1">
        <v>0</v>
      </c>
      <c r="H43" s="3">
        <v>3.11</v>
      </c>
      <c r="I43" s="2">
        <v>31.1</v>
      </c>
    </row>
    <row r="44" spans="1:9" hidden="1">
      <c r="A44" t="s">
        <v>121</v>
      </c>
      <c r="B44" t="s">
        <v>124</v>
      </c>
      <c r="C44" t="s">
        <v>654</v>
      </c>
      <c r="D44">
        <v>1</v>
      </c>
      <c r="E44" s="2">
        <v>4.7300000000000004</v>
      </c>
      <c r="F44" s="1">
        <v>0.5</v>
      </c>
      <c r="G44" s="1">
        <v>0</v>
      </c>
      <c r="H44" s="3">
        <v>2.3650000000000002</v>
      </c>
      <c r="I44" s="2">
        <v>2.37</v>
      </c>
    </row>
    <row r="45" spans="1:9" hidden="1">
      <c r="A45" t="s">
        <v>121</v>
      </c>
      <c r="B45" t="s">
        <v>126</v>
      </c>
      <c r="C45" t="s">
        <v>655</v>
      </c>
      <c r="D45">
        <v>1</v>
      </c>
      <c r="E45" s="2">
        <v>2.97</v>
      </c>
      <c r="F45" s="1">
        <v>0.5</v>
      </c>
      <c r="G45" s="1">
        <v>0</v>
      </c>
      <c r="H45" s="3">
        <v>1.4850000000000001</v>
      </c>
      <c r="I45" s="2">
        <v>1.49</v>
      </c>
    </row>
    <row r="46" spans="1:9" hidden="1">
      <c r="A46" t="s">
        <v>128</v>
      </c>
      <c r="B46" t="s">
        <v>129</v>
      </c>
      <c r="C46" t="s">
        <v>656</v>
      </c>
      <c r="D46">
        <v>9</v>
      </c>
      <c r="E46" s="2">
        <v>4.5199999999999996</v>
      </c>
      <c r="F46" s="1">
        <v>0.25</v>
      </c>
      <c r="G46" s="1">
        <v>0</v>
      </c>
      <c r="H46" s="3">
        <v>3.3899999999999997</v>
      </c>
      <c r="I46" s="2">
        <v>30.51</v>
      </c>
    </row>
    <row r="47" spans="1:9" hidden="1">
      <c r="A47" t="s">
        <v>136</v>
      </c>
      <c r="B47" t="s">
        <v>137</v>
      </c>
      <c r="C47" t="s">
        <v>657</v>
      </c>
      <c r="D47">
        <v>400</v>
      </c>
      <c r="E47" s="2">
        <v>0.87</v>
      </c>
      <c r="F47" s="1">
        <v>0</v>
      </c>
      <c r="G47" s="1">
        <v>0</v>
      </c>
      <c r="H47" s="3">
        <v>0.87</v>
      </c>
      <c r="I47" s="2">
        <v>348</v>
      </c>
    </row>
    <row r="48" spans="1:9" hidden="1">
      <c r="A48" t="s">
        <v>136</v>
      </c>
      <c r="B48" t="s">
        <v>132</v>
      </c>
      <c r="C48" t="s">
        <v>658</v>
      </c>
      <c r="D48">
        <v>102</v>
      </c>
      <c r="E48" s="2">
        <v>7.88</v>
      </c>
      <c r="F48" s="1">
        <v>0</v>
      </c>
      <c r="G48" s="1">
        <v>0</v>
      </c>
      <c r="H48" s="3">
        <v>7.88</v>
      </c>
      <c r="I48" s="2">
        <v>803.76</v>
      </c>
    </row>
    <row r="49" spans="1:9" hidden="1">
      <c r="A49" t="s">
        <v>136</v>
      </c>
      <c r="B49" t="s">
        <v>139</v>
      </c>
      <c r="C49" t="s">
        <v>659</v>
      </c>
      <c r="D49">
        <v>500</v>
      </c>
      <c r="E49" s="2">
        <v>2.95</v>
      </c>
      <c r="F49" s="1">
        <v>0</v>
      </c>
      <c r="G49" s="1">
        <v>0</v>
      </c>
      <c r="H49" s="3">
        <v>2.95</v>
      </c>
      <c r="I49" s="2">
        <v>1475</v>
      </c>
    </row>
    <row r="50" spans="1:9" hidden="1">
      <c r="A50" t="s">
        <v>136</v>
      </c>
      <c r="B50" t="s">
        <v>31</v>
      </c>
      <c r="C50" t="s">
        <v>351</v>
      </c>
      <c r="D50">
        <v>50</v>
      </c>
      <c r="E50" s="2">
        <v>2.27</v>
      </c>
      <c r="F50" s="1">
        <v>0</v>
      </c>
      <c r="G50" s="1">
        <v>0</v>
      </c>
      <c r="H50" s="3">
        <v>2.27</v>
      </c>
      <c r="I50" s="2">
        <v>113.5</v>
      </c>
    </row>
    <row r="51" spans="1:9" hidden="1">
      <c r="A51" t="s">
        <v>136</v>
      </c>
      <c r="B51" t="s">
        <v>134</v>
      </c>
      <c r="C51" t="s">
        <v>660</v>
      </c>
      <c r="D51">
        <v>102</v>
      </c>
      <c r="E51" s="2">
        <v>7</v>
      </c>
      <c r="F51" s="1">
        <v>0</v>
      </c>
      <c r="G51" s="1">
        <v>0</v>
      </c>
      <c r="H51" s="3">
        <v>7</v>
      </c>
      <c r="I51" s="2">
        <v>714</v>
      </c>
    </row>
    <row r="52" spans="1:9" hidden="1">
      <c r="A52" t="s">
        <v>136</v>
      </c>
      <c r="B52" t="s">
        <v>35</v>
      </c>
      <c r="C52" t="s">
        <v>661</v>
      </c>
      <c r="D52">
        <v>1</v>
      </c>
      <c r="E52" s="2">
        <v>125</v>
      </c>
      <c r="F52" s="1">
        <v>0</v>
      </c>
      <c r="G52" s="1">
        <v>0</v>
      </c>
      <c r="H52" s="3">
        <v>125</v>
      </c>
      <c r="I52" s="2">
        <v>125</v>
      </c>
    </row>
    <row r="53" spans="1:9" hidden="1">
      <c r="A53" t="s">
        <v>142</v>
      </c>
      <c r="B53" t="s">
        <v>38</v>
      </c>
      <c r="C53" t="s">
        <v>343</v>
      </c>
      <c r="D53">
        <v>252</v>
      </c>
      <c r="E53" s="2">
        <v>2.44</v>
      </c>
      <c r="F53" s="1">
        <v>0</v>
      </c>
      <c r="G53" s="1">
        <v>0</v>
      </c>
      <c r="H53" s="3">
        <v>2.44</v>
      </c>
      <c r="I53" s="2">
        <v>614.88</v>
      </c>
    </row>
    <row r="54" spans="1:9" hidden="1">
      <c r="A54" t="s">
        <v>142</v>
      </c>
      <c r="B54" t="s">
        <v>21</v>
      </c>
      <c r="C54" t="s">
        <v>344</v>
      </c>
      <c r="D54">
        <v>249</v>
      </c>
      <c r="E54" s="2">
        <v>3.56</v>
      </c>
      <c r="F54" s="1">
        <v>0</v>
      </c>
      <c r="G54" s="1">
        <v>0</v>
      </c>
      <c r="H54" s="3">
        <v>3.56</v>
      </c>
      <c r="I54" s="2">
        <v>886.44</v>
      </c>
    </row>
    <row r="55" spans="1:9" hidden="1">
      <c r="A55" t="s">
        <v>142</v>
      </c>
      <c r="B55" t="s">
        <v>23</v>
      </c>
      <c r="C55" t="s">
        <v>345</v>
      </c>
      <c r="D55">
        <v>48</v>
      </c>
      <c r="E55" s="2">
        <v>2.41</v>
      </c>
      <c r="F55" s="1">
        <v>0</v>
      </c>
      <c r="G55" s="1">
        <v>0</v>
      </c>
      <c r="H55" s="3">
        <v>2.41</v>
      </c>
      <c r="I55" s="2">
        <v>115.68</v>
      </c>
    </row>
    <row r="56" spans="1:9" hidden="1">
      <c r="A56" t="s">
        <v>143</v>
      </c>
      <c r="B56" t="s">
        <v>27</v>
      </c>
      <c r="C56" t="s">
        <v>662</v>
      </c>
      <c r="D56">
        <v>10</v>
      </c>
      <c r="E56" s="2">
        <v>11.09</v>
      </c>
      <c r="F56" s="1">
        <v>0.6</v>
      </c>
      <c r="G56" s="1">
        <v>0</v>
      </c>
      <c r="H56" s="3">
        <v>4.4359999999999999</v>
      </c>
      <c r="I56" s="2">
        <v>44.36</v>
      </c>
    </row>
    <row r="57" spans="1:9" hidden="1">
      <c r="A57" t="s">
        <v>144</v>
      </c>
      <c r="B57" t="s">
        <v>23</v>
      </c>
      <c r="C57" t="s">
        <v>663</v>
      </c>
      <c r="D57">
        <v>453</v>
      </c>
      <c r="E57" s="2">
        <v>2.41</v>
      </c>
      <c r="F57" s="1">
        <v>0</v>
      </c>
      <c r="G57" s="1">
        <v>0</v>
      </c>
      <c r="H57" s="3">
        <v>2.41</v>
      </c>
      <c r="I57" s="2">
        <v>1091.73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70A27-4203-4BA2-B31D-AE6D6EBFB55F}">
  <dimension ref="A1:B166"/>
  <sheetViews>
    <sheetView workbookViewId="0">
      <selection activeCell="A10" sqref="A10"/>
    </sheetView>
  </sheetViews>
  <sheetFormatPr defaultRowHeight="15"/>
  <cols>
    <col min="1" max="1" width="56.5703125" bestFit="1" customWidth="1"/>
    <col min="2" max="2" width="10.42578125" bestFit="1" customWidth="1"/>
    <col min="3" max="4" width="10.140625" bestFit="1" customWidth="1"/>
  </cols>
  <sheetData>
    <row r="1" spans="1:2">
      <c r="A1" t="s">
        <v>0</v>
      </c>
      <c r="B1" t="s">
        <v>611</v>
      </c>
    </row>
    <row r="2" spans="1:2">
      <c r="A2" t="s">
        <v>294</v>
      </c>
      <c r="B2" s="6">
        <v>45502</v>
      </c>
    </row>
    <row r="3" spans="1:2">
      <c r="A3" t="s">
        <v>297</v>
      </c>
      <c r="B3" s="6">
        <v>45502</v>
      </c>
    </row>
    <row r="4" spans="1:2">
      <c r="A4" t="s">
        <v>301</v>
      </c>
      <c r="B4" s="6">
        <v>45457</v>
      </c>
    </row>
    <row r="5" spans="1:2">
      <c r="A5" t="s">
        <v>307</v>
      </c>
      <c r="B5" s="6">
        <v>45457</v>
      </c>
    </row>
    <row r="6" spans="1:2">
      <c r="A6" t="s">
        <v>310</v>
      </c>
      <c r="B6" s="6">
        <v>45910</v>
      </c>
    </row>
    <row r="7" spans="1:2">
      <c r="A7" t="s">
        <v>313</v>
      </c>
      <c r="B7" s="6">
        <v>46091</v>
      </c>
    </row>
    <row r="8" spans="1:2">
      <c r="A8" t="s">
        <v>316</v>
      </c>
      <c r="B8" s="6">
        <v>46091</v>
      </c>
    </row>
    <row r="9" spans="1:2">
      <c r="A9" t="s">
        <v>324</v>
      </c>
      <c r="B9" s="6">
        <v>46091</v>
      </c>
    </row>
    <row r="10" spans="1:2">
      <c r="A10" t="s">
        <v>327</v>
      </c>
      <c r="B10" s="6">
        <v>46091</v>
      </c>
    </row>
    <row r="11" spans="1:2">
      <c r="A11" t="s">
        <v>332</v>
      </c>
      <c r="B11" s="6">
        <v>46092</v>
      </c>
    </row>
    <row r="12" spans="1:2">
      <c r="A12" t="s">
        <v>339</v>
      </c>
      <c r="B12" s="6">
        <v>45972</v>
      </c>
    </row>
    <row r="13" spans="1:2">
      <c r="A13" t="s">
        <v>358</v>
      </c>
      <c r="B13" s="6">
        <v>46104</v>
      </c>
    </row>
    <row r="14" spans="1:2">
      <c r="A14" t="s">
        <v>361</v>
      </c>
      <c r="B14" s="6">
        <v>45714</v>
      </c>
    </row>
    <row r="15" spans="1:2">
      <c r="A15" t="s">
        <v>364</v>
      </c>
      <c r="B15" s="6">
        <v>45726</v>
      </c>
    </row>
    <row r="16" spans="1:2">
      <c r="A16" t="s">
        <v>369</v>
      </c>
      <c r="B16" s="6">
        <v>45727</v>
      </c>
    </row>
    <row r="17" spans="1:2">
      <c r="A17" t="s">
        <v>398</v>
      </c>
      <c r="B17" s="6">
        <v>45737</v>
      </c>
    </row>
    <row r="18" spans="1:2">
      <c r="A18" t="s">
        <v>409</v>
      </c>
      <c r="B18" s="6">
        <v>45750</v>
      </c>
    </row>
    <row r="19" spans="1:2">
      <c r="A19" t="s">
        <v>422</v>
      </c>
      <c r="B19" s="6">
        <v>45763</v>
      </c>
    </row>
    <row r="20" spans="1:2">
      <c r="A20" t="s">
        <v>423</v>
      </c>
      <c r="B20" s="6">
        <v>45770</v>
      </c>
    </row>
    <row r="21" spans="1:2">
      <c r="A21" t="s">
        <v>424</v>
      </c>
      <c r="B21" s="6">
        <v>45783</v>
      </c>
    </row>
    <row r="22" spans="1:2">
      <c r="A22" t="s">
        <v>425</v>
      </c>
      <c r="B22" s="6">
        <v>45454</v>
      </c>
    </row>
    <row r="23" spans="1:2">
      <c r="A23" t="s">
        <v>430</v>
      </c>
      <c r="B23" s="6">
        <v>45475</v>
      </c>
    </row>
    <row r="24" spans="1:2">
      <c r="A24" t="s">
        <v>431</v>
      </c>
      <c r="B24" s="6">
        <v>45476</v>
      </c>
    </row>
    <row r="25" spans="1:2">
      <c r="A25" t="s">
        <v>435</v>
      </c>
      <c r="B25" s="6">
        <v>45805</v>
      </c>
    </row>
    <row r="26" spans="1:2">
      <c r="A26" t="s">
        <v>448</v>
      </c>
      <c r="B26" s="6">
        <v>45482</v>
      </c>
    </row>
    <row r="27" spans="1:2">
      <c r="A27" t="s">
        <v>450</v>
      </c>
      <c r="B27" s="6">
        <v>45482</v>
      </c>
    </row>
    <row r="28" spans="1:2">
      <c r="A28" t="s">
        <v>452</v>
      </c>
      <c r="B28" s="6">
        <v>45839</v>
      </c>
    </row>
    <row r="29" spans="1:2">
      <c r="A29" t="s">
        <v>453</v>
      </c>
      <c r="B29" s="6">
        <v>45853</v>
      </c>
    </row>
    <row r="30" spans="1:2">
      <c r="A30" t="s">
        <v>455</v>
      </c>
      <c r="B30" s="6">
        <v>45853</v>
      </c>
    </row>
    <row r="31" spans="1:2">
      <c r="A31" t="s">
        <v>460</v>
      </c>
      <c r="B31" s="6">
        <v>45853</v>
      </c>
    </row>
    <row r="32" spans="1:2">
      <c r="A32" t="s">
        <v>463</v>
      </c>
      <c r="B32" s="6">
        <v>46202</v>
      </c>
    </row>
    <row r="33" spans="1:2">
      <c r="A33" t="s">
        <v>466</v>
      </c>
      <c r="B33" s="6">
        <v>45596</v>
      </c>
    </row>
    <row r="34" spans="1:2">
      <c r="A34" t="s">
        <v>475</v>
      </c>
      <c r="B34" s="6">
        <v>45926</v>
      </c>
    </row>
    <row r="35" spans="1:2">
      <c r="A35" t="s">
        <v>478</v>
      </c>
      <c r="B35" s="6">
        <v>45653</v>
      </c>
    </row>
    <row r="36" spans="1:2">
      <c r="A36" t="s">
        <v>479</v>
      </c>
      <c r="B36" s="6">
        <v>45691</v>
      </c>
    </row>
    <row r="37" spans="1:2">
      <c r="A37" t="s">
        <v>486</v>
      </c>
      <c r="B37" s="6">
        <v>46057</v>
      </c>
    </row>
    <row r="38" spans="1:2">
      <c r="A38" t="s">
        <v>493</v>
      </c>
      <c r="B38" s="6">
        <v>45842</v>
      </c>
    </row>
    <row r="39" spans="1:2">
      <c r="A39" t="s">
        <v>496</v>
      </c>
      <c r="B39" s="6">
        <v>45842</v>
      </c>
    </row>
    <row r="40" spans="1:2">
      <c r="A40" t="s">
        <v>501</v>
      </c>
      <c r="B40" s="6">
        <v>45842</v>
      </c>
    </row>
    <row r="41" spans="1:2">
      <c r="A41" t="s">
        <v>504</v>
      </c>
      <c r="B41" s="6">
        <v>45677</v>
      </c>
    </row>
    <row r="42" spans="1:2">
      <c r="A42" t="s">
        <v>509</v>
      </c>
      <c r="B42" s="6">
        <v>45678</v>
      </c>
    </row>
    <row r="43" spans="1:2">
      <c r="A43" t="s">
        <v>513</v>
      </c>
      <c r="B43" s="6">
        <v>46099</v>
      </c>
    </row>
    <row r="44" spans="1:2">
      <c r="A44" t="s">
        <v>514</v>
      </c>
      <c r="B44" s="6">
        <v>46139</v>
      </c>
    </row>
    <row r="45" spans="1:2">
      <c r="A45" t="s">
        <v>519</v>
      </c>
      <c r="B45" s="6">
        <v>46146</v>
      </c>
    </row>
    <row r="46" spans="1:2">
      <c r="A46" t="s">
        <v>530</v>
      </c>
      <c r="B46" s="6">
        <v>46147</v>
      </c>
    </row>
    <row r="47" spans="1:2">
      <c r="A47" t="s">
        <v>539</v>
      </c>
      <c r="B47" s="6">
        <v>46153</v>
      </c>
    </row>
    <row r="48" spans="1:2">
      <c r="A48" t="s">
        <v>545</v>
      </c>
      <c r="B48" s="6">
        <v>46155</v>
      </c>
    </row>
    <row r="49" spans="1:2">
      <c r="A49" t="s">
        <v>552</v>
      </c>
      <c r="B49" s="6">
        <v>46156</v>
      </c>
    </row>
    <row r="50" spans="1:2">
      <c r="A50" t="s">
        <v>557</v>
      </c>
      <c r="B50" s="6">
        <v>45545</v>
      </c>
    </row>
    <row r="51" spans="1:2">
      <c r="A51" t="s">
        <v>559</v>
      </c>
      <c r="B51" s="6">
        <v>46204</v>
      </c>
    </row>
    <row r="52" spans="1:2">
      <c r="A52" t="s">
        <v>560</v>
      </c>
      <c r="B52" s="6">
        <v>45590</v>
      </c>
    </row>
    <row r="53" spans="1:2">
      <c r="A53" t="s">
        <v>567</v>
      </c>
      <c r="B53" s="6">
        <v>45923</v>
      </c>
    </row>
    <row r="54" spans="1:2">
      <c r="A54" t="s">
        <v>572</v>
      </c>
      <c r="B54" s="6">
        <v>45923</v>
      </c>
    </row>
    <row r="55" spans="1:2">
      <c r="A55" t="s">
        <v>581</v>
      </c>
      <c r="B55" s="6">
        <v>45629</v>
      </c>
    </row>
    <row r="56" spans="1:2">
      <c r="A56" t="s">
        <v>585</v>
      </c>
      <c r="B56" s="6">
        <v>45629</v>
      </c>
    </row>
    <row r="57" spans="1:2">
      <c r="A57" t="s">
        <v>588</v>
      </c>
      <c r="B57" s="6">
        <v>45939</v>
      </c>
    </row>
    <row r="58" spans="1:2">
      <c r="A58" t="s">
        <v>591</v>
      </c>
      <c r="B58" s="6">
        <v>45631</v>
      </c>
    </row>
    <row r="59" spans="1:2">
      <c r="A59" t="s">
        <v>593</v>
      </c>
      <c r="B59" s="6">
        <v>45637</v>
      </c>
    </row>
    <row r="60" spans="1:2">
      <c r="A60" t="s">
        <v>600</v>
      </c>
      <c r="B60" s="6">
        <v>45961</v>
      </c>
    </row>
    <row r="61" spans="1:2">
      <c r="A61" t="s">
        <v>602</v>
      </c>
      <c r="B61" s="6">
        <v>45968</v>
      </c>
    </row>
    <row r="62" spans="1:2">
      <c r="A62" t="s">
        <v>605</v>
      </c>
      <c r="B62" s="6">
        <v>46001</v>
      </c>
    </row>
    <row r="63" spans="1:2">
      <c r="A63" t="s">
        <v>606</v>
      </c>
      <c r="B63" s="6">
        <v>46008</v>
      </c>
    </row>
    <row r="64" spans="1:2">
      <c r="A64" t="s">
        <v>664</v>
      </c>
      <c r="B64" s="6">
        <v>45670</v>
      </c>
    </row>
    <row r="65" spans="1:2">
      <c r="A65" t="s">
        <v>665</v>
      </c>
      <c r="B65" s="6">
        <v>45763</v>
      </c>
    </row>
    <row r="66" spans="1:2">
      <c r="A66" t="s">
        <v>666</v>
      </c>
      <c r="B66" s="6">
        <v>45764</v>
      </c>
    </row>
    <row r="67" spans="1:2">
      <c r="A67" t="s">
        <v>667</v>
      </c>
      <c r="B67" s="6">
        <v>45770</v>
      </c>
    </row>
    <row r="68" spans="1:2">
      <c r="A68" t="s">
        <v>668</v>
      </c>
      <c r="B68" s="6">
        <v>45708</v>
      </c>
    </row>
    <row r="69" spans="1:2">
      <c r="A69" t="s">
        <v>669</v>
      </c>
      <c r="B69" s="6">
        <v>45714</v>
      </c>
    </row>
    <row r="70" spans="1:2">
      <c r="A70" t="s">
        <v>670</v>
      </c>
      <c r="B70" s="6">
        <v>45716</v>
      </c>
    </row>
    <row r="71" spans="1:2">
      <c r="A71" t="s">
        <v>671</v>
      </c>
      <c r="B71" s="6">
        <v>45721</v>
      </c>
    </row>
    <row r="72" spans="1:2">
      <c r="A72" t="s">
        <v>672</v>
      </c>
      <c r="B72" s="6">
        <v>45719</v>
      </c>
    </row>
    <row r="73" spans="1:2">
      <c r="A73" t="s">
        <v>673</v>
      </c>
      <c r="B73" s="6">
        <v>45719</v>
      </c>
    </row>
    <row r="74" spans="1:2">
      <c r="A74" t="s">
        <v>674</v>
      </c>
      <c r="B74" s="6">
        <v>45723</v>
      </c>
    </row>
    <row r="75" spans="1:2">
      <c r="A75" t="s">
        <v>675</v>
      </c>
      <c r="B75" s="6">
        <v>45723</v>
      </c>
    </row>
    <row r="76" spans="1:2">
      <c r="A76" t="s">
        <v>676</v>
      </c>
      <c r="B76" s="6">
        <v>45726</v>
      </c>
    </row>
    <row r="77" spans="1:2">
      <c r="A77" t="s">
        <v>677</v>
      </c>
      <c r="B77" s="6">
        <v>45726</v>
      </c>
    </row>
    <row r="78" spans="1:2">
      <c r="A78" t="s">
        <v>678</v>
      </c>
      <c r="B78" s="6">
        <v>45733</v>
      </c>
    </row>
    <row r="79" spans="1:2">
      <c r="A79" t="s">
        <v>679</v>
      </c>
      <c r="B79" s="6">
        <v>45735</v>
      </c>
    </row>
    <row r="80" spans="1:2">
      <c r="A80" t="s">
        <v>680</v>
      </c>
      <c r="B80" s="6">
        <v>45735</v>
      </c>
    </row>
    <row r="81" spans="1:2">
      <c r="A81" t="s">
        <v>681</v>
      </c>
      <c r="B81" s="6">
        <v>45736</v>
      </c>
    </row>
    <row r="82" spans="1:2">
      <c r="A82" t="s">
        <v>682</v>
      </c>
      <c r="B82" s="6">
        <v>45740</v>
      </c>
    </row>
    <row r="83" spans="1:2">
      <c r="A83" t="s">
        <v>683</v>
      </c>
      <c r="B83" s="6">
        <v>45742</v>
      </c>
    </row>
    <row r="84" spans="1:2">
      <c r="A84" t="s">
        <v>684</v>
      </c>
      <c r="B84" s="6">
        <v>45742</v>
      </c>
    </row>
    <row r="85" spans="1:2">
      <c r="A85" t="s">
        <v>685</v>
      </c>
      <c r="B85" s="6">
        <v>45743</v>
      </c>
    </row>
    <row r="86" spans="1:2">
      <c r="A86" t="s">
        <v>686</v>
      </c>
      <c r="B86" s="6">
        <v>45747</v>
      </c>
    </row>
    <row r="87" spans="1:2">
      <c r="A87" t="s">
        <v>687</v>
      </c>
      <c r="B87" s="6">
        <v>45748</v>
      </c>
    </row>
    <row r="88" spans="1:2">
      <c r="A88" t="s">
        <v>688</v>
      </c>
      <c r="B88" s="6">
        <v>45750</v>
      </c>
    </row>
    <row r="89" spans="1:2">
      <c r="A89" t="s">
        <v>689</v>
      </c>
      <c r="B89" s="6">
        <v>45750</v>
      </c>
    </row>
    <row r="90" spans="1:2">
      <c r="A90" t="s">
        <v>690</v>
      </c>
      <c r="B90" s="6">
        <v>45754</v>
      </c>
    </row>
    <row r="91" spans="1:2">
      <c r="A91" t="s">
        <v>691</v>
      </c>
      <c r="B91" s="6">
        <v>45755</v>
      </c>
    </row>
    <row r="92" spans="1:2">
      <c r="A92" t="s">
        <v>692</v>
      </c>
      <c r="B92" s="6">
        <v>45756</v>
      </c>
    </row>
    <row r="93" spans="1:2">
      <c r="A93" t="s">
        <v>693</v>
      </c>
      <c r="B93" s="6">
        <v>45769</v>
      </c>
    </row>
    <row r="94" spans="1:2">
      <c r="A94" t="s">
        <v>694</v>
      </c>
      <c r="B94" s="6">
        <v>45770</v>
      </c>
    </row>
    <row r="95" spans="1:2">
      <c r="A95" t="s">
        <v>695</v>
      </c>
      <c r="B95" s="6">
        <v>45770</v>
      </c>
    </row>
    <row r="96" spans="1:2">
      <c r="A96" t="s">
        <v>696</v>
      </c>
      <c r="B96" s="6">
        <v>45771</v>
      </c>
    </row>
    <row r="97" spans="1:2">
      <c r="A97" t="s">
        <v>697</v>
      </c>
      <c r="B97" s="6">
        <v>45775</v>
      </c>
    </row>
    <row r="98" spans="1:2">
      <c r="A98" t="s">
        <v>698</v>
      </c>
      <c r="B98" s="6">
        <v>45782</v>
      </c>
    </row>
    <row r="99" spans="1:2">
      <c r="A99" t="s">
        <v>699</v>
      </c>
      <c r="B99" s="6">
        <v>45783</v>
      </c>
    </row>
    <row r="100" spans="1:2">
      <c r="A100" t="s">
        <v>700</v>
      </c>
      <c r="B100" s="6">
        <v>45784</v>
      </c>
    </row>
    <row r="101" spans="1:2">
      <c r="A101" t="s">
        <v>701</v>
      </c>
      <c r="B101" s="6">
        <v>45784</v>
      </c>
    </row>
    <row r="102" spans="1:2">
      <c r="A102" t="s">
        <v>702</v>
      </c>
      <c r="B102" s="6">
        <v>45785</v>
      </c>
    </row>
    <row r="103" spans="1:2">
      <c r="A103" t="s">
        <v>703</v>
      </c>
      <c r="B103" s="6">
        <v>45785</v>
      </c>
    </row>
    <row r="104" spans="1:2">
      <c r="A104" t="s">
        <v>704</v>
      </c>
      <c r="B104" s="6">
        <v>45786</v>
      </c>
    </row>
    <row r="105" spans="1:2">
      <c r="A105" t="s">
        <v>705</v>
      </c>
      <c r="B105" s="6">
        <v>45786</v>
      </c>
    </row>
    <row r="106" spans="1:2">
      <c r="A106" t="s">
        <v>706</v>
      </c>
      <c r="B106" s="6">
        <v>45789</v>
      </c>
    </row>
    <row r="107" spans="1:2">
      <c r="A107" t="s">
        <v>707</v>
      </c>
      <c r="B107" s="6">
        <v>45789</v>
      </c>
    </row>
    <row r="108" spans="1:2">
      <c r="A108" t="s">
        <v>708</v>
      </c>
      <c r="B108" s="6">
        <v>45791</v>
      </c>
    </row>
    <row r="109" spans="1:2">
      <c r="A109" t="s">
        <v>709</v>
      </c>
      <c r="B109" s="6">
        <v>45804</v>
      </c>
    </row>
    <row r="110" spans="1:2">
      <c r="A110" t="s">
        <v>710</v>
      </c>
      <c r="B110" s="6">
        <v>45806</v>
      </c>
    </row>
    <row r="111" spans="1:2">
      <c r="A111" t="s">
        <v>711</v>
      </c>
      <c r="B111" s="6">
        <v>45807</v>
      </c>
    </row>
    <row r="112" spans="1:2">
      <c r="A112" t="s">
        <v>712</v>
      </c>
      <c r="B112" s="6">
        <v>45813</v>
      </c>
    </row>
    <row r="113" spans="1:2">
      <c r="A113" t="s">
        <v>713</v>
      </c>
      <c r="B113" s="6">
        <v>45814</v>
      </c>
    </row>
    <row r="114" spans="1:2">
      <c r="A114" t="s">
        <v>714</v>
      </c>
      <c r="B114" s="6">
        <v>45824</v>
      </c>
    </row>
    <row r="115" spans="1:2">
      <c r="A115" t="s">
        <v>715</v>
      </c>
      <c r="B115" s="6">
        <v>45828</v>
      </c>
    </row>
    <row r="116" spans="1:2">
      <c r="A116" t="s">
        <v>716</v>
      </c>
      <c r="B116" s="6">
        <v>45828</v>
      </c>
    </row>
    <row r="117" spans="1:2">
      <c r="A117" t="s">
        <v>717</v>
      </c>
      <c r="B117" s="6">
        <v>45831</v>
      </c>
    </row>
    <row r="118" spans="1:2">
      <c r="A118" t="s">
        <v>718</v>
      </c>
      <c r="B118" s="6">
        <v>45831</v>
      </c>
    </row>
    <row r="119" spans="1:2">
      <c r="A119" t="s">
        <v>719</v>
      </c>
      <c r="B119" s="6">
        <v>45833</v>
      </c>
    </row>
    <row r="120" spans="1:2">
      <c r="A120" t="s">
        <v>720</v>
      </c>
      <c r="B120" s="6">
        <v>45834</v>
      </c>
    </row>
    <row r="121" spans="1:2">
      <c r="A121" t="s">
        <v>721</v>
      </c>
      <c r="B121" s="6">
        <v>45841</v>
      </c>
    </row>
    <row r="122" spans="1:2">
      <c r="A122" t="s">
        <v>722</v>
      </c>
      <c r="B122" s="6">
        <v>45848</v>
      </c>
    </row>
    <row r="123" spans="1:2">
      <c r="A123" t="s">
        <v>723</v>
      </c>
      <c r="B123" s="6">
        <v>45849</v>
      </c>
    </row>
    <row r="124" spans="1:2">
      <c r="A124" t="s">
        <v>724</v>
      </c>
      <c r="B124" s="6">
        <v>45849</v>
      </c>
    </row>
    <row r="125" spans="1:2">
      <c r="A125" t="s">
        <v>725</v>
      </c>
      <c r="B125" s="6">
        <v>45853</v>
      </c>
    </row>
    <row r="126" spans="1:2">
      <c r="A126" t="s">
        <v>726</v>
      </c>
      <c r="B126" s="6">
        <v>45853</v>
      </c>
    </row>
    <row r="127" spans="1:2">
      <c r="A127" t="s">
        <v>727</v>
      </c>
      <c r="B127" s="6">
        <v>45853</v>
      </c>
    </row>
    <row r="128" spans="1:2">
      <c r="A128" t="s">
        <v>728</v>
      </c>
      <c r="B128" s="6">
        <v>45859</v>
      </c>
    </row>
    <row r="129" spans="1:2">
      <c r="A129" t="s">
        <v>729</v>
      </c>
      <c r="B129" s="6">
        <v>45859</v>
      </c>
    </row>
    <row r="130" spans="1:2">
      <c r="A130" t="s">
        <v>730</v>
      </c>
      <c r="B130" s="6">
        <v>45861</v>
      </c>
    </row>
    <row r="131" spans="1:2">
      <c r="A131" t="s">
        <v>731</v>
      </c>
      <c r="B131" s="6">
        <v>45862</v>
      </c>
    </row>
    <row r="132" spans="1:2">
      <c r="A132" t="s">
        <v>732</v>
      </c>
      <c r="B132" s="6">
        <v>45862</v>
      </c>
    </row>
    <row r="133" spans="1:2">
      <c r="A133" t="s">
        <v>733</v>
      </c>
      <c r="B133" s="6">
        <v>45862</v>
      </c>
    </row>
    <row r="134" spans="1:2">
      <c r="A134" t="s">
        <v>734</v>
      </c>
      <c r="B134" s="6">
        <v>45868</v>
      </c>
    </row>
    <row r="135" spans="1:2">
      <c r="A135" t="s">
        <v>735</v>
      </c>
      <c r="B135" s="6">
        <v>45869</v>
      </c>
    </row>
    <row r="136" spans="1:2">
      <c r="A136" t="s">
        <v>736</v>
      </c>
      <c r="B136" s="6">
        <v>45870</v>
      </c>
    </row>
    <row r="137" spans="1:2">
      <c r="A137" t="s">
        <v>737</v>
      </c>
      <c r="B137" s="6">
        <v>45877</v>
      </c>
    </row>
    <row r="138" spans="1:2">
      <c r="A138" t="s">
        <v>738</v>
      </c>
      <c r="B138" s="6">
        <v>45887</v>
      </c>
    </row>
    <row r="139" spans="1:2">
      <c r="A139" t="s">
        <v>739</v>
      </c>
      <c r="B139" s="6">
        <v>45889</v>
      </c>
    </row>
    <row r="140" spans="1:2">
      <c r="A140" t="s">
        <v>740</v>
      </c>
      <c r="B140" s="6">
        <v>45890</v>
      </c>
    </row>
    <row r="141" spans="1:2">
      <c r="A141" t="s">
        <v>741</v>
      </c>
      <c r="B141" s="6">
        <v>45891</v>
      </c>
    </row>
    <row r="142" spans="1:2">
      <c r="A142" t="s">
        <v>742</v>
      </c>
      <c r="B142" s="6">
        <v>45894</v>
      </c>
    </row>
    <row r="143" spans="1:2">
      <c r="A143" t="s">
        <v>743</v>
      </c>
      <c r="B143" s="6">
        <v>45894</v>
      </c>
    </row>
    <row r="144" spans="1:2">
      <c r="A144" t="s">
        <v>744</v>
      </c>
      <c r="B144" s="6">
        <v>45895</v>
      </c>
    </row>
    <row r="145" spans="1:2">
      <c r="A145" t="s">
        <v>745</v>
      </c>
      <c r="B145" s="6">
        <v>45897</v>
      </c>
    </row>
    <row r="146" spans="1:2">
      <c r="A146" t="s">
        <v>746</v>
      </c>
      <c r="B146" s="6">
        <v>45898</v>
      </c>
    </row>
    <row r="147" spans="1:2">
      <c r="A147" t="s">
        <v>747</v>
      </c>
      <c r="B147" s="6">
        <v>45901</v>
      </c>
    </row>
    <row r="148" spans="1:2">
      <c r="A148" t="s">
        <v>748</v>
      </c>
      <c r="B148" s="6">
        <v>45904</v>
      </c>
    </row>
    <row r="149" spans="1:2">
      <c r="A149" t="s">
        <v>749</v>
      </c>
      <c r="B149" s="6">
        <v>45904</v>
      </c>
    </row>
    <row r="150" spans="1:2">
      <c r="A150" t="s">
        <v>750</v>
      </c>
      <c r="B150" s="6">
        <v>45694</v>
      </c>
    </row>
    <row r="151" spans="1:2">
      <c r="A151" t="s">
        <v>751</v>
      </c>
      <c r="B151" s="6">
        <v>45698</v>
      </c>
    </row>
    <row r="152" spans="1:2">
      <c r="A152" t="s">
        <v>752</v>
      </c>
      <c r="B152" s="6">
        <v>45702</v>
      </c>
    </row>
    <row r="153" spans="1:2">
      <c r="A153" t="s">
        <v>753</v>
      </c>
      <c r="B153" s="6">
        <v>45706</v>
      </c>
    </row>
    <row r="154" spans="1:2">
      <c r="A154" t="s">
        <v>754</v>
      </c>
      <c r="B154" s="6">
        <v>45902</v>
      </c>
    </row>
    <row r="155" spans="1:2">
      <c r="A155" t="s">
        <v>755</v>
      </c>
      <c r="B155" s="6">
        <v>45677</v>
      </c>
    </row>
    <row r="156" spans="1:2">
      <c r="A156" t="s">
        <v>756</v>
      </c>
      <c r="B156" s="6">
        <v>45677</v>
      </c>
    </row>
    <row r="157" spans="1:2">
      <c r="A157" t="s">
        <v>757</v>
      </c>
      <c r="B157" s="6">
        <v>45680</v>
      </c>
    </row>
    <row r="158" spans="1:2">
      <c r="A158" t="s">
        <v>758</v>
      </c>
      <c r="B158" s="6">
        <v>45681</v>
      </c>
    </row>
    <row r="159" spans="1:2">
      <c r="A159" t="s">
        <v>759</v>
      </c>
      <c r="B159" s="6">
        <v>45685</v>
      </c>
    </row>
    <row r="160" spans="1:2">
      <c r="A160" t="s">
        <v>760</v>
      </c>
      <c r="B160" s="6">
        <v>45688</v>
      </c>
    </row>
    <row r="161" spans="1:2">
      <c r="A161" t="s">
        <v>761</v>
      </c>
      <c r="B161" s="6">
        <v>45688</v>
      </c>
    </row>
    <row r="162" spans="1:2">
      <c r="A162" t="s">
        <v>762</v>
      </c>
      <c r="B162" s="6">
        <v>45684</v>
      </c>
    </row>
    <row r="163" spans="1:2">
      <c r="A163" t="s">
        <v>763</v>
      </c>
      <c r="B163" s="6">
        <v>45700</v>
      </c>
    </row>
    <row r="164" spans="1:2">
      <c r="A164" t="s">
        <v>764</v>
      </c>
      <c r="B164" s="6">
        <v>45701</v>
      </c>
    </row>
    <row r="165" spans="1:2">
      <c r="A165" t="s">
        <v>765</v>
      </c>
      <c r="B165" s="6">
        <v>45699</v>
      </c>
    </row>
    <row r="166" spans="1:2">
      <c r="A166" t="s">
        <v>766</v>
      </c>
      <c r="B166" s="6">
        <v>45852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BAC14-2AD1-414C-9162-AAF16D07BA67}">
  <dimension ref="A1:B246"/>
  <sheetViews>
    <sheetView workbookViewId="0">
      <selection activeCell="A8" sqref="A8"/>
    </sheetView>
  </sheetViews>
  <sheetFormatPr defaultRowHeight="15"/>
  <cols>
    <col min="1" max="1" width="56.5703125" bestFit="1" customWidth="1"/>
    <col min="2" max="2" width="10.42578125" bestFit="1" customWidth="1"/>
  </cols>
  <sheetData>
    <row r="1" spans="1:2">
      <c r="A1" t="s">
        <v>0</v>
      </c>
      <c r="B1" t="s">
        <v>611</v>
      </c>
    </row>
    <row r="2" spans="1:2">
      <c r="A2" t="s">
        <v>294</v>
      </c>
      <c r="B2" s="6">
        <v>45502</v>
      </c>
    </row>
    <row r="3" spans="1:2">
      <c r="A3" t="s">
        <v>297</v>
      </c>
      <c r="B3" s="6">
        <v>45502</v>
      </c>
    </row>
    <row r="4" spans="1:2">
      <c r="A4" t="s">
        <v>301</v>
      </c>
      <c r="B4" s="6">
        <v>45457</v>
      </c>
    </row>
    <row r="5" spans="1:2">
      <c r="A5" t="s">
        <v>307</v>
      </c>
      <c r="B5" s="6">
        <v>45457</v>
      </c>
    </row>
    <row r="6" spans="1:2">
      <c r="A6" t="s">
        <v>310</v>
      </c>
      <c r="B6" s="6">
        <v>45910</v>
      </c>
    </row>
    <row r="7" spans="1:2">
      <c r="A7" t="s">
        <v>313</v>
      </c>
      <c r="B7" s="6">
        <v>46091</v>
      </c>
    </row>
    <row r="8" spans="1:2">
      <c r="A8" t="s">
        <v>316</v>
      </c>
      <c r="B8" s="6">
        <v>46091</v>
      </c>
    </row>
    <row r="9" spans="1:2">
      <c r="A9" t="s">
        <v>324</v>
      </c>
      <c r="B9" s="6">
        <v>46091</v>
      </c>
    </row>
    <row r="10" spans="1:2">
      <c r="A10" t="s">
        <v>327</v>
      </c>
      <c r="B10" s="6">
        <v>46091</v>
      </c>
    </row>
    <row r="11" spans="1:2">
      <c r="A11" t="s">
        <v>332</v>
      </c>
      <c r="B11" s="6">
        <v>46092</v>
      </c>
    </row>
    <row r="12" spans="1:2">
      <c r="A12" t="s">
        <v>339</v>
      </c>
      <c r="B12" s="6">
        <v>45972</v>
      </c>
    </row>
    <row r="13" spans="1:2">
      <c r="A13" t="s">
        <v>358</v>
      </c>
      <c r="B13" s="6">
        <v>46104</v>
      </c>
    </row>
    <row r="14" spans="1:2">
      <c r="A14" t="s">
        <v>361</v>
      </c>
      <c r="B14" s="6">
        <v>45714</v>
      </c>
    </row>
    <row r="15" spans="1:2">
      <c r="A15" t="s">
        <v>364</v>
      </c>
      <c r="B15" s="6">
        <v>45726</v>
      </c>
    </row>
    <row r="16" spans="1:2">
      <c r="A16" t="s">
        <v>369</v>
      </c>
      <c r="B16" s="6">
        <v>45727</v>
      </c>
    </row>
    <row r="17" spans="1:2">
      <c r="A17" t="s">
        <v>398</v>
      </c>
      <c r="B17" s="6">
        <v>45737</v>
      </c>
    </row>
    <row r="18" spans="1:2">
      <c r="A18" t="s">
        <v>409</v>
      </c>
      <c r="B18" s="6">
        <v>45750</v>
      </c>
    </row>
    <row r="19" spans="1:2">
      <c r="A19" t="s">
        <v>422</v>
      </c>
      <c r="B19" s="6">
        <v>45763</v>
      </c>
    </row>
    <row r="20" spans="1:2">
      <c r="A20" t="s">
        <v>423</v>
      </c>
      <c r="B20" s="6">
        <v>45770</v>
      </c>
    </row>
    <row r="21" spans="1:2">
      <c r="A21" t="s">
        <v>424</v>
      </c>
      <c r="B21" s="6">
        <v>45783</v>
      </c>
    </row>
    <row r="22" spans="1:2">
      <c r="A22" t="s">
        <v>425</v>
      </c>
      <c r="B22" s="6">
        <v>45454</v>
      </c>
    </row>
    <row r="23" spans="1:2">
      <c r="A23" t="s">
        <v>430</v>
      </c>
      <c r="B23" s="6">
        <v>45475</v>
      </c>
    </row>
    <row r="24" spans="1:2">
      <c r="A24" t="s">
        <v>431</v>
      </c>
      <c r="B24" s="6">
        <v>45476</v>
      </c>
    </row>
    <row r="25" spans="1:2">
      <c r="A25" t="s">
        <v>435</v>
      </c>
      <c r="B25" s="6">
        <v>45805</v>
      </c>
    </row>
    <row r="26" spans="1:2">
      <c r="A26" t="s">
        <v>448</v>
      </c>
      <c r="B26" s="6">
        <v>45482</v>
      </c>
    </row>
    <row r="27" spans="1:2">
      <c r="A27" t="s">
        <v>450</v>
      </c>
      <c r="B27" s="6">
        <v>45482</v>
      </c>
    </row>
    <row r="28" spans="1:2">
      <c r="A28" t="s">
        <v>452</v>
      </c>
      <c r="B28" s="6">
        <v>45839</v>
      </c>
    </row>
    <row r="29" spans="1:2">
      <c r="A29" t="s">
        <v>453</v>
      </c>
      <c r="B29" s="6">
        <v>45853</v>
      </c>
    </row>
    <row r="30" spans="1:2">
      <c r="A30" t="s">
        <v>455</v>
      </c>
      <c r="B30" s="6">
        <v>45853</v>
      </c>
    </row>
    <row r="31" spans="1:2">
      <c r="A31" t="s">
        <v>460</v>
      </c>
      <c r="B31" s="6">
        <v>45853</v>
      </c>
    </row>
    <row r="32" spans="1:2">
      <c r="A32" t="s">
        <v>463</v>
      </c>
      <c r="B32" s="6">
        <v>46202</v>
      </c>
    </row>
    <row r="33" spans="1:2">
      <c r="A33" t="s">
        <v>466</v>
      </c>
      <c r="B33" s="6">
        <v>45596</v>
      </c>
    </row>
    <row r="34" spans="1:2">
      <c r="A34" t="s">
        <v>475</v>
      </c>
      <c r="B34" s="6">
        <v>45926</v>
      </c>
    </row>
    <row r="35" spans="1:2">
      <c r="A35" t="s">
        <v>478</v>
      </c>
      <c r="B35" s="6">
        <v>45653</v>
      </c>
    </row>
    <row r="36" spans="1:2">
      <c r="A36" t="s">
        <v>479</v>
      </c>
      <c r="B36" s="6">
        <v>45691</v>
      </c>
    </row>
    <row r="37" spans="1:2">
      <c r="A37" t="s">
        <v>486</v>
      </c>
      <c r="B37" s="6">
        <v>46057</v>
      </c>
    </row>
    <row r="38" spans="1:2">
      <c r="A38" t="s">
        <v>493</v>
      </c>
      <c r="B38" s="6">
        <v>45842</v>
      </c>
    </row>
    <row r="39" spans="1:2">
      <c r="A39" t="s">
        <v>496</v>
      </c>
      <c r="B39" s="6">
        <v>45842</v>
      </c>
    </row>
    <row r="40" spans="1:2">
      <c r="A40" t="s">
        <v>501</v>
      </c>
      <c r="B40" s="6">
        <v>45842</v>
      </c>
    </row>
    <row r="41" spans="1:2">
      <c r="A41" t="s">
        <v>504</v>
      </c>
      <c r="B41" s="6">
        <v>45677</v>
      </c>
    </row>
    <row r="42" spans="1:2">
      <c r="A42" t="s">
        <v>509</v>
      </c>
      <c r="B42" s="6">
        <v>45678</v>
      </c>
    </row>
    <row r="43" spans="1:2">
      <c r="A43" t="s">
        <v>513</v>
      </c>
      <c r="B43" s="6">
        <v>46099</v>
      </c>
    </row>
    <row r="44" spans="1:2">
      <c r="A44" t="s">
        <v>514</v>
      </c>
      <c r="B44" s="6">
        <v>46139</v>
      </c>
    </row>
    <row r="45" spans="1:2">
      <c r="A45" t="s">
        <v>519</v>
      </c>
      <c r="B45" s="6">
        <v>46146</v>
      </c>
    </row>
    <row r="46" spans="1:2">
      <c r="A46" t="s">
        <v>530</v>
      </c>
      <c r="B46" s="6">
        <v>46147</v>
      </c>
    </row>
    <row r="47" spans="1:2">
      <c r="A47" t="s">
        <v>539</v>
      </c>
      <c r="B47" s="6">
        <v>46153</v>
      </c>
    </row>
    <row r="48" spans="1:2">
      <c r="A48" t="s">
        <v>545</v>
      </c>
      <c r="B48" s="6">
        <v>46155</v>
      </c>
    </row>
    <row r="49" spans="1:2">
      <c r="A49" t="s">
        <v>552</v>
      </c>
      <c r="B49" s="6">
        <v>46156</v>
      </c>
    </row>
    <row r="50" spans="1:2">
      <c r="A50" t="s">
        <v>557</v>
      </c>
      <c r="B50" s="6">
        <v>45545</v>
      </c>
    </row>
    <row r="51" spans="1:2">
      <c r="A51" t="s">
        <v>559</v>
      </c>
      <c r="B51" s="6">
        <v>46204</v>
      </c>
    </row>
    <row r="52" spans="1:2">
      <c r="A52" t="s">
        <v>560</v>
      </c>
      <c r="B52" s="6">
        <v>45590</v>
      </c>
    </row>
    <row r="53" spans="1:2">
      <c r="A53" t="s">
        <v>567</v>
      </c>
      <c r="B53" s="6">
        <v>45923</v>
      </c>
    </row>
    <row r="54" spans="1:2">
      <c r="A54" t="s">
        <v>572</v>
      </c>
      <c r="B54" s="6">
        <v>45923</v>
      </c>
    </row>
    <row r="55" spans="1:2">
      <c r="A55" t="s">
        <v>581</v>
      </c>
      <c r="B55" s="6">
        <v>45629</v>
      </c>
    </row>
    <row r="56" spans="1:2">
      <c r="A56" t="s">
        <v>585</v>
      </c>
      <c r="B56" s="6">
        <v>45629</v>
      </c>
    </row>
    <row r="57" spans="1:2">
      <c r="A57" t="s">
        <v>588</v>
      </c>
      <c r="B57" s="6">
        <v>45939</v>
      </c>
    </row>
    <row r="58" spans="1:2">
      <c r="A58" t="s">
        <v>591</v>
      </c>
      <c r="B58" s="6">
        <v>45631</v>
      </c>
    </row>
    <row r="59" spans="1:2">
      <c r="A59" t="s">
        <v>593</v>
      </c>
      <c r="B59" s="6">
        <v>45637</v>
      </c>
    </row>
    <row r="60" spans="1:2">
      <c r="A60" t="s">
        <v>600</v>
      </c>
      <c r="B60" s="6">
        <v>45961</v>
      </c>
    </row>
    <row r="61" spans="1:2">
      <c r="A61" t="s">
        <v>602</v>
      </c>
      <c r="B61" s="6">
        <v>45968</v>
      </c>
    </row>
    <row r="62" spans="1:2">
      <c r="A62" t="s">
        <v>605</v>
      </c>
      <c r="B62" s="6">
        <v>46001</v>
      </c>
    </row>
    <row r="63" spans="1:2">
      <c r="A63" t="s">
        <v>606</v>
      </c>
      <c r="B63" s="6">
        <v>46008</v>
      </c>
    </row>
    <row r="64" spans="1:2">
      <c r="A64" t="s">
        <v>664</v>
      </c>
      <c r="B64" s="6">
        <v>45670</v>
      </c>
    </row>
    <row r="65" spans="1:2">
      <c r="A65" t="s">
        <v>665</v>
      </c>
      <c r="B65" s="6">
        <v>45763</v>
      </c>
    </row>
    <row r="66" spans="1:2">
      <c r="A66" t="s">
        <v>666</v>
      </c>
      <c r="B66" s="6">
        <v>45764</v>
      </c>
    </row>
    <row r="67" spans="1:2">
      <c r="A67" t="s">
        <v>667</v>
      </c>
      <c r="B67" s="6">
        <v>45770</v>
      </c>
    </row>
    <row r="68" spans="1:2">
      <c r="A68" t="s">
        <v>668</v>
      </c>
      <c r="B68" s="6">
        <v>45708</v>
      </c>
    </row>
    <row r="69" spans="1:2">
      <c r="A69" t="s">
        <v>669</v>
      </c>
      <c r="B69" s="6">
        <v>45714</v>
      </c>
    </row>
    <row r="70" spans="1:2">
      <c r="A70" t="s">
        <v>670</v>
      </c>
      <c r="B70" s="6">
        <v>45716</v>
      </c>
    </row>
    <row r="71" spans="1:2">
      <c r="A71" t="s">
        <v>671</v>
      </c>
      <c r="B71" s="6">
        <v>45721</v>
      </c>
    </row>
    <row r="72" spans="1:2">
      <c r="A72" t="s">
        <v>672</v>
      </c>
      <c r="B72" s="6">
        <v>45719</v>
      </c>
    </row>
    <row r="73" spans="1:2">
      <c r="A73" t="s">
        <v>673</v>
      </c>
      <c r="B73" s="6">
        <v>45719</v>
      </c>
    </row>
    <row r="74" spans="1:2">
      <c r="A74" t="s">
        <v>674</v>
      </c>
      <c r="B74" s="6">
        <v>45723</v>
      </c>
    </row>
    <row r="75" spans="1:2">
      <c r="A75" t="s">
        <v>675</v>
      </c>
      <c r="B75" s="6">
        <v>45723</v>
      </c>
    </row>
    <row r="76" spans="1:2">
      <c r="A76" t="s">
        <v>676</v>
      </c>
      <c r="B76" s="6">
        <v>45726</v>
      </c>
    </row>
    <row r="77" spans="1:2">
      <c r="A77" t="s">
        <v>677</v>
      </c>
      <c r="B77" s="6">
        <v>45726</v>
      </c>
    </row>
    <row r="78" spans="1:2">
      <c r="A78" t="s">
        <v>678</v>
      </c>
      <c r="B78" s="6">
        <v>45733</v>
      </c>
    </row>
    <row r="79" spans="1:2">
      <c r="A79" t="s">
        <v>679</v>
      </c>
      <c r="B79" s="6">
        <v>45735</v>
      </c>
    </row>
    <row r="80" spans="1:2">
      <c r="A80" t="s">
        <v>680</v>
      </c>
      <c r="B80" s="6">
        <v>45735</v>
      </c>
    </row>
    <row r="81" spans="1:2">
      <c r="A81" t="s">
        <v>681</v>
      </c>
      <c r="B81" s="6">
        <v>45736</v>
      </c>
    </row>
    <row r="82" spans="1:2">
      <c r="A82" t="s">
        <v>682</v>
      </c>
      <c r="B82" s="6">
        <v>45740</v>
      </c>
    </row>
    <row r="83" spans="1:2">
      <c r="A83" t="s">
        <v>683</v>
      </c>
      <c r="B83" s="6">
        <v>45742</v>
      </c>
    </row>
    <row r="84" spans="1:2">
      <c r="A84" t="s">
        <v>684</v>
      </c>
      <c r="B84" s="6">
        <v>45742</v>
      </c>
    </row>
    <row r="85" spans="1:2">
      <c r="A85" t="s">
        <v>685</v>
      </c>
      <c r="B85" s="6">
        <v>45743</v>
      </c>
    </row>
    <row r="86" spans="1:2">
      <c r="A86" t="s">
        <v>686</v>
      </c>
      <c r="B86" s="6">
        <v>45747</v>
      </c>
    </row>
    <row r="87" spans="1:2">
      <c r="A87" t="s">
        <v>687</v>
      </c>
      <c r="B87" s="6">
        <v>45748</v>
      </c>
    </row>
    <row r="88" spans="1:2">
      <c r="A88" t="s">
        <v>688</v>
      </c>
      <c r="B88" s="6">
        <v>45750</v>
      </c>
    </row>
    <row r="89" spans="1:2">
      <c r="A89" t="s">
        <v>689</v>
      </c>
      <c r="B89" s="6">
        <v>45750</v>
      </c>
    </row>
    <row r="90" spans="1:2">
      <c r="A90" t="s">
        <v>690</v>
      </c>
      <c r="B90" s="6">
        <v>45754</v>
      </c>
    </row>
    <row r="91" spans="1:2">
      <c r="A91" t="s">
        <v>691</v>
      </c>
      <c r="B91" s="6">
        <v>45755</v>
      </c>
    </row>
    <row r="92" spans="1:2">
      <c r="A92" t="s">
        <v>692</v>
      </c>
      <c r="B92" s="6">
        <v>45756</v>
      </c>
    </row>
    <row r="93" spans="1:2">
      <c r="A93" t="s">
        <v>693</v>
      </c>
      <c r="B93" s="6">
        <v>45769</v>
      </c>
    </row>
    <row r="94" spans="1:2">
      <c r="A94" t="s">
        <v>694</v>
      </c>
      <c r="B94" s="6">
        <v>45770</v>
      </c>
    </row>
    <row r="95" spans="1:2">
      <c r="A95" t="s">
        <v>695</v>
      </c>
      <c r="B95" s="6">
        <v>45770</v>
      </c>
    </row>
    <row r="96" spans="1:2">
      <c r="A96" t="s">
        <v>696</v>
      </c>
      <c r="B96" s="6">
        <v>45771</v>
      </c>
    </row>
    <row r="97" spans="1:2">
      <c r="A97" t="s">
        <v>697</v>
      </c>
      <c r="B97" s="6">
        <v>45775</v>
      </c>
    </row>
    <row r="98" spans="1:2">
      <c r="A98" t="s">
        <v>698</v>
      </c>
      <c r="B98" s="6">
        <v>45782</v>
      </c>
    </row>
    <row r="99" spans="1:2">
      <c r="A99" t="s">
        <v>699</v>
      </c>
      <c r="B99" s="6">
        <v>45783</v>
      </c>
    </row>
    <row r="100" spans="1:2">
      <c r="A100" t="s">
        <v>700</v>
      </c>
      <c r="B100" s="6">
        <v>45784</v>
      </c>
    </row>
    <row r="101" spans="1:2">
      <c r="A101" t="s">
        <v>701</v>
      </c>
      <c r="B101" s="6">
        <v>45784</v>
      </c>
    </row>
    <row r="102" spans="1:2">
      <c r="A102" t="s">
        <v>702</v>
      </c>
      <c r="B102" s="6">
        <v>45785</v>
      </c>
    </row>
    <row r="103" spans="1:2">
      <c r="A103" t="s">
        <v>703</v>
      </c>
      <c r="B103" s="6">
        <v>45785</v>
      </c>
    </row>
    <row r="104" spans="1:2">
      <c r="A104" t="s">
        <v>704</v>
      </c>
      <c r="B104" s="6">
        <v>45786</v>
      </c>
    </row>
    <row r="105" spans="1:2">
      <c r="A105" t="s">
        <v>705</v>
      </c>
      <c r="B105" s="6">
        <v>45786</v>
      </c>
    </row>
    <row r="106" spans="1:2">
      <c r="A106" t="s">
        <v>706</v>
      </c>
      <c r="B106" s="6">
        <v>45789</v>
      </c>
    </row>
    <row r="107" spans="1:2">
      <c r="A107" t="s">
        <v>707</v>
      </c>
      <c r="B107" s="6">
        <v>45789</v>
      </c>
    </row>
    <row r="108" spans="1:2">
      <c r="A108" t="s">
        <v>708</v>
      </c>
      <c r="B108" s="6">
        <v>45791</v>
      </c>
    </row>
    <row r="109" spans="1:2">
      <c r="A109" t="s">
        <v>709</v>
      </c>
      <c r="B109" s="6">
        <v>45804</v>
      </c>
    </row>
    <row r="110" spans="1:2">
      <c r="A110" t="s">
        <v>710</v>
      </c>
      <c r="B110" s="6">
        <v>45806</v>
      </c>
    </row>
    <row r="111" spans="1:2">
      <c r="A111" t="s">
        <v>711</v>
      </c>
      <c r="B111" s="6">
        <v>45807</v>
      </c>
    </row>
    <row r="112" spans="1:2">
      <c r="A112" t="s">
        <v>712</v>
      </c>
      <c r="B112" s="6">
        <v>45813</v>
      </c>
    </row>
    <row r="113" spans="1:2">
      <c r="A113" t="s">
        <v>713</v>
      </c>
      <c r="B113" s="6">
        <v>45814</v>
      </c>
    </row>
    <row r="114" spans="1:2">
      <c r="A114" t="s">
        <v>714</v>
      </c>
      <c r="B114" s="6">
        <v>45824</v>
      </c>
    </row>
    <row r="115" spans="1:2">
      <c r="A115" t="s">
        <v>715</v>
      </c>
      <c r="B115" s="6">
        <v>45828</v>
      </c>
    </row>
    <row r="116" spans="1:2">
      <c r="A116" t="s">
        <v>716</v>
      </c>
      <c r="B116" s="6">
        <v>45828</v>
      </c>
    </row>
    <row r="117" spans="1:2">
      <c r="A117" t="s">
        <v>717</v>
      </c>
      <c r="B117" s="6">
        <v>45831</v>
      </c>
    </row>
    <row r="118" spans="1:2">
      <c r="A118" t="s">
        <v>718</v>
      </c>
      <c r="B118" s="6">
        <v>45831</v>
      </c>
    </row>
    <row r="119" spans="1:2">
      <c r="A119" t="s">
        <v>719</v>
      </c>
      <c r="B119" s="6">
        <v>45833</v>
      </c>
    </row>
    <row r="120" spans="1:2">
      <c r="A120" t="s">
        <v>720</v>
      </c>
      <c r="B120" s="6">
        <v>45834</v>
      </c>
    </row>
    <row r="121" spans="1:2">
      <c r="A121" t="s">
        <v>721</v>
      </c>
      <c r="B121" s="6">
        <v>45841</v>
      </c>
    </row>
    <row r="122" spans="1:2">
      <c r="A122" t="s">
        <v>722</v>
      </c>
      <c r="B122" s="6">
        <v>45848</v>
      </c>
    </row>
    <row r="123" spans="1:2">
      <c r="A123" t="s">
        <v>723</v>
      </c>
      <c r="B123" s="6">
        <v>45849</v>
      </c>
    </row>
    <row r="124" spans="1:2">
      <c r="A124" t="s">
        <v>724</v>
      </c>
      <c r="B124" s="6">
        <v>45849</v>
      </c>
    </row>
    <row r="125" spans="1:2">
      <c r="A125" t="s">
        <v>725</v>
      </c>
      <c r="B125" s="6">
        <v>45853</v>
      </c>
    </row>
    <row r="126" spans="1:2">
      <c r="A126" t="s">
        <v>726</v>
      </c>
      <c r="B126" s="6">
        <v>45853</v>
      </c>
    </row>
    <row r="127" spans="1:2">
      <c r="A127" t="s">
        <v>727</v>
      </c>
      <c r="B127" s="6">
        <v>45853</v>
      </c>
    </row>
    <row r="128" spans="1:2">
      <c r="A128" t="s">
        <v>728</v>
      </c>
      <c r="B128" s="6">
        <v>45859</v>
      </c>
    </row>
    <row r="129" spans="1:2">
      <c r="A129" t="s">
        <v>729</v>
      </c>
      <c r="B129" s="6">
        <v>45859</v>
      </c>
    </row>
    <row r="130" spans="1:2">
      <c r="A130" t="s">
        <v>730</v>
      </c>
      <c r="B130" s="6">
        <v>45861</v>
      </c>
    </row>
    <row r="131" spans="1:2">
      <c r="A131" t="s">
        <v>731</v>
      </c>
      <c r="B131" s="6">
        <v>45862</v>
      </c>
    </row>
    <row r="132" spans="1:2">
      <c r="A132" t="s">
        <v>732</v>
      </c>
      <c r="B132" s="6">
        <v>45862</v>
      </c>
    </row>
    <row r="133" spans="1:2">
      <c r="A133" t="s">
        <v>733</v>
      </c>
      <c r="B133" s="6">
        <v>45862</v>
      </c>
    </row>
    <row r="134" spans="1:2">
      <c r="A134" t="s">
        <v>734</v>
      </c>
      <c r="B134" s="6">
        <v>45868</v>
      </c>
    </row>
    <row r="135" spans="1:2">
      <c r="A135" t="s">
        <v>735</v>
      </c>
      <c r="B135" s="6">
        <v>45869</v>
      </c>
    </row>
    <row r="136" spans="1:2">
      <c r="A136" t="s">
        <v>736</v>
      </c>
      <c r="B136" s="6">
        <v>45870</v>
      </c>
    </row>
    <row r="137" spans="1:2">
      <c r="A137" t="s">
        <v>737</v>
      </c>
      <c r="B137" s="6">
        <v>45877</v>
      </c>
    </row>
    <row r="138" spans="1:2">
      <c r="A138" t="s">
        <v>738</v>
      </c>
      <c r="B138" s="6">
        <v>45887</v>
      </c>
    </row>
    <row r="139" spans="1:2">
      <c r="A139" t="s">
        <v>739</v>
      </c>
      <c r="B139" s="6">
        <v>45889</v>
      </c>
    </row>
    <row r="140" spans="1:2">
      <c r="A140" t="s">
        <v>740</v>
      </c>
      <c r="B140" s="6">
        <v>45890</v>
      </c>
    </row>
    <row r="141" spans="1:2">
      <c r="A141" t="s">
        <v>741</v>
      </c>
      <c r="B141" s="6">
        <v>45891</v>
      </c>
    </row>
    <row r="142" spans="1:2">
      <c r="A142" t="s">
        <v>742</v>
      </c>
      <c r="B142" s="6">
        <v>45894</v>
      </c>
    </row>
    <row r="143" spans="1:2">
      <c r="A143" t="s">
        <v>743</v>
      </c>
      <c r="B143" s="6">
        <v>45894</v>
      </c>
    </row>
    <row r="144" spans="1:2">
      <c r="A144" t="s">
        <v>744</v>
      </c>
      <c r="B144" s="6">
        <v>45895</v>
      </c>
    </row>
    <row r="145" spans="1:2">
      <c r="A145" t="s">
        <v>745</v>
      </c>
      <c r="B145" s="6">
        <v>45897</v>
      </c>
    </row>
    <row r="146" spans="1:2">
      <c r="A146" t="s">
        <v>746</v>
      </c>
      <c r="B146" s="6">
        <v>45898</v>
      </c>
    </row>
    <row r="147" spans="1:2">
      <c r="A147" t="s">
        <v>747</v>
      </c>
      <c r="B147" s="6">
        <v>45901</v>
      </c>
    </row>
    <row r="148" spans="1:2">
      <c r="A148" t="s">
        <v>748</v>
      </c>
      <c r="B148" s="6">
        <v>45904</v>
      </c>
    </row>
    <row r="149" spans="1:2">
      <c r="A149" t="s">
        <v>749</v>
      </c>
      <c r="B149" s="6">
        <v>45904</v>
      </c>
    </row>
    <row r="150" spans="1:2">
      <c r="A150" t="s">
        <v>750</v>
      </c>
      <c r="B150" s="6">
        <v>45694</v>
      </c>
    </row>
    <row r="151" spans="1:2">
      <c r="A151" t="s">
        <v>751</v>
      </c>
      <c r="B151" s="6">
        <v>45698</v>
      </c>
    </row>
    <row r="152" spans="1:2">
      <c r="A152" t="s">
        <v>752</v>
      </c>
      <c r="B152" s="6">
        <v>45702</v>
      </c>
    </row>
    <row r="153" spans="1:2">
      <c r="A153" t="s">
        <v>753</v>
      </c>
      <c r="B153" s="6">
        <v>45706</v>
      </c>
    </row>
    <row r="154" spans="1:2">
      <c r="A154" t="s">
        <v>754</v>
      </c>
      <c r="B154" s="6">
        <v>45902</v>
      </c>
    </row>
    <row r="155" spans="1:2">
      <c r="A155" t="s">
        <v>755</v>
      </c>
      <c r="B155" s="6">
        <v>45677</v>
      </c>
    </row>
    <row r="156" spans="1:2">
      <c r="A156" t="s">
        <v>756</v>
      </c>
      <c r="B156" s="6">
        <v>45677</v>
      </c>
    </row>
    <row r="157" spans="1:2">
      <c r="A157" t="s">
        <v>757</v>
      </c>
      <c r="B157" s="6">
        <v>45680</v>
      </c>
    </row>
    <row r="158" spans="1:2">
      <c r="A158" t="s">
        <v>758</v>
      </c>
      <c r="B158" s="6">
        <v>45681</v>
      </c>
    </row>
    <row r="159" spans="1:2">
      <c r="A159" t="s">
        <v>759</v>
      </c>
      <c r="B159" s="6">
        <v>45685</v>
      </c>
    </row>
    <row r="160" spans="1:2">
      <c r="A160" t="s">
        <v>760</v>
      </c>
      <c r="B160" s="6">
        <v>45688</v>
      </c>
    </row>
    <row r="161" spans="1:2">
      <c r="A161" t="s">
        <v>761</v>
      </c>
      <c r="B161" s="6">
        <v>45688</v>
      </c>
    </row>
    <row r="162" spans="1:2">
      <c r="A162" t="s">
        <v>762</v>
      </c>
      <c r="B162" s="6">
        <v>45684</v>
      </c>
    </row>
    <row r="163" spans="1:2">
      <c r="A163" t="s">
        <v>763</v>
      </c>
      <c r="B163" s="6">
        <v>45700</v>
      </c>
    </row>
    <row r="164" spans="1:2">
      <c r="A164" t="s">
        <v>764</v>
      </c>
      <c r="B164" s="6">
        <v>45701</v>
      </c>
    </row>
    <row r="165" spans="1:2">
      <c r="A165" t="s">
        <v>765</v>
      </c>
      <c r="B165" s="6">
        <v>45699</v>
      </c>
    </row>
    <row r="166" spans="1:2">
      <c r="A166" t="s">
        <v>766</v>
      </c>
      <c r="B166" s="6">
        <v>45852</v>
      </c>
    </row>
    <row r="167" spans="1:2">
      <c r="A167" t="s">
        <v>9</v>
      </c>
      <c r="B167" s="6">
        <v>45488</v>
      </c>
    </row>
    <row r="168" spans="1:2">
      <c r="A168" t="s">
        <v>12</v>
      </c>
      <c r="B168" s="6">
        <v>45491</v>
      </c>
    </row>
    <row r="169" spans="1:2">
      <c r="A169" t="s">
        <v>15</v>
      </c>
      <c r="B169" s="6">
        <v>45909</v>
      </c>
    </row>
    <row r="170" spans="1:2">
      <c r="A170" t="s">
        <v>18</v>
      </c>
      <c r="B170" s="6">
        <v>45910</v>
      </c>
    </row>
    <row r="171" spans="1:2">
      <c r="A171" t="s">
        <v>37</v>
      </c>
      <c r="B171" s="6">
        <v>46080</v>
      </c>
    </row>
    <row r="172" spans="1:2">
      <c r="A172" t="s">
        <v>44</v>
      </c>
      <c r="B172" s="6">
        <v>46080</v>
      </c>
    </row>
    <row r="173" spans="1:2">
      <c r="A173" t="s">
        <v>49</v>
      </c>
      <c r="B173" s="6">
        <v>45460</v>
      </c>
    </row>
    <row r="174" spans="1:2">
      <c r="A174" t="s">
        <v>64</v>
      </c>
      <c r="B174" s="6">
        <v>45460</v>
      </c>
    </row>
    <row r="175" spans="1:2">
      <c r="A175" t="s">
        <v>71</v>
      </c>
      <c r="B175" s="6">
        <v>45460</v>
      </c>
    </row>
    <row r="176" spans="1:2">
      <c r="A176" t="s">
        <v>72</v>
      </c>
      <c r="B176" s="6">
        <v>45461</v>
      </c>
    </row>
    <row r="177" spans="1:2">
      <c r="A177" t="s">
        <v>73</v>
      </c>
      <c r="B177" s="6">
        <v>45841</v>
      </c>
    </row>
    <row r="178" spans="1:2">
      <c r="A178" t="s">
        <v>75</v>
      </c>
      <c r="B178" s="6">
        <v>45842</v>
      </c>
    </row>
    <row r="179" spans="1:2">
      <c r="A179" t="s">
        <v>78</v>
      </c>
      <c r="B179" s="6">
        <v>45464</v>
      </c>
    </row>
    <row r="180" spans="1:2">
      <c r="A180" t="s">
        <v>93</v>
      </c>
      <c r="B180" s="6">
        <v>45896</v>
      </c>
    </row>
    <row r="181" spans="1:2">
      <c r="A181" t="s">
        <v>94</v>
      </c>
      <c r="B181" s="6">
        <v>45534</v>
      </c>
    </row>
    <row r="182" spans="1:2">
      <c r="A182" t="s">
        <v>95</v>
      </c>
      <c r="B182" s="6">
        <v>45576</v>
      </c>
    </row>
    <row r="183" spans="1:2">
      <c r="A183" t="s">
        <v>96</v>
      </c>
      <c r="B183" s="6">
        <v>45988</v>
      </c>
    </row>
    <row r="184" spans="1:2">
      <c r="A184" t="s">
        <v>99</v>
      </c>
      <c r="B184" s="6">
        <v>45989</v>
      </c>
    </row>
    <row r="185" spans="1:2">
      <c r="A185" t="s">
        <v>102</v>
      </c>
      <c r="B185" s="6">
        <v>45699</v>
      </c>
    </row>
    <row r="186" spans="1:2">
      <c r="A186" t="s">
        <v>103</v>
      </c>
      <c r="B186" s="6">
        <v>45707</v>
      </c>
    </row>
    <row r="187" spans="1:2">
      <c r="A187" t="s">
        <v>105</v>
      </c>
      <c r="B187" s="6">
        <v>46079</v>
      </c>
    </row>
    <row r="188" spans="1:2">
      <c r="A188" t="s">
        <v>108</v>
      </c>
      <c r="B188" s="6">
        <v>46080</v>
      </c>
    </row>
    <row r="189" spans="1:2">
      <c r="A189" t="s">
        <v>112</v>
      </c>
      <c r="B189" s="6">
        <v>45714</v>
      </c>
    </row>
    <row r="190" spans="1:2">
      <c r="A190" t="s">
        <v>115</v>
      </c>
      <c r="B190" s="6">
        <v>46105</v>
      </c>
    </row>
    <row r="191" spans="1:2">
      <c r="A191" t="s">
        <v>116</v>
      </c>
      <c r="B191" s="6">
        <v>45735</v>
      </c>
    </row>
    <row r="192" spans="1:2">
      <c r="A192" t="s">
        <v>119</v>
      </c>
      <c r="B192" s="6">
        <v>45751</v>
      </c>
    </row>
    <row r="193" spans="1:2">
      <c r="A193" t="s">
        <v>121</v>
      </c>
      <c r="B193" s="6">
        <v>45797</v>
      </c>
    </row>
    <row r="194" spans="1:2">
      <c r="A194" t="s">
        <v>128</v>
      </c>
      <c r="B194" s="6">
        <v>45804</v>
      </c>
    </row>
    <row r="195" spans="1:2">
      <c r="A195" t="s">
        <v>131</v>
      </c>
      <c r="B195" s="6">
        <v>46203</v>
      </c>
    </row>
    <row r="196" spans="1:2">
      <c r="A196" t="s">
        <v>136</v>
      </c>
      <c r="B196" s="6">
        <v>45820</v>
      </c>
    </row>
    <row r="197" spans="1:2">
      <c r="A197" t="s">
        <v>142</v>
      </c>
      <c r="B197" s="6">
        <v>45832</v>
      </c>
    </row>
    <row r="198" spans="1:2">
      <c r="A198" t="s">
        <v>143</v>
      </c>
      <c r="B198" s="6">
        <v>45838</v>
      </c>
    </row>
    <row r="199" spans="1:2">
      <c r="A199" t="s">
        <v>144</v>
      </c>
      <c r="B199" s="6">
        <v>45838</v>
      </c>
    </row>
    <row r="200" spans="1:2">
      <c r="A200" t="s">
        <v>146</v>
      </c>
      <c r="B200" s="6">
        <v>46105</v>
      </c>
    </row>
    <row r="201" spans="1:2">
      <c r="A201" t="s">
        <v>147</v>
      </c>
      <c r="B201" s="6">
        <v>46052</v>
      </c>
    </row>
    <row r="202" spans="1:2">
      <c r="A202" t="s">
        <v>158</v>
      </c>
      <c r="B202" s="6">
        <v>45916</v>
      </c>
    </row>
    <row r="203" spans="1:2">
      <c r="A203" t="s">
        <v>161</v>
      </c>
      <c r="B203" s="6">
        <v>45916</v>
      </c>
    </row>
    <row r="204" spans="1:2">
      <c r="A204" t="s">
        <v>164</v>
      </c>
      <c r="B204" s="6">
        <v>45918</v>
      </c>
    </row>
    <row r="205" spans="1:2">
      <c r="A205" t="s">
        <v>167</v>
      </c>
      <c r="B205" s="6">
        <v>45918</v>
      </c>
    </row>
    <row r="206" spans="1:2">
      <c r="A206" t="s">
        <v>176</v>
      </c>
      <c r="B206" s="6">
        <v>45537</v>
      </c>
    </row>
    <row r="207" spans="1:2">
      <c r="A207" t="s">
        <v>178</v>
      </c>
      <c r="B207" s="6">
        <v>45537</v>
      </c>
    </row>
    <row r="208" spans="1:2">
      <c r="A208" t="s">
        <v>181</v>
      </c>
      <c r="B208" s="6">
        <v>45932</v>
      </c>
    </row>
    <row r="209" spans="1:2">
      <c r="A209" t="s">
        <v>183</v>
      </c>
      <c r="B209" s="6">
        <v>45937</v>
      </c>
    </row>
    <row r="210" spans="1:2">
      <c r="A210" t="s">
        <v>186</v>
      </c>
      <c r="B210" s="6">
        <v>45939</v>
      </c>
    </row>
    <row r="211" spans="1:2">
      <c r="A211" t="s">
        <v>188</v>
      </c>
      <c r="B211" s="6">
        <v>46057</v>
      </c>
    </row>
    <row r="212" spans="1:2">
      <c r="A212" t="s">
        <v>195</v>
      </c>
      <c r="B212" s="6">
        <v>45593</v>
      </c>
    </row>
    <row r="213" spans="1:2">
      <c r="A213" t="s">
        <v>204</v>
      </c>
      <c r="B213" s="6">
        <v>45994</v>
      </c>
    </row>
    <row r="214" spans="1:2">
      <c r="A214" t="s">
        <v>207</v>
      </c>
      <c r="B214" s="6">
        <v>45610</v>
      </c>
    </row>
    <row r="215" spans="1:2">
      <c r="A215" t="s">
        <v>208</v>
      </c>
      <c r="B215" s="6">
        <v>46007</v>
      </c>
    </row>
    <row r="216" spans="1:2">
      <c r="A216" t="s">
        <v>211</v>
      </c>
      <c r="B216" s="6">
        <v>46008</v>
      </c>
    </row>
    <row r="217" spans="1:2">
      <c r="A217" t="s">
        <v>214</v>
      </c>
      <c r="B217" s="6">
        <v>46009</v>
      </c>
    </row>
    <row r="218" spans="1:2">
      <c r="A218" t="s">
        <v>215</v>
      </c>
      <c r="B218" s="6">
        <v>45625</v>
      </c>
    </row>
    <row r="219" spans="1:2">
      <c r="A219" t="s">
        <v>222</v>
      </c>
      <c r="B219" s="6">
        <v>45635</v>
      </c>
    </row>
    <row r="220" spans="1:2">
      <c r="A220" t="s">
        <v>223</v>
      </c>
      <c r="B220" s="6">
        <v>46031</v>
      </c>
    </row>
    <row r="221" spans="1:2">
      <c r="A221" t="s">
        <v>224</v>
      </c>
      <c r="B221" s="6">
        <v>46031</v>
      </c>
    </row>
    <row r="222" spans="1:2">
      <c r="A222" t="s">
        <v>239</v>
      </c>
      <c r="B222" s="6">
        <v>46108</v>
      </c>
    </row>
    <row r="223" spans="1:2">
      <c r="A223" t="s">
        <v>262</v>
      </c>
      <c r="B223" s="6">
        <v>46156</v>
      </c>
    </row>
    <row r="224" spans="1:2">
      <c r="A224" t="s">
        <v>263</v>
      </c>
      <c r="B224" s="6">
        <v>46156</v>
      </c>
    </row>
    <row r="225" spans="1:2">
      <c r="A225" t="s">
        <v>264</v>
      </c>
      <c r="B225" s="6">
        <v>46168</v>
      </c>
    </row>
    <row r="226" spans="1:2">
      <c r="A226" t="s">
        <v>285</v>
      </c>
      <c r="B226" s="6">
        <v>46170</v>
      </c>
    </row>
    <row r="227" spans="1:2">
      <c r="A227" t="s">
        <v>287</v>
      </c>
      <c r="B227" s="6">
        <v>46202</v>
      </c>
    </row>
    <row r="228" spans="1:2">
      <c r="A228" t="s">
        <v>290</v>
      </c>
      <c r="B228" s="6">
        <v>46213</v>
      </c>
    </row>
    <row r="229" spans="1:2">
      <c r="A229" t="s">
        <v>291</v>
      </c>
      <c r="B229" s="6">
        <v>46213</v>
      </c>
    </row>
    <row r="230" spans="1:2">
      <c r="A230" t="s">
        <v>612</v>
      </c>
      <c r="B230" s="6">
        <v>45694</v>
      </c>
    </row>
    <row r="231" spans="1:2">
      <c r="A231" t="s">
        <v>613</v>
      </c>
      <c r="B231" s="6">
        <v>45866</v>
      </c>
    </row>
    <row r="232" spans="1:2">
      <c r="A232" t="s">
        <v>614</v>
      </c>
      <c r="B232" s="6">
        <v>45883</v>
      </c>
    </row>
    <row r="233" spans="1:2">
      <c r="A233" t="s">
        <v>615</v>
      </c>
      <c r="B233" s="6">
        <v>45883</v>
      </c>
    </row>
    <row r="234" spans="1:2">
      <c r="A234" t="s">
        <v>616</v>
      </c>
      <c r="B234" s="6">
        <v>45891</v>
      </c>
    </row>
    <row r="235" spans="1:2">
      <c r="A235" t="s">
        <v>617</v>
      </c>
      <c r="B235" s="6">
        <v>45898</v>
      </c>
    </row>
    <row r="236" spans="1:2">
      <c r="A236" t="s">
        <v>618</v>
      </c>
      <c r="B236" s="6">
        <v>45639</v>
      </c>
    </row>
    <row r="237" spans="1:2">
      <c r="A237" t="s">
        <v>619</v>
      </c>
      <c r="B237" s="6">
        <v>45707</v>
      </c>
    </row>
    <row r="238" spans="1:2">
      <c r="A238" t="s">
        <v>620</v>
      </c>
      <c r="B238" s="6">
        <v>45708</v>
      </c>
    </row>
    <row r="239" spans="1:2">
      <c r="A239" t="s">
        <v>621</v>
      </c>
      <c r="B239" s="6">
        <v>45804</v>
      </c>
    </row>
    <row r="240" spans="1:2">
      <c r="A240" t="s">
        <v>622</v>
      </c>
      <c r="B240" s="6">
        <v>45804</v>
      </c>
    </row>
    <row r="241" spans="1:2">
      <c r="A241" t="s">
        <v>623</v>
      </c>
      <c r="B241" s="6">
        <v>45806</v>
      </c>
    </row>
    <row r="242" spans="1:2">
      <c r="A242" t="s">
        <v>624</v>
      </c>
      <c r="B242" s="6">
        <v>45806</v>
      </c>
    </row>
    <row r="243" spans="1:2">
      <c r="A243" t="s">
        <v>625</v>
      </c>
      <c r="B243" s="6">
        <v>45811</v>
      </c>
    </row>
    <row r="244" spans="1:2">
      <c r="A244" t="s">
        <v>626</v>
      </c>
      <c r="B244" s="6">
        <v>45826</v>
      </c>
    </row>
    <row r="245" spans="1:2">
      <c r="A245" t="s">
        <v>627</v>
      </c>
      <c r="B245" s="6">
        <v>45831</v>
      </c>
    </row>
    <row r="246" spans="1:2">
      <c r="A246" t="s">
        <v>628</v>
      </c>
      <c r="B246" s="6">
        <v>45838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99D41-1867-4B23-9C21-2CD047D1B88D}">
  <dimension ref="A1:K185"/>
  <sheetViews>
    <sheetView topLeftCell="A13" workbookViewId="0">
      <selection activeCell="F6" sqref="F6"/>
    </sheetView>
  </sheetViews>
  <sheetFormatPr defaultRowHeight="15"/>
  <cols>
    <col min="1" max="1" width="45.42578125" bestFit="1" customWidth="1"/>
    <col min="2" max="2" width="15.7109375" bestFit="1" customWidth="1"/>
    <col min="3" max="3" width="81.140625" bestFit="1" customWidth="1"/>
    <col min="4" max="4" width="11.140625" bestFit="1" customWidth="1"/>
    <col min="5" max="5" width="20.5703125" style="4" bestFit="1" customWidth="1"/>
    <col min="6" max="6" width="16.85546875" style="4" bestFit="1" customWidth="1"/>
    <col min="7" max="8" width="8.85546875" style="1" bestFit="1" customWidth="1"/>
    <col min="9" max="9" width="20.5703125" style="5" bestFit="1" customWidth="1"/>
    <col min="10" max="10" width="11.140625" style="5" bestFit="1" customWidth="1"/>
    <col min="11" max="11" width="20.5703125" style="5" bestFit="1" customWidth="1"/>
  </cols>
  <sheetData>
    <row r="1" spans="1:11">
      <c r="A1" t="s">
        <v>0</v>
      </c>
      <c r="B1" t="s">
        <v>1</v>
      </c>
      <c r="C1" t="s">
        <v>2</v>
      </c>
      <c r="D1" s="4" t="s">
        <v>4</v>
      </c>
      <c r="E1" t="s">
        <v>629</v>
      </c>
      <c r="F1" t="s">
        <v>767</v>
      </c>
      <c r="G1"/>
      <c r="H1"/>
      <c r="I1"/>
      <c r="J1"/>
      <c r="K1"/>
    </row>
    <row r="2" spans="1:11">
      <c r="A2" t="s">
        <v>294</v>
      </c>
      <c r="B2" t="s">
        <v>768</v>
      </c>
      <c r="C2" t="s">
        <v>296</v>
      </c>
      <c r="D2" s="4">
        <v>4.51</v>
      </c>
      <c r="E2">
        <v>4.51</v>
      </c>
      <c r="F2" t="s">
        <v>768</v>
      </c>
      <c r="G2"/>
      <c r="H2"/>
      <c r="I2" t="str">
        <f>IF(COUNTIF($B$2:$B$92,B2) &gt; 1, "Repeated", "Unique")</f>
        <v>Unique</v>
      </c>
      <c r="J2"/>
      <c r="K2"/>
    </row>
    <row r="3" spans="1:11">
      <c r="A3" t="s">
        <v>297</v>
      </c>
      <c r="B3" t="s">
        <v>769</v>
      </c>
      <c r="C3" t="s">
        <v>299</v>
      </c>
      <c r="D3" s="4">
        <v>0.66</v>
      </c>
      <c r="E3">
        <v>0.66</v>
      </c>
      <c r="F3" t="s">
        <v>769</v>
      </c>
      <c r="G3"/>
      <c r="H3"/>
      <c r="I3" t="str">
        <f t="shared" ref="I3:I66" si="0">IF(COUNTIF($B$2:$B$92,B3) &gt; 1, "Repeated", "Unique")</f>
        <v>Unique</v>
      </c>
      <c r="J3"/>
      <c r="K3"/>
    </row>
    <row r="4" spans="1:11">
      <c r="A4" t="s">
        <v>301</v>
      </c>
      <c r="B4" t="s">
        <v>770</v>
      </c>
      <c r="C4" t="s">
        <v>303</v>
      </c>
      <c r="D4" s="4">
        <v>0.36</v>
      </c>
      <c r="E4">
        <v>0.36</v>
      </c>
      <c r="F4" t="s">
        <v>770</v>
      </c>
      <c r="G4"/>
      <c r="H4"/>
      <c r="I4" t="str">
        <f t="shared" si="0"/>
        <v>Unique</v>
      </c>
      <c r="J4"/>
      <c r="K4"/>
    </row>
    <row r="5" spans="1:11">
      <c r="A5" t="s">
        <v>307</v>
      </c>
      <c r="B5" t="s">
        <v>771</v>
      </c>
      <c r="C5" t="s">
        <v>309</v>
      </c>
      <c r="D5" s="4">
        <v>39.53</v>
      </c>
      <c r="E5">
        <v>39.53</v>
      </c>
      <c r="F5" t="s">
        <v>771</v>
      </c>
      <c r="G5"/>
      <c r="H5"/>
      <c r="I5" t="str">
        <f t="shared" si="0"/>
        <v>Unique</v>
      </c>
      <c r="J5"/>
      <c r="K5"/>
    </row>
    <row r="6" spans="1:11">
      <c r="A6" t="s">
        <v>361</v>
      </c>
      <c r="B6" t="s">
        <v>772</v>
      </c>
      <c r="C6" t="s">
        <v>363</v>
      </c>
      <c r="D6" s="4">
        <v>119.95</v>
      </c>
      <c r="E6">
        <v>119.95</v>
      </c>
      <c r="F6" t="s">
        <v>772</v>
      </c>
      <c r="G6"/>
      <c r="H6"/>
      <c r="I6" t="str">
        <f t="shared" si="0"/>
        <v>Unique</v>
      </c>
      <c r="J6"/>
      <c r="K6"/>
    </row>
    <row r="7" spans="1:11">
      <c r="A7" t="s">
        <v>364</v>
      </c>
      <c r="B7" t="s">
        <v>773</v>
      </c>
      <c r="C7" t="s">
        <v>366</v>
      </c>
      <c r="D7" s="4">
        <v>0.48</v>
      </c>
      <c r="E7">
        <v>0.48</v>
      </c>
      <c r="F7" t="s">
        <v>773</v>
      </c>
      <c r="G7"/>
      <c r="H7"/>
      <c r="I7" t="str">
        <f t="shared" si="0"/>
        <v>Unique</v>
      </c>
      <c r="J7"/>
      <c r="K7"/>
    </row>
    <row r="8" spans="1:11">
      <c r="A8" t="s">
        <v>364</v>
      </c>
      <c r="B8" t="s">
        <v>774</v>
      </c>
      <c r="C8" t="s">
        <v>368</v>
      </c>
      <c r="D8" s="4">
        <v>1.53</v>
      </c>
      <c r="E8">
        <v>1.53</v>
      </c>
      <c r="F8" t="s">
        <v>774</v>
      </c>
      <c r="G8"/>
      <c r="H8"/>
      <c r="I8" t="str">
        <f t="shared" si="0"/>
        <v>Unique</v>
      </c>
      <c r="J8"/>
      <c r="K8"/>
    </row>
    <row r="9" spans="1:11">
      <c r="A9" t="s">
        <v>371</v>
      </c>
      <c r="B9" t="s">
        <v>775</v>
      </c>
      <c r="C9" t="s">
        <v>373</v>
      </c>
      <c r="D9" s="4">
        <v>3.66</v>
      </c>
      <c r="E9">
        <v>3.66</v>
      </c>
      <c r="F9" t="s">
        <v>775</v>
      </c>
      <c r="G9"/>
      <c r="H9"/>
      <c r="I9" t="str">
        <f t="shared" si="0"/>
        <v>Unique</v>
      </c>
      <c r="J9"/>
      <c r="K9"/>
    </row>
    <row r="10" spans="1:11">
      <c r="A10" t="s">
        <v>371</v>
      </c>
      <c r="B10" t="s">
        <v>776</v>
      </c>
      <c r="C10" t="s">
        <v>375</v>
      </c>
      <c r="D10" s="4">
        <v>3.66</v>
      </c>
      <c r="E10">
        <v>3.66</v>
      </c>
      <c r="F10" t="s">
        <v>776</v>
      </c>
      <c r="G10"/>
      <c r="H10"/>
      <c r="I10" t="str">
        <f t="shared" si="0"/>
        <v>Unique</v>
      </c>
      <c r="J10"/>
      <c r="K10"/>
    </row>
    <row r="11" spans="1:11">
      <c r="A11" t="s">
        <v>371</v>
      </c>
      <c r="B11" t="s">
        <v>777</v>
      </c>
      <c r="C11" t="s">
        <v>377</v>
      </c>
      <c r="D11" s="4">
        <v>3.66</v>
      </c>
      <c r="E11">
        <v>3.66</v>
      </c>
      <c r="F11" t="s">
        <v>777</v>
      </c>
      <c r="G11"/>
      <c r="H11"/>
      <c r="I11" t="str">
        <f t="shared" si="0"/>
        <v>Unique</v>
      </c>
      <c r="J11"/>
      <c r="K11"/>
    </row>
    <row r="12" spans="1:11">
      <c r="A12" t="s">
        <v>371</v>
      </c>
      <c r="B12" t="s">
        <v>778</v>
      </c>
      <c r="C12" t="s">
        <v>379</v>
      </c>
      <c r="D12" s="4">
        <v>3.66</v>
      </c>
      <c r="E12">
        <v>3.66</v>
      </c>
      <c r="F12" t="s">
        <v>778</v>
      </c>
      <c r="G12"/>
      <c r="H12"/>
      <c r="I12" t="str">
        <f t="shared" si="0"/>
        <v>Unique</v>
      </c>
      <c r="J12"/>
      <c r="K12"/>
    </row>
    <row r="13" spans="1:11">
      <c r="A13" t="s">
        <v>371</v>
      </c>
      <c r="B13" t="s">
        <v>779</v>
      </c>
      <c r="C13" t="s">
        <v>381</v>
      </c>
      <c r="D13" s="4">
        <v>7.74</v>
      </c>
      <c r="E13">
        <v>7.74</v>
      </c>
      <c r="F13" t="s">
        <v>779</v>
      </c>
      <c r="G13"/>
      <c r="H13"/>
      <c r="I13" t="str">
        <f t="shared" si="0"/>
        <v>Unique</v>
      </c>
      <c r="J13"/>
      <c r="K13"/>
    </row>
    <row r="14" spans="1:11">
      <c r="A14" t="s">
        <v>371</v>
      </c>
      <c r="B14" t="s">
        <v>780</v>
      </c>
      <c r="C14" t="s">
        <v>383</v>
      </c>
      <c r="D14" s="4">
        <v>2.27</v>
      </c>
      <c r="E14">
        <v>2.27</v>
      </c>
      <c r="F14" t="s">
        <v>780</v>
      </c>
      <c r="G14"/>
      <c r="H14"/>
      <c r="I14" t="str">
        <f t="shared" si="0"/>
        <v>Unique</v>
      </c>
      <c r="J14"/>
      <c r="K14"/>
    </row>
    <row r="15" spans="1:11">
      <c r="A15" t="s">
        <v>371</v>
      </c>
      <c r="B15" t="s">
        <v>781</v>
      </c>
      <c r="C15" t="s">
        <v>385</v>
      </c>
      <c r="D15" s="4">
        <v>2.27</v>
      </c>
      <c r="E15">
        <v>2.27</v>
      </c>
      <c r="F15" t="s">
        <v>781</v>
      </c>
      <c r="G15"/>
      <c r="H15"/>
      <c r="I15" t="str">
        <f t="shared" si="0"/>
        <v>Unique</v>
      </c>
      <c r="J15"/>
      <c r="K15"/>
    </row>
    <row r="16" spans="1:11">
      <c r="A16" t="s">
        <v>371</v>
      </c>
      <c r="B16" t="s">
        <v>782</v>
      </c>
      <c r="C16" t="s">
        <v>387</v>
      </c>
      <c r="D16" s="4">
        <v>2.27</v>
      </c>
      <c r="E16">
        <v>2.27</v>
      </c>
      <c r="F16" t="s">
        <v>782</v>
      </c>
      <c r="G16"/>
      <c r="H16"/>
      <c r="I16" t="str">
        <f t="shared" si="0"/>
        <v>Unique</v>
      </c>
      <c r="J16"/>
      <c r="K16"/>
    </row>
    <row r="17" spans="1:11">
      <c r="A17" t="s">
        <v>371</v>
      </c>
      <c r="B17" t="s">
        <v>783</v>
      </c>
      <c r="C17" t="s">
        <v>389</v>
      </c>
      <c r="D17" s="4">
        <v>2.27</v>
      </c>
      <c r="E17">
        <v>2.27</v>
      </c>
      <c r="F17" t="s">
        <v>783</v>
      </c>
      <c r="G17"/>
      <c r="H17"/>
      <c r="I17" t="str">
        <f t="shared" si="0"/>
        <v>Unique</v>
      </c>
      <c r="J17"/>
      <c r="K17"/>
    </row>
    <row r="18" spans="1:11">
      <c r="A18" t="s">
        <v>371</v>
      </c>
      <c r="B18" t="s">
        <v>784</v>
      </c>
      <c r="C18" t="s">
        <v>391</v>
      </c>
      <c r="D18" s="4">
        <v>6.91</v>
      </c>
      <c r="E18">
        <v>6.91</v>
      </c>
      <c r="F18" t="s">
        <v>784</v>
      </c>
      <c r="G18"/>
      <c r="H18"/>
      <c r="I18" t="str">
        <f t="shared" si="0"/>
        <v>Unique</v>
      </c>
      <c r="J18"/>
      <c r="K18"/>
    </row>
    <row r="19" spans="1:11">
      <c r="A19" t="s">
        <v>371</v>
      </c>
      <c r="B19" t="s">
        <v>785</v>
      </c>
      <c r="C19" t="s">
        <v>393</v>
      </c>
      <c r="D19" s="4">
        <v>1.58</v>
      </c>
      <c r="E19">
        <v>1.58</v>
      </c>
      <c r="F19" t="s">
        <v>785</v>
      </c>
      <c r="G19"/>
      <c r="H19"/>
      <c r="I19" t="str">
        <f t="shared" si="0"/>
        <v>Unique</v>
      </c>
      <c r="J19"/>
      <c r="K19"/>
    </row>
    <row r="20" spans="1:11">
      <c r="A20" t="s">
        <v>371</v>
      </c>
      <c r="B20" t="s">
        <v>786</v>
      </c>
      <c r="C20" t="s">
        <v>395</v>
      </c>
      <c r="D20" s="4">
        <v>1.58</v>
      </c>
      <c r="E20">
        <v>1.58</v>
      </c>
      <c r="F20" t="s">
        <v>786</v>
      </c>
      <c r="G20"/>
      <c r="H20"/>
      <c r="I20" t="str">
        <f t="shared" si="0"/>
        <v>Unique</v>
      </c>
      <c r="J20"/>
      <c r="K20"/>
    </row>
    <row r="21" spans="1:11">
      <c r="A21" t="s">
        <v>371</v>
      </c>
      <c r="B21" t="s">
        <v>787</v>
      </c>
      <c r="C21" t="s">
        <v>397</v>
      </c>
      <c r="D21" s="4">
        <v>1.58</v>
      </c>
      <c r="E21">
        <v>1.58</v>
      </c>
      <c r="F21" t="s">
        <v>787</v>
      </c>
      <c r="G21"/>
      <c r="H21"/>
      <c r="I21" t="str">
        <f t="shared" si="0"/>
        <v>Unique</v>
      </c>
      <c r="J21"/>
      <c r="K21"/>
    </row>
    <row r="22" spans="1:11">
      <c r="A22" t="s">
        <v>398</v>
      </c>
      <c r="B22" t="s">
        <v>788</v>
      </c>
      <c r="C22" t="s">
        <v>400</v>
      </c>
      <c r="D22" s="4">
        <v>0.45</v>
      </c>
      <c r="E22">
        <v>0.45</v>
      </c>
      <c r="F22" t="s">
        <v>788</v>
      </c>
      <c r="G22"/>
      <c r="H22"/>
      <c r="I22" t="str">
        <f t="shared" si="0"/>
        <v>Unique</v>
      </c>
      <c r="J22"/>
      <c r="K22"/>
    </row>
    <row r="23" spans="1:11">
      <c r="A23" t="s">
        <v>398</v>
      </c>
      <c r="B23" t="s">
        <v>789</v>
      </c>
      <c r="C23" t="s">
        <v>402</v>
      </c>
      <c r="D23" s="4">
        <v>0.55000000000000004</v>
      </c>
      <c r="E23">
        <v>0.55000000000000004</v>
      </c>
      <c r="F23" t="s">
        <v>789</v>
      </c>
      <c r="G23"/>
      <c r="H23"/>
      <c r="I23" t="str">
        <f t="shared" si="0"/>
        <v>Unique</v>
      </c>
      <c r="J23"/>
      <c r="K23"/>
    </row>
    <row r="24" spans="1:11">
      <c r="A24" t="s">
        <v>398</v>
      </c>
      <c r="B24" t="s">
        <v>790</v>
      </c>
      <c r="C24" t="s">
        <v>404</v>
      </c>
      <c r="D24" s="4">
        <v>0.94</v>
      </c>
      <c r="E24">
        <v>0.94</v>
      </c>
      <c r="F24" t="s">
        <v>790</v>
      </c>
      <c r="G24"/>
      <c r="H24"/>
      <c r="I24" t="str">
        <f t="shared" si="0"/>
        <v>Unique</v>
      </c>
      <c r="J24"/>
      <c r="K24"/>
    </row>
    <row r="25" spans="1:11">
      <c r="A25" t="s">
        <v>398</v>
      </c>
      <c r="B25" t="s">
        <v>791</v>
      </c>
      <c r="C25" t="s">
        <v>406</v>
      </c>
      <c r="D25" s="4">
        <v>1.88</v>
      </c>
      <c r="E25">
        <v>1.88</v>
      </c>
      <c r="F25" t="s">
        <v>791</v>
      </c>
      <c r="G25"/>
      <c r="H25"/>
      <c r="I25" t="str">
        <f t="shared" si="0"/>
        <v>Unique</v>
      </c>
      <c r="J25"/>
      <c r="K25"/>
    </row>
    <row r="26" spans="1:11">
      <c r="A26" t="s">
        <v>398</v>
      </c>
      <c r="B26" t="s">
        <v>792</v>
      </c>
      <c r="C26" t="s">
        <v>408</v>
      </c>
      <c r="D26" s="4">
        <v>3.96</v>
      </c>
      <c r="E26">
        <v>3.96</v>
      </c>
      <c r="F26" t="s">
        <v>792</v>
      </c>
      <c r="G26"/>
      <c r="H26"/>
      <c r="I26" t="str">
        <f t="shared" si="0"/>
        <v>Unique</v>
      </c>
      <c r="J26"/>
      <c r="K26"/>
    </row>
    <row r="27" spans="1:11">
      <c r="A27" t="s">
        <v>409</v>
      </c>
      <c r="B27" t="s">
        <v>793</v>
      </c>
      <c r="C27" t="s">
        <v>416</v>
      </c>
      <c r="D27" s="4">
        <v>2.3199999999999998</v>
      </c>
      <c r="E27">
        <v>2.3199999999999998</v>
      </c>
      <c r="F27" t="s">
        <v>793</v>
      </c>
      <c r="G27"/>
      <c r="H27"/>
      <c r="I27" t="str">
        <f t="shared" si="0"/>
        <v>Unique</v>
      </c>
      <c r="J27"/>
      <c r="K27"/>
    </row>
    <row r="28" spans="1:11">
      <c r="A28" t="s">
        <v>409</v>
      </c>
      <c r="B28" t="s">
        <v>794</v>
      </c>
      <c r="C28" t="s">
        <v>418</v>
      </c>
      <c r="D28" s="4">
        <v>1</v>
      </c>
      <c r="E28">
        <v>1</v>
      </c>
      <c r="F28" t="s">
        <v>794</v>
      </c>
      <c r="G28"/>
      <c r="H28"/>
      <c r="I28" t="str">
        <f t="shared" si="0"/>
        <v>Unique</v>
      </c>
      <c r="J28"/>
      <c r="K28"/>
    </row>
    <row r="29" spans="1:11">
      <c r="A29" t="s">
        <v>409</v>
      </c>
      <c r="B29" t="s">
        <v>795</v>
      </c>
      <c r="C29" t="s">
        <v>420</v>
      </c>
      <c r="D29" s="4">
        <v>5</v>
      </c>
      <c r="E29">
        <v>5</v>
      </c>
      <c r="F29" t="s">
        <v>795</v>
      </c>
      <c r="G29"/>
      <c r="H29"/>
      <c r="I29" t="str">
        <f t="shared" si="0"/>
        <v>Unique</v>
      </c>
      <c r="J29"/>
      <c r="K29"/>
    </row>
    <row r="30" spans="1:11">
      <c r="A30" t="s">
        <v>422</v>
      </c>
      <c r="B30" t="s">
        <v>796</v>
      </c>
      <c r="C30" t="s">
        <v>348</v>
      </c>
      <c r="D30" s="4">
        <v>1.99</v>
      </c>
      <c r="E30">
        <v>1.99</v>
      </c>
      <c r="F30" t="s">
        <v>796</v>
      </c>
      <c r="G30"/>
      <c r="H30"/>
      <c r="I30" t="str">
        <f t="shared" si="0"/>
        <v>Unique</v>
      </c>
      <c r="J30"/>
      <c r="K30"/>
    </row>
    <row r="31" spans="1:11">
      <c r="A31" t="s">
        <v>425</v>
      </c>
      <c r="B31" t="s">
        <v>797</v>
      </c>
      <c r="C31" t="s">
        <v>427</v>
      </c>
      <c r="D31" s="4">
        <v>2.4</v>
      </c>
      <c r="E31">
        <v>2.4</v>
      </c>
      <c r="F31" t="s">
        <v>797</v>
      </c>
      <c r="G31"/>
      <c r="H31"/>
      <c r="I31" t="str">
        <f t="shared" si="0"/>
        <v>Unique</v>
      </c>
      <c r="J31"/>
      <c r="K31"/>
    </row>
    <row r="32" spans="1:11">
      <c r="A32" t="s">
        <v>430</v>
      </c>
      <c r="B32" t="s">
        <v>798</v>
      </c>
      <c r="C32" t="s">
        <v>429</v>
      </c>
      <c r="D32" s="4">
        <v>0.63300000000000001</v>
      </c>
      <c r="E32">
        <v>0.63300000000000001</v>
      </c>
      <c r="F32" t="s">
        <v>798</v>
      </c>
      <c r="G32"/>
      <c r="H32"/>
      <c r="I32" t="str">
        <f t="shared" si="0"/>
        <v>Unique</v>
      </c>
      <c r="J32"/>
      <c r="K32"/>
    </row>
    <row r="33" spans="1:11">
      <c r="A33" t="s">
        <v>431</v>
      </c>
      <c r="B33" t="s">
        <v>799</v>
      </c>
      <c r="C33" t="s">
        <v>433</v>
      </c>
      <c r="D33" s="4">
        <v>0.88</v>
      </c>
      <c r="E33">
        <v>0.88</v>
      </c>
      <c r="F33" t="s">
        <v>799</v>
      </c>
      <c r="G33"/>
      <c r="H33"/>
      <c r="I33" t="str">
        <f t="shared" si="0"/>
        <v>Unique</v>
      </c>
      <c r="J33"/>
      <c r="K33"/>
    </row>
    <row r="34" spans="1:11">
      <c r="A34" t="s">
        <v>435</v>
      </c>
      <c r="B34" t="s">
        <v>800</v>
      </c>
      <c r="C34" t="s">
        <v>437</v>
      </c>
      <c r="D34" s="4">
        <v>0.22</v>
      </c>
      <c r="E34">
        <v>0.11</v>
      </c>
      <c r="F34" t="s">
        <v>800</v>
      </c>
      <c r="G34"/>
      <c r="H34"/>
      <c r="I34" t="str">
        <f t="shared" si="0"/>
        <v>Unique</v>
      </c>
      <c r="J34"/>
      <c r="K34"/>
    </row>
    <row r="35" spans="1:11">
      <c r="A35" t="s">
        <v>435</v>
      </c>
      <c r="B35" t="s">
        <v>801</v>
      </c>
      <c r="C35" t="s">
        <v>439</v>
      </c>
      <c r="D35" s="4">
        <v>0.23</v>
      </c>
      <c r="E35">
        <v>0.115</v>
      </c>
      <c r="F35" t="s">
        <v>801</v>
      </c>
      <c r="G35"/>
      <c r="H35"/>
      <c r="I35" t="str">
        <f t="shared" si="0"/>
        <v>Unique</v>
      </c>
      <c r="J35"/>
      <c r="K35"/>
    </row>
    <row r="36" spans="1:11">
      <c r="A36" t="s">
        <v>435</v>
      </c>
      <c r="B36" t="s">
        <v>802</v>
      </c>
      <c r="C36" t="s">
        <v>441</v>
      </c>
      <c r="D36" s="4">
        <v>0.31</v>
      </c>
      <c r="E36">
        <v>0.155</v>
      </c>
      <c r="F36" t="s">
        <v>802</v>
      </c>
      <c r="G36"/>
      <c r="H36"/>
      <c r="I36" t="str">
        <f t="shared" si="0"/>
        <v>Unique</v>
      </c>
      <c r="J36"/>
      <c r="K36"/>
    </row>
    <row r="37" spans="1:11">
      <c r="A37" t="s">
        <v>435</v>
      </c>
      <c r="B37" t="s">
        <v>803</v>
      </c>
      <c r="C37" t="s">
        <v>443</v>
      </c>
      <c r="D37" s="4">
        <v>0.51</v>
      </c>
      <c r="E37">
        <v>0.255</v>
      </c>
      <c r="F37" t="s">
        <v>803</v>
      </c>
      <c r="G37"/>
      <c r="H37"/>
      <c r="I37" t="str">
        <f t="shared" si="0"/>
        <v>Unique</v>
      </c>
      <c r="J37"/>
      <c r="K37"/>
    </row>
    <row r="38" spans="1:11">
      <c r="A38" t="s">
        <v>435</v>
      </c>
      <c r="B38" t="s">
        <v>804</v>
      </c>
      <c r="C38" t="s">
        <v>445</v>
      </c>
      <c r="D38" s="4">
        <v>0.78</v>
      </c>
      <c r="E38">
        <v>0.39</v>
      </c>
      <c r="F38" t="s">
        <v>804</v>
      </c>
      <c r="G38"/>
      <c r="H38"/>
      <c r="I38" t="str">
        <f t="shared" si="0"/>
        <v>Unique</v>
      </c>
      <c r="J38"/>
      <c r="K38"/>
    </row>
    <row r="39" spans="1:11">
      <c r="A39" t="s">
        <v>435</v>
      </c>
      <c r="B39" t="s">
        <v>805</v>
      </c>
      <c r="C39" t="s">
        <v>447</v>
      </c>
      <c r="D39" s="4">
        <v>1.43</v>
      </c>
      <c r="E39">
        <v>0.71499999999999997</v>
      </c>
      <c r="F39" t="s">
        <v>805</v>
      </c>
      <c r="G39"/>
      <c r="H39"/>
      <c r="I39" t="str">
        <f t="shared" si="0"/>
        <v>Unique</v>
      </c>
      <c r="J39"/>
      <c r="K39"/>
    </row>
    <row r="40" spans="1:11">
      <c r="A40" t="s">
        <v>452</v>
      </c>
      <c r="B40" t="s">
        <v>806</v>
      </c>
      <c r="C40" t="s">
        <v>334</v>
      </c>
      <c r="D40" s="4">
        <v>130</v>
      </c>
      <c r="E40">
        <v>130</v>
      </c>
      <c r="F40" t="s">
        <v>806</v>
      </c>
      <c r="G40"/>
      <c r="H40"/>
      <c r="I40" t="str">
        <f t="shared" si="0"/>
        <v>Unique</v>
      </c>
      <c r="J40"/>
      <c r="K40"/>
    </row>
    <row r="41" spans="1:11">
      <c r="A41" t="s">
        <v>452</v>
      </c>
      <c r="B41" t="s">
        <v>807</v>
      </c>
      <c r="C41" t="s">
        <v>336</v>
      </c>
      <c r="D41" s="4">
        <v>18.5</v>
      </c>
      <c r="E41">
        <v>18.5</v>
      </c>
      <c r="F41" t="s">
        <v>807</v>
      </c>
      <c r="G41"/>
      <c r="H41"/>
      <c r="I41" t="str">
        <f t="shared" si="0"/>
        <v>Unique</v>
      </c>
      <c r="J41"/>
      <c r="K41"/>
    </row>
    <row r="42" spans="1:11">
      <c r="A42" t="s">
        <v>455</v>
      </c>
      <c r="B42" t="s">
        <v>808</v>
      </c>
      <c r="C42" t="s">
        <v>457</v>
      </c>
      <c r="D42" s="4">
        <v>2.5</v>
      </c>
      <c r="E42">
        <v>2.5</v>
      </c>
      <c r="F42" t="s">
        <v>808</v>
      </c>
      <c r="G42"/>
      <c r="H42"/>
      <c r="I42" t="str">
        <f t="shared" si="0"/>
        <v>Unique</v>
      </c>
      <c r="J42"/>
      <c r="K42"/>
    </row>
    <row r="43" spans="1:11">
      <c r="A43" t="s">
        <v>455</v>
      </c>
      <c r="B43" t="s">
        <v>809</v>
      </c>
      <c r="C43" t="s">
        <v>459</v>
      </c>
      <c r="D43" s="4">
        <v>0.65</v>
      </c>
      <c r="E43">
        <v>0.65</v>
      </c>
      <c r="F43" t="s">
        <v>809</v>
      </c>
      <c r="G43"/>
      <c r="H43"/>
      <c r="I43" t="str">
        <f t="shared" si="0"/>
        <v>Unique</v>
      </c>
      <c r="J43"/>
      <c r="K43"/>
    </row>
    <row r="44" spans="1:11">
      <c r="A44" t="s">
        <v>460</v>
      </c>
      <c r="B44" t="s">
        <v>810</v>
      </c>
      <c r="C44" t="s">
        <v>462</v>
      </c>
      <c r="D44" s="4">
        <v>5.6</v>
      </c>
      <c r="E44">
        <v>5.6</v>
      </c>
      <c r="F44" t="s">
        <v>810</v>
      </c>
      <c r="G44"/>
      <c r="H44"/>
      <c r="I44" t="str">
        <f t="shared" si="0"/>
        <v>Unique</v>
      </c>
      <c r="J44"/>
      <c r="K44"/>
    </row>
    <row r="45" spans="1:11">
      <c r="A45" t="s">
        <v>479</v>
      </c>
      <c r="B45" t="s">
        <v>811</v>
      </c>
      <c r="C45" t="s">
        <v>481</v>
      </c>
      <c r="D45" s="4">
        <v>1.2</v>
      </c>
      <c r="E45">
        <v>1.2</v>
      </c>
      <c r="F45" t="s">
        <v>811</v>
      </c>
      <c r="G45"/>
      <c r="H45"/>
      <c r="I45" t="str">
        <f t="shared" si="0"/>
        <v>Unique</v>
      </c>
      <c r="J45"/>
      <c r="K45"/>
    </row>
    <row r="46" spans="1:11">
      <c r="A46" t="s">
        <v>479</v>
      </c>
      <c r="B46" t="s">
        <v>812</v>
      </c>
      <c r="C46" t="s">
        <v>483</v>
      </c>
      <c r="D46" s="4">
        <v>1.5</v>
      </c>
      <c r="E46">
        <v>1.5</v>
      </c>
      <c r="F46" t="s">
        <v>812</v>
      </c>
      <c r="G46"/>
      <c r="H46"/>
      <c r="I46" t="str">
        <f t="shared" si="0"/>
        <v>Unique</v>
      </c>
      <c r="J46"/>
      <c r="K46"/>
    </row>
    <row r="47" spans="1:11">
      <c r="A47" t="s">
        <v>479</v>
      </c>
      <c r="B47" t="s">
        <v>813</v>
      </c>
      <c r="C47" t="s">
        <v>323</v>
      </c>
      <c r="D47" s="4">
        <v>1.98</v>
      </c>
      <c r="E47">
        <v>1.98</v>
      </c>
      <c r="F47" t="s">
        <v>813</v>
      </c>
      <c r="G47"/>
      <c r="H47"/>
      <c r="I47" t="str">
        <f t="shared" si="0"/>
        <v>Unique</v>
      </c>
      <c r="J47"/>
      <c r="K47"/>
    </row>
    <row r="48" spans="1:11">
      <c r="A48" t="s">
        <v>479</v>
      </c>
      <c r="B48" t="s">
        <v>814</v>
      </c>
      <c r="C48" t="s">
        <v>485</v>
      </c>
      <c r="D48" s="4">
        <v>2.6</v>
      </c>
      <c r="E48">
        <v>2.6</v>
      </c>
      <c r="F48" t="s">
        <v>814</v>
      </c>
      <c r="G48"/>
      <c r="H48"/>
      <c r="I48" t="str">
        <f t="shared" si="0"/>
        <v>Unique</v>
      </c>
      <c r="J48"/>
      <c r="K48"/>
    </row>
    <row r="49" spans="1:11">
      <c r="A49" t="s">
        <v>493</v>
      </c>
      <c r="B49" t="s">
        <v>815</v>
      </c>
      <c r="C49" t="s">
        <v>495</v>
      </c>
      <c r="D49" s="4">
        <v>1754</v>
      </c>
      <c r="E49">
        <v>1490.8999999999999</v>
      </c>
      <c r="F49" t="s">
        <v>815</v>
      </c>
      <c r="G49"/>
      <c r="H49"/>
      <c r="I49" t="str">
        <f t="shared" si="0"/>
        <v>Unique</v>
      </c>
      <c r="J49"/>
      <c r="K49"/>
    </row>
    <row r="50" spans="1:11">
      <c r="A50" t="s">
        <v>496</v>
      </c>
      <c r="B50" t="s">
        <v>816</v>
      </c>
      <c r="C50" t="s">
        <v>488</v>
      </c>
      <c r="D50" s="4">
        <v>139.9</v>
      </c>
      <c r="E50">
        <v>135.703</v>
      </c>
      <c r="F50" t="s">
        <v>816</v>
      </c>
      <c r="G50"/>
      <c r="H50"/>
      <c r="I50" t="str">
        <f t="shared" si="0"/>
        <v>Unique</v>
      </c>
      <c r="J50"/>
      <c r="K50"/>
    </row>
    <row r="51" spans="1:11">
      <c r="A51" t="s">
        <v>496</v>
      </c>
      <c r="B51" t="s">
        <v>817</v>
      </c>
      <c r="C51" t="s">
        <v>490</v>
      </c>
      <c r="D51" s="4">
        <v>55.99</v>
      </c>
      <c r="E51">
        <v>54.310299999999998</v>
      </c>
      <c r="F51" t="s">
        <v>817</v>
      </c>
      <c r="G51" s="3"/>
      <c r="H51"/>
      <c r="I51" t="str">
        <f t="shared" si="0"/>
        <v>Unique</v>
      </c>
      <c r="J51"/>
      <c r="K51"/>
    </row>
    <row r="52" spans="1:11">
      <c r="A52" t="s">
        <v>496</v>
      </c>
      <c r="B52" t="s">
        <v>818</v>
      </c>
      <c r="C52" t="s">
        <v>492</v>
      </c>
      <c r="D52" s="4">
        <v>55.99</v>
      </c>
      <c r="E52">
        <v>54.310299999999998</v>
      </c>
      <c r="F52" t="s">
        <v>818</v>
      </c>
      <c r="G52"/>
      <c r="H52"/>
      <c r="I52" t="str">
        <f t="shared" si="0"/>
        <v>Unique</v>
      </c>
      <c r="J52"/>
      <c r="K52"/>
    </row>
    <row r="53" spans="1:11">
      <c r="A53" t="s">
        <v>496</v>
      </c>
      <c r="B53" t="s">
        <v>819</v>
      </c>
      <c r="C53" t="s">
        <v>498</v>
      </c>
      <c r="D53" s="4">
        <v>32</v>
      </c>
      <c r="E53">
        <v>32</v>
      </c>
      <c r="F53" t="s">
        <v>819</v>
      </c>
      <c r="G53"/>
      <c r="H53"/>
      <c r="I53" t="str">
        <f t="shared" si="0"/>
        <v>Unique</v>
      </c>
      <c r="J53"/>
      <c r="K53"/>
    </row>
    <row r="54" spans="1:11">
      <c r="A54" t="s">
        <v>496</v>
      </c>
      <c r="B54" t="s">
        <v>820</v>
      </c>
      <c r="C54" t="s">
        <v>500</v>
      </c>
      <c r="D54" s="4">
        <v>116</v>
      </c>
      <c r="E54">
        <v>116</v>
      </c>
      <c r="F54" t="s">
        <v>820</v>
      </c>
      <c r="G54"/>
      <c r="H54"/>
      <c r="I54" t="str">
        <f t="shared" si="0"/>
        <v>Unique</v>
      </c>
      <c r="J54"/>
      <c r="K54"/>
    </row>
    <row r="55" spans="1:11">
      <c r="A55" t="s">
        <v>501</v>
      </c>
      <c r="B55" t="s">
        <v>821</v>
      </c>
      <c r="C55" t="s">
        <v>503</v>
      </c>
      <c r="D55" s="4">
        <v>125</v>
      </c>
      <c r="E55">
        <v>125</v>
      </c>
      <c r="F55" t="s">
        <v>821</v>
      </c>
      <c r="G55"/>
      <c r="H55"/>
      <c r="I55" t="str">
        <f t="shared" si="0"/>
        <v>Unique</v>
      </c>
      <c r="J55"/>
      <c r="K55"/>
    </row>
    <row r="56" spans="1:11">
      <c r="A56" t="s">
        <v>509</v>
      </c>
      <c r="B56" t="s">
        <v>822</v>
      </c>
      <c r="C56" t="s">
        <v>512</v>
      </c>
      <c r="D56" s="4">
        <v>4.4800000000000004</v>
      </c>
      <c r="E56">
        <v>4.4800000000000004</v>
      </c>
      <c r="F56" t="s">
        <v>822</v>
      </c>
      <c r="G56"/>
      <c r="H56"/>
      <c r="I56" t="str">
        <f t="shared" si="0"/>
        <v>Unique</v>
      </c>
      <c r="J56"/>
      <c r="K56"/>
    </row>
    <row r="57" spans="1:11">
      <c r="A57" t="s">
        <v>632</v>
      </c>
      <c r="B57" t="s">
        <v>823</v>
      </c>
      <c r="C57" t="s">
        <v>506</v>
      </c>
      <c r="D57" s="4">
        <v>1.36</v>
      </c>
      <c r="E57">
        <v>1.36</v>
      </c>
      <c r="F57" t="s">
        <v>823</v>
      </c>
      <c r="G57"/>
      <c r="H57"/>
      <c r="I57" t="str">
        <f t="shared" si="0"/>
        <v>Unique</v>
      </c>
      <c r="J57"/>
      <c r="K57"/>
    </row>
    <row r="58" spans="1:11">
      <c r="A58" t="s">
        <v>632</v>
      </c>
      <c r="B58" t="s">
        <v>824</v>
      </c>
      <c r="C58" t="s">
        <v>508</v>
      </c>
      <c r="D58" s="4">
        <v>3.93</v>
      </c>
      <c r="E58">
        <v>3.93</v>
      </c>
      <c r="F58" t="s">
        <v>824</v>
      </c>
      <c r="G58"/>
      <c r="H58"/>
      <c r="I58" t="str">
        <f t="shared" si="0"/>
        <v>Unique</v>
      </c>
      <c r="J58"/>
      <c r="K58"/>
    </row>
    <row r="59" spans="1:11">
      <c r="A59" t="s">
        <v>9</v>
      </c>
      <c r="B59" t="s">
        <v>825</v>
      </c>
      <c r="C59" t="s">
        <v>633</v>
      </c>
      <c r="D59" s="4">
        <v>4.0999999999999996</v>
      </c>
      <c r="E59">
        <v>4.0999999999999996</v>
      </c>
      <c r="F59" t="s">
        <v>825</v>
      </c>
      <c r="G59"/>
      <c r="H59"/>
      <c r="I59" t="str">
        <f t="shared" si="0"/>
        <v>Unique</v>
      </c>
      <c r="J59"/>
      <c r="K59"/>
    </row>
    <row r="60" spans="1:11">
      <c r="A60" t="s">
        <v>49</v>
      </c>
      <c r="B60" t="s">
        <v>826</v>
      </c>
      <c r="C60" t="s">
        <v>637</v>
      </c>
      <c r="D60" s="4">
        <v>3.97</v>
      </c>
      <c r="E60">
        <v>3.97</v>
      </c>
      <c r="F60" t="s">
        <v>826</v>
      </c>
      <c r="G60"/>
      <c r="H60"/>
      <c r="I60" t="str">
        <f t="shared" si="0"/>
        <v>Unique</v>
      </c>
      <c r="J60"/>
      <c r="K60"/>
    </row>
    <row r="61" spans="1:11">
      <c r="A61" t="s">
        <v>49</v>
      </c>
      <c r="B61" t="s">
        <v>827</v>
      </c>
      <c r="C61" t="s">
        <v>638</v>
      </c>
      <c r="D61" s="4">
        <v>3.62</v>
      </c>
      <c r="E61">
        <v>3.62</v>
      </c>
      <c r="F61" t="s">
        <v>827</v>
      </c>
      <c r="G61"/>
      <c r="H61"/>
      <c r="I61" t="str">
        <f t="shared" si="0"/>
        <v>Unique</v>
      </c>
      <c r="J61"/>
      <c r="K61"/>
    </row>
    <row r="62" spans="1:11">
      <c r="A62" t="s">
        <v>49</v>
      </c>
      <c r="B62" t="s">
        <v>828</v>
      </c>
      <c r="C62" t="s">
        <v>639</v>
      </c>
      <c r="D62" s="4">
        <v>3.85</v>
      </c>
      <c r="E62">
        <v>3.85</v>
      </c>
      <c r="F62" t="s">
        <v>828</v>
      </c>
      <c r="G62"/>
      <c r="H62"/>
      <c r="I62" t="str">
        <f t="shared" si="0"/>
        <v>Unique</v>
      </c>
      <c r="J62"/>
      <c r="K62"/>
    </row>
    <row r="63" spans="1:11">
      <c r="A63" t="s">
        <v>49</v>
      </c>
      <c r="B63" t="s">
        <v>829</v>
      </c>
      <c r="C63" t="s">
        <v>640</v>
      </c>
      <c r="D63" s="4">
        <v>1.84</v>
      </c>
      <c r="E63">
        <v>1.84</v>
      </c>
      <c r="F63" t="s">
        <v>829</v>
      </c>
      <c r="G63"/>
      <c r="H63"/>
      <c r="I63" t="str">
        <f t="shared" si="0"/>
        <v>Unique</v>
      </c>
      <c r="J63"/>
      <c r="K63"/>
    </row>
    <row r="64" spans="1:11">
      <c r="A64" t="s">
        <v>64</v>
      </c>
      <c r="B64" t="s">
        <v>830</v>
      </c>
      <c r="C64" t="s">
        <v>642</v>
      </c>
      <c r="D64" s="4">
        <v>5.7</v>
      </c>
      <c r="E64">
        <v>5.7</v>
      </c>
      <c r="F64" t="s">
        <v>830</v>
      </c>
      <c r="G64"/>
      <c r="H64"/>
      <c r="I64" t="str">
        <f t="shared" si="0"/>
        <v>Unique</v>
      </c>
      <c r="J64"/>
      <c r="K64"/>
    </row>
    <row r="65" spans="1:11">
      <c r="A65" t="s">
        <v>64</v>
      </c>
      <c r="B65" t="s">
        <v>831</v>
      </c>
      <c r="C65" t="s">
        <v>643</v>
      </c>
      <c r="D65" s="4">
        <v>5.25</v>
      </c>
      <c r="E65">
        <v>5.25</v>
      </c>
      <c r="F65" t="s">
        <v>831</v>
      </c>
      <c r="G65"/>
      <c r="H65"/>
      <c r="I65" t="str">
        <f t="shared" si="0"/>
        <v>Unique</v>
      </c>
      <c r="J65"/>
      <c r="K65"/>
    </row>
    <row r="66" spans="1:11">
      <c r="A66" t="s">
        <v>64</v>
      </c>
      <c r="B66" t="s">
        <v>832</v>
      </c>
      <c r="C66" t="s">
        <v>644</v>
      </c>
      <c r="D66" s="4">
        <v>209.7</v>
      </c>
      <c r="E66">
        <v>136.30500000000001</v>
      </c>
      <c r="F66" t="s">
        <v>832</v>
      </c>
      <c r="G66"/>
      <c r="H66"/>
      <c r="I66" t="str">
        <f t="shared" si="0"/>
        <v>Unique</v>
      </c>
      <c r="J66"/>
      <c r="K66"/>
    </row>
    <row r="67" spans="1:11">
      <c r="A67" t="s">
        <v>71</v>
      </c>
      <c r="B67" t="s">
        <v>833</v>
      </c>
      <c r="C67" t="s">
        <v>346</v>
      </c>
      <c r="D67" s="4">
        <v>0.4</v>
      </c>
      <c r="E67">
        <v>0.4</v>
      </c>
      <c r="F67" t="s">
        <v>833</v>
      </c>
      <c r="G67"/>
      <c r="H67"/>
      <c r="I67" t="str">
        <f t="shared" ref="I67:I94" si="1">IF(COUNTIF($B$2:$B$92,B67) &gt; 1, "Repeated", "Unique")</f>
        <v>Unique</v>
      </c>
      <c r="J67"/>
      <c r="K67"/>
    </row>
    <row r="68" spans="1:11">
      <c r="A68" t="s">
        <v>71</v>
      </c>
      <c r="B68" t="s">
        <v>834</v>
      </c>
      <c r="C68" t="s">
        <v>347</v>
      </c>
      <c r="D68" s="4">
        <v>1.03</v>
      </c>
      <c r="E68">
        <v>0.46349999999999997</v>
      </c>
      <c r="F68" t="s">
        <v>834</v>
      </c>
      <c r="G68"/>
      <c r="H68"/>
      <c r="I68" t="str">
        <f t="shared" si="1"/>
        <v>Unique</v>
      </c>
      <c r="J68"/>
      <c r="K68"/>
    </row>
    <row r="69" spans="1:11">
      <c r="A69" t="s">
        <v>73</v>
      </c>
      <c r="B69" t="s">
        <v>835</v>
      </c>
      <c r="C69" t="s">
        <v>645</v>
      </c>
      <c r="D69" s="4">
        <v>1.6</v>
      </c>
      <c r="E69">
        <v>1.6</v>
      </c>
      <c r="F69" t="s">
        <v>835</v>
      </c>
      <c r="G69"/>
      <c r="H69"/>
      <c r="I69" t="str">
        <f t="shared" si="1"/>
        <v>Unique</v>
      </c>
      <c r="J69"/>
      <c r="K69"/>
    </row>
    <row r="70" spans="1:11">
      <c r="A70" t="s">
        <v>75</v>
      </c>
      <c r="B70" t="s">
        <v>836</v>
      </c>
      <c r="C70" t="s">
        <v>411</v>
      </c>
      <c r="D70" s="4">
        <v>16.649999999999999</v>
      </c>
      <c r="E70">
        <v>6.160499999999999</v>
      </c>
      <c r="F70" t="s">
        <v>836</v>
      </c>
      <c r="G70"/>
      <c r="H70"/>
      <c r="I70" t="str">
        <f t="shared" si="1"/>
        <v>Unique</v>
      </c>
      <c r="J70"/>
      <c r="K70"/>
    </row>
    <row r="71" spans="1:11">
      <c r="A71" t="s">
        <v>78</v>
      </c>
      <c r="B71" t="s">
        <v>837</v>
      </c>
      <c r="C71" t="s">
        <v>646</v>
      </c>
      <c r="D71" s="4">
        <v>0.41239999999999999</v>
      </c>
      <c r="E71">
        <v>0.30930000000000002</v>
      </c>
      <c r="F71" t="s">
        <v>837</v>
      </c>
      <c r="G71"/>
      <c r="H71"/>
      <c r="I71" t="str">
        <f t="shared" si="1"/>
        <v>Unique</v>
      </c>
      <c r="J71"/>
      <c r="K71"/>
    </row>
    <row r="72" spans="1:11">
      <c r="A72" t="s">
        <v>78</v>
      </c>
      <c r="B72" t="s">
        <v>838</v>
      </c>
      <c r="C72" t="s">
        <v>647</v>
      </c>
      <c r="D72" s="4">
        <v>0.70889999999999997</v>
      </c>
      <c r="E72">
        <v>0.53167500000000001</v>
      </c>
      <c r="F72" t="s">
        <v>838</v>
      </c>
      <c r="G72"/>
      <c r="H72"/>
      <c r="I72" t="str">
        <f t="shared" si="1"/>
        <v>Unique</v>
      </c>
      <c r="J72"/>
      <c r="K72"/>
    </row>
    <row r="73" spans="1:11">
      <c r="A73" t="s">
        <v>78</v>
      </c>
      <c r="B73" t="s">
        <v>839</v>
      </c>
      <c r="C73" t="s">
        <v>648</v>
      </c>
      <c r="D73" s="4">
        <v>18.95</v>
      </c>
      <c r="E73">
        <v>12.317500000000001</v>
      </c>
      <c r="F73" t="s">
        <v>839</v>
      </c>
      <c r="G73" s="3"/>
      <c r="H73"/>
      <c r="I73" t="str">
        <f t="shared" si="1"/>
        <v>Unique</v>
      </c>
      <c r="J73"/>
      <c r="K73"/>
    </row>
    <row r="74" spans="1:11">
      <c r="A74" t="s">
        <v>78</v>
      </c>
      <c r="B74" t="s">
        <v>840</v>
      </c>
      <c r="C74" t="s">
        <v>649</v>
      </c>
      <c r="D74" s="4">
        <v>7.55</v>
      </c>
      <c r="E74">
        <v>4.9074999999999998</v>
      </c>
      <c r="F74" t="s">
        <v>840</v>
      </c>
      <c r="G74" s="3"/>
      <c r="H74"/>
      <c r="I74" t="str">
        <f t="shared" si="1"/>
        <v>Unique</v>
      </c>
      <c r="J74"/>
      <c r="K74"/>
    </row>
    <row r="75" spans="1:11">
      <c r="A75" t="s">
        <v>78</v>
      </c>
      <c r="B75" t="s">
        <v>841</v>
      </c>
      <c r="C75" t="s">
        <v>305</v>
      </c>
      <c r="D75" s="4">
        <v>25.77</v>
      </c>
      <c r="E75">
        <v>12.885</v>
      </c>
      <c r="F75" t="s">
        <v>841</v>
      </c>
      <c r="G75"/>
      <c r="H75"/>
      <c r="I75" t="str">
        <f t="shared" si="1"/>
        <v>Unique</v>
      </c>
      <c r="J75"/>
      <c r="K75"/>
    </row>
    <row r="76" spans="1:11">
      <c r="A76" t="s">
        <v>78</v>
      </c>
      <c r="B76" t="s">
        <v>842</v>
      </c>
      <c r="C76" t="s">
        <v>306</v>
      </c>
      <c r="D76" s="4">
        <v>0.99</v>
      </c>
      <c r="E76">
        <v>0.495</v>
      </c>
      <c r="F76" t="s">
        <v>842</v>
      </c>
      <c r="G76"/>
      <c r="H76"/>
      <c r="I76" t="str">
        <f t="shared" si="1"/>
        <v>Unique</v>
      </c>
      <c r="J76"/>
      <c r="K76"/>
    </row>
    <row r="77" spans="1:11">
      <c r="A77" t="s">
        <v>102</v>
      </c>
      <c r="B77" t="s">
        <v>843</v>
      </c>
      <c r="C77" t="s">
        <v>304</v>
      </c>
      <c r="D77" s="4">
        <v>62</v>
      </c>
      <c r="E77">
        <v>62</v>
      </c>
      <c r="F77" t="s">
        <v>843</v>
      </c>
      <c r="G77"/>
      <c r="H77"/>
      <c r="I77" t="str">
        <f t="shared" si="1"/>
        <v>Unique</v>
      </c>
      <c r="J77"/>
      <c r="K77"/>
    </row>
    <row r="78" spans="1:11">
      <c r="A78" t="s">
        <v>112</v>
      </c>
      <c r="B78" t="s">
        <v>844</v>
      </c>
      <c r="C78" t="s">
        <v>349</v>
      </c>
      <c r="D78" s="4">
        <v>3.08</v>
      </c>
      <c r="E78">
        <v>3.08</v>
      </c>
      <c r="F78" t="s">
        <v>844</v>
      </c>
      <c r="G78"/>
      <c r="H78"/>
      <c r="I78" t="str">
        <f t="shared" si="1"/>
        <v>Unique</v>
      </c>
      <c r="J78"/>
      <c r="K78"/>
    </row>
    <row r="79" spans="1:11">
      <c r="A79" t="s">
        <v>112</v>
      </c>
      <c r="B79" t="s">
        <v>845</v>
      </c>
      <c r="C79" t="s">
        <v>540</v>
      </c>
      <c r="D79" s="4">
        <v>13.71</v>
      </c>
      <c r="E79">
        <v>13.71</v>
      </c>
      <c r="F79" t="s">
        <v>845</v>
      </c>
      <c r="G79"/>
      <c r="H79"/>
      <c r="I79" t="str">
        <f t="shared" si="1"/>
        <v>Unique</v>
      </c>
      <c r="J79"/>
      <c r="K79"/>
    </row>
    <row r="80" spans="1:11">
      <c r="A80" t="s">
        <v>116</v>
      </c>
      <c r="B80" t="s">
        <v>846</v>
      </c>
      <c r="C80" t="s">
        <v>651</v>
      </c>
      <c r="D80" s="4">
        <v>5.55</v>
      </c>
      <c r="E80">
        <v>4.1624999999999996</v>
      </c>
      <c r="F80" t="s">
        <v>846</v>
      </c>
      <c r="G80"/>
      <c r="H80"/>
      <c r="I80" t="str">
        <f t="shared" si="1"/>
        <v>Unique</v>
      </c>
      <c r="J80"/>
      <c r="K80"/>
    </row>
    <row r="81" spans="1:11">
      <c r="A81" t="s">
        <v>121</v>
      </c>
      <c r="B81" t="s">
        <v>847</v>
      </c>
      <c r="C81" t="s">
        <v>653</v>
      </c>
      <c r="D81" s="4">
        <v>3.11</v>
      </c>
      <c r="E81">
        <v>3.11</v>
      </c>
      <c r="F81" t="s">
        <v>847</v>
      </c>
      <c r="G81"/>
      <c r="H81"/>
      <c r="I81" t="str">
        <f t="shared" si="1"/>
        <v>Unique</v>
      </c>
      <c r="J81"/>
      <c r="K81"/>
    </row>
    <row r="82" spans="1:11">
      <c r="A82" t="s">
        <v>121</v>
      </c>
      <c r="B82" t="s">
        <v>848</v>
      </c>
      <c r="C82" t="s">
        <v>654</v>
      </c>
      <c r="D82" s="4">
        <v>4.7300000000000004</v>
      </c>
      <c r="E82">
        <v>2.3650000000000002</v>
      </c>
      <c r="F82" t="s">
        <v>848</v>
      </c>
      <c r="G82"/>
      <c r="H82"/>
      <c r="I82" t="str">
        <f t="shared" si="1"/>
        <v>Unique</v>
      </c>
      <c r="J82"/>
      <c r="K82"/>
    </row>
    <row r="83" spans="1:11">
      <c r="A83" t="s">
        <v>121</v>
      </c>
      <c r="B83" t="s">
        <v>849</v>
      </c>
      <c r="C83" t="s">
        <v>655</v>
      </c>
      <c r="D83" s="4">
        <v>2.97</v>
      </c>
      <c r="E83">
        <v>1.4850000000000001</v>
      </c>
      <c r="F83" t="s">
        <v>849</v>
      </c>
      <c r="G83"/>
      <c r="H83"/>
      <c r="I83" t="str">
        <f t="shared" si="1"/>
        <v>Unique</v>
      </c>
      <c r="J83"/>
      <c r="K83"/>
    </row>
    <row r="84" spans="1:11">
      <c r="A84" t="s">
        <v>128</v>
      </c>
      <c r="B84" t="s">
        <v>850</v>
      </c>
      <c r="C84" t="s">
        <v>656</v>
      </c>
      <c r="D84" s="4">
        <v>4.5199999999999996</v>
      </c>
      <c r="E84">
        <v>3.3899999999999997</v>
      </c>
      <c r="F84" t="s">
        <v>850</v>
      </c>
      <c r="G84"/>
      <c r="H84"/>
      <c r="I84" t="str">
        <f t="shared" si="1"/>
        <v>Unique</v>
      </c>
      <c r="J84"/>
      <c r="K84"/>
    </row>
    <row r="85" spans="1:11">
      <c r="A85" t="s">
        <v>136</v>
      </c>
      <c r="B85" t="s">
        <v>851</v>
      </c>
      <c r="C85" t="s">
        <v>657</v>
      </c>
      <c r="D85" s="4">
        <v>0.87</v>
      </c>
      <c r="E85">
        <v>0.87</v>
      </c>
      <c r="F85" t="s">
        <v>851</v>
      </c>
      <c r="G85"/>
      <c r="H85"/>
      <c r="I85" t="str">
        <f t="shared" si="1"/>
        <v>Unique</v>
      </c>
      <c r="J85"/>
      <c r="K85"/>
    </row>
    <row r="86" spans="1:11">
      <c r="A86" t="s">
        <v>136</v>
      </c>
      <c r="B86" t="s">
        <v>852</v>
      </c>
      <c r="C86" t="s">
        <v>658</v>
      </c>
      <c r="D86" s="4">
        <v>7.88</v>
      </c>
      <c r="E86">
        <v>7.88</v>
      </c>
      <c r="F86" t="s">
        <v>852</v>
      </c>
      <c r="G86"/>
      <c r="H86"/>
      <c r="I86" t="str">
        <f t="shared" si="1"/>
        <v>Unique</v>
      </c>
      <c r="J86"/>
      <c r="K86"/>
    </row>
    <row r="87" spans="1:11">
      <c r="A87" t="s">
        <v>136</v>
      </c>
      <c r="B87" t="s">
        <v>853</v>
      </c>
      <c r="C87" t="s">
        <v>659</v>
      </c>
      <c r="D87" s="4">
        <v>2.95</v>
      </c>
      <c r="E87">
        <v>2.95</v>
      </c>
      <c r="F87" t="s">
        <v>853</v>
      </c>
      <c r="G87"/>
      <c r="H87"/>
      <c r="I87" t="str">
        <f t="shared" si="1"/>
        <v>Unique</v>
      </c>
      <c r="J87"/>
      <c r="K87"/>
    </row>
    <row r="88" spans="1:11">
      <c r="A88" t="s">
        <v>136</v>
      </c>
      <c r="B88" t="s">
        <v>854</v>
      </c>
      <c r="C88" t="s">
        <v>351</v>
      </c>
      <c r="D88" s="4">
        <v>2.27</v>
      </c>
      <c r="E88">
        <v>2.27</v>
      </c>
      <c r="F88" t="s">
        <v>854</v>
      </c>
      <c r="G88"/>
      <c r="H88"/>
      <c r="I88" t="str">
        <f t="shared" si="1"/>
        <v>Unique</v>
      </c>
      <c r="J88"/>
      <c r="K88"/>
    </row>
    <row r="89" spans="1:11">
      <c r="A89" t="s">
        <v>136</v>
      </c>
      <c r="B89" t="s">
        <v>855</v>
      </c>
      <c r="C89" t="s">
        <v>660</v>
      </c>
      <c r="D89" s="4">
        <v>7</v>
      </c>
      <c r="E89">
        <v>7</v>
      </c>
      <c r="F89" t="s">
        <v>855</v>
      </c>
      <c r="G89"/>
      <c r="H89"/>
      <c r="I89" t="str">
        <f t="shared" si="1"/>
        <v>Unique</v>
      </c>
      <c r="J89"/>
      <c r="K89"/>
    </row>
    <row r="90" spans="1:11">
      <c r="A90" t="s">
        <v>136</v>
      </c>
      <c r="B90" t="s">
        <v>856</v>
      </c>
      <c r="C90" t="s">
        <v>661</v>
      </c>
      <c r="D90" s="4">
        <v>125</v>
      </c>
      <c r="E90">
        <v>125</v>
      </c>
      <c r="F90" t="s">
        <v>856</v>
      </c>
      <c r="G90"/>
      <c r="H90"/>
      <c r="I90" t="str">
        <f t="shared" si="1"/>
        <v>Unique</v>
      </c>
      <c r="J90"/>
      <c r="K90"/>
    </row>
    <row r="91" spans="1:11">
      <c r="A91" t="s">
        <v>142</v>
      </c>
      <c r="B91" t="s">
        <v>857</v>
      </c>
      <c r="C91" t="s">
        <v>343</v>
      </c>
      <c r="D91" s="4">
        <v>2.44</v>
      </c>
      <c r="E91">
        <v>2.44</v>
      </c>
      <c r="F91" t="s">
        <v>857</v>
      </c>
      <c r="G91"/>
      <c r="H91"/>
      <c r="I91" t="str">
        <f t="shared" si="1"/>
        <v>Unique</v>
      </c>
      <c r="J91"/>
      <c r="K91"/>
    </row>
    <row r="92" spans="1:11">
      <c r="A92" t="s">
        <v>142</v>
      </c>
      <c r="B92" t="s">
        <v>858</v>
      </c>
      <c r="C92" t="s">
        <v>344</v>
      </c>
      <c r="D92" s="4">
        <v>3.56</v>
      </c>
      <c r="E92">
        <v>3.56</v>
      </c>
      <c r="F92" t="s">
        <v>858</v>
      </c>
      <c r="G92"/>
      <c r="H92"/>
      <c r="I92" t="str">
        <f t="shared" si="1"/>
        <v>Unique</v>
      </c>
      <c r="J92"/>
      <c r="K92"/>
    </row>
    <row r="93" spans="1:11">
      <c r="A93" t="s">
        <v>143</v>
      </c>
      <c r="B93" t="s">
        <v>859</v>
      </c>
      <c r="C93" t="s">
        <v>662</v>
      </c>
      <c r="D93" s="4">
        <v>11.09</v>
      </c>
      <c r="E93">
        <v>4.4359999999999999</v>
      </c>
      <c r="F93" t="s">
        <v>859</v>
      </c>
      <c r="G93"/>
      <c r="H93"/>
      <c r="I93" t="str">
        <f t="shared" si="1"/>
        <v>Unique</v>
      </c>
      <c r="J93"/>
      <c r="K93"/>
    </row>
    <row r="94" spans="1:11">
      <c r="A94" t="s">
        <v>144</v>
      </c>
      <c r="B94" t="s">
        <v>860</v>
      </c>
      <c r="C94" t="s">
        <v>663</v>
      </c>
      <c r="D94" s="4">
        <v>2.41</v>
      </c>
      <c r="E94">
        <v>2.41</v>
      </c>
      <c r="F94" t="s">
        <v>860</v>
      </c>
      <c r="G94"/>
      <c r="H94"/>
      <c r="I94" t="str">
        <f t="shared" si="1"/>
        <v>Unique</v>
      </c>
      <c r="J94"/>
      <c r="K94"/>
    </row>
    <row r="95" spans="1:11">
      <c r="G95"/>
      <c r="H95"/>
      <c r="I95"/>
      <c r="J95"/>
      <c r="K95"/>
    </row>
    <row r="96" spans="1:11">
      <c r="G96"/>
      <c r="H96"/>
      <c r="I96"/>
      <c r="J96"/>
      <c r="K96"/>
    </row>
    <row r="97" spans="7:11">
      <c r="G97"/>
      <c r="H97"/>
      <c r="I97"/>
      <c r="J97"/>
      <c r="K97"/>
    </row>
    <row r="98" spans="7:11">
      <c r="G98"/>
      <c r="H98"/>
      <c r="I98"/>
      <c r="J98"/>
      <c r="K98"/>
    </row>
    <row r="99" spans="7:11">
      <c r="G99"/>
      <c r="H99"/>
      <c r="I99"/>
      <c r="J99"/>
      <c r="K99"/>
    </row>
    <row r="100" spans="7:11">
      <c r="G100"/>
      <c r="H100"/>
      <c r="I100"/>
      <c r="J100"/>
      <c r="K100"/>
    </row>
    <row r="101" spans="7:11">
      <c r="G101"/>
      <c r="H101"/>
      <c r="I101"/>
      <c r="J101"/>
      <c r="K101"/>
    </row>
    <row r="102" spans="7:11">
      <c r="G102"/>
      <c r="H102"/>
      <c r="I102"/>
      <c r="J102"/>
      <c r="K102"/>
    </row>
    <row r="103" spans="7:11">
      <c r="G103"/>
      <c r="H103"/>
      <c r="I103"/>
      <c r="J103"/>
      <c r="K103"/>
    </row>
    <row r="104" spans="7:11">
      <c r="G104"/>
      <c r="H104"/>
      <c r="I104"/>
      <c r="J104"/>
      <c r="K104"/>
    </row>
    <row r="105" spans="7:11">
      <c r="G105"/>
      <c r="H105"/>
      <c r="I105"/>
      <c r="J105"/>
      <c r="K105"/>
    </row>
    <row r="106" spans="7:11">
      <c r="G106"/>
      <c r="H106"/>
      <c r="I106"/>
      <c r="J106"/>
      <c r="K106"/>
    </row>
    <row r="107" spans="7:11">
      <c r="G107"/>
      <c r="H107"/>
      <c r="I107"/>
      <c r="J107"/>
      <c r="K107"/>
    </row>
    <row r="108" spans="7:11">
      <c r="G108"/>
      <c r="H108"/>
      <c r="I108"/>
      <c r="J108"/>
      <c r="K108"/>
    </row>
    <row r="109" spans="7:11">
      <c r="G109"/>
      <c r="H109"/>
      <c r="I109"/>
      <c r="J109"/>
      <c r="K109"/>
    </row>
    <row r="110" spans="7:11">
      <c r="G110"/>
      <c r="H110"/>
      <c r="I110"/>
      <c r="J110"/>
      <c r="K110"/>
    </row>
    <row r="111" spans="7:11">
      <c r="G111"/>
      <c r="H111"/>
      <c r="I111"/>
      <c r="J111"/>
      <c r="K111"/>
    </row>
    <row r="112" spans="7:11">
      <c r="G112"/>
      <c r="H112"/>
      <c r="I112"/>
      <c r="J112"/>
      <c r="K112"/>
    </row>
    <row r="113" spans="7:11">
      <c r="G113"/>
      <c r="H113"/>
      <c r="I113"/>
      <c r="J113"/>
      <c r="K113"/>
    </row>
    <row r="114" spans="7:11">
      <c r="G114"/>
      <c r="H114"/>
      <c r="I114"/>
      <c r="J114"/>
      <c r="K114"/>
    </row>
    <row r="115" spans="7:11">
      <c r="G115"/>
      <c r="H115"/>
      <c r="I115"/>
      <c r="J115"/>
      <c r="K115"/>
    </row>
    <row r="116" spans="7:11">
      <c r="G116"/>
      <c r="H116"/>
      <c r="I116"/>
      <c r="J116"/>
      <c r="K116"/>
    </row>
    <row r="117" spans="7:11">
      <c r="G117"/>
      <c r="H117"/>
      <c r="I117"/>
      <c r="J117"/>
      <c r="K117"/>
    </row>
    <row r="118" spans="7:11">
      <c r="G118"/>
      <c r="H118"/>
      <c r="I118"/>
      <c r="J118"/>
      <c r="K118"/>
    </row>
    <row r="119" spans="7:11">
      <c r="G119"/>
      <c r="H119"/>
      <c r="I119"/>
      <c r="J119"/>
      <c r="K119"/>
    </row>
    <row r="120" spans="7:11">
      <c r="G120"/>
      <c r="H120"/>
      <c r="I120"/>
      <c r="J120"/>
      <c r="K120"/>
    </row>
    <row r="121" spans="7:11">
      <c r="G121"/>
      <c r="H121"/>
      <c r="I121"/>
      <c r="J121"/>
      <c r="K121"/>
    </row>
    <row r="122" spans="7:11">
      <c r="G122"/>
      <c r="H122"/>
      <c r="I122"/>
      <c r="J122"/>
      <c r="K122"/>
    </row>
    <row r="123" spans="7:11">
      <c r="G123"/>
      <c r="H123"/>
      <c r="I123"/>
      <c r="J123"/>
      <c r="K123"/>
    </row>
    <row r="124" spans="7:11">
      <c r="G124"/>
      <c r="H124"/>
      <c r="I124"/>
      <c r="J124"/>
      <c r="K124"/>
    </row>
    <row r="125" spans="7:11">
      <c r="G125"/>
      <c r="H125"/>
      <c r="I125"/>
      <c r="J125"/>
      <c r="K125"/>
    </row>
    <row r="126" spans="7:11">
      <c r="G126"/>
      <c r="H126"/>
      <c r="I126"/>
      <c r="J126"/>
      <c r="K126"/>
    </row>
    <row r="127" spans="7:11">
      <c r="G127"/>
      <c r="H127"/>
      <c r="I127"/>
      <c r="J127"/>
      <c r="K127"/>
    </row>
    <row r="128" spans="7:11">
      <c r="G128"/>
      <c r="H128"/>
      <c r="I128"/>
      <c r="J128"/>
      <c r="K128"/>
    </row>
    <row r="129" spans="7:11">
      <c r="G129"/>
      <c r="H129"/>
      <c r="I129"/>
      <c r="J129"/>
      <c r="K129"/>
    </row>
    <row r="130" spans="7:11">
      <c r="G130"/>
      <c r="H130"/>
      <c r="I130"/>
      <c r="J130"/>
      <c r="K130"/>
    </row>
    <row r="131" spans="7:11">
      <c r="G131"/>
      <c r="H131"/>
      <c r="I131"/>
      <c r="J131"/>
      <c r="K131"/>
    </row>
    <row r="132" spans="7:11">
      <c r="G132"/>
      <c r="H132"/>
      <c r="I132"/>
      <c r="J132"/>
      <c r="K132"/>
    </row>
    <row r="133" spans="7:11">
      <c r="G133"/>
      <c r="H133"/>
      <c r="I133"/>
      <c r="J133"/>
      <c r="K133"/>
    </row>
    <row r="134" spans="7:11">
      <c r="G134"/>
      <c r="H134"/>
      <c r="I134"/>
      <c r="J134"/>
      <c r="K134"/>
    </row>
    <row r="135" spans="7:11">
      <c r="G135"/>
      <c r="H135"/>
      <c r="I135"/>
      <c r="J135"/>
      <c r="K135"/>
    </row>
    <row r="136" spans="7:11">
      <c r="G136"/>
      <c r="H136"/>
      <c r="I136"/>
      <c r="J136"/>
      <c r="K136"/>
    </row>
    <row r="137" spans="7:11">
      <c r="G137"/>
      <c r="H137"/>
      <c r="I137"/>
      <c r="J137"/>
      <c r="K137"/>
    </row>
    <row r="138" spans="7:11">
      <c r="G138"/>
      <c r="H138"/>
      <c r="I138"/>
      <c r="J138"/>
      <c r="K138"/>
    </row>
    <row r="139" spans="7:11">
      <c r="G139"/>
      <c r="H139"/>
      <c r="I139"/>
      <c r="J139"/>
      <c r="K139"/>
    </row>
    <row r="140" spans="7:11">
      <c r="G140"/>
      <c r="H140"/>
      <c r="I140"/>
      <c r="J140"/>
      <c r="K140"/>
    </row>
    <row r="141" spans="7:11">
      <c r="G141"/>
      <c r="H141"/>
      <c r="I141"/>
      <c r="J141"/>
      <c r="K141"/>
    </row>
    <row r="142" spans="7:11">
      <c r="G142"/>
      <c r="H142"/>
      <c r="I142"/>
      <c r="J142"/>
      <c r="K142"/>
    </row>
    <row r="143" spans="7:11">
      <c r="G143"/>
      <c r="H143"/>
      <c r="I143"/>
      <c r="J143"/>
      <c r="K143"/>
    </row>
    <row r="144" spans="7:11">
      <c r="G144"/>
      <c r="H144"/>
      <c r="I144"/>
      <c r="J144"/>
      <c r="K144"/>
    </row>
    <row r="145" spans="7:11">
      <c r="G145"/>
      <c r="H145"/>
      <c r="I145"/>
      <c r="J145"/>
      <c r="K145"/>
    </row>
    <row r="146" spans="7:11">
      <c r="G146"/>
      <c r="H146"/>
      <c r="I146"/>
      <c r="J146"/>
      <c r="K146"/>
    </row>
    <row r="147" spans="7:11">
      <c r="G147"/>
      <c r="H147"/>
      <c r="I147"/>
      <c r="J147"/>
      <c r="K147"/>
    </row>
    <row r="148" spans="7:11">
      <c r="G148"/>
      <c r="H148"/>
      <c r="I148"/>
      <c r="J148"/>
      <c r="K148"/>
    </row>
    <row r="149" spans="7:11">
      <c r="G149"/>
      <c r="H149"/>
      <c r="I149"/>
      <c r="J149"/>
      <c r="K149"/>
    </row>
    <row r="150" spans="7:11">
      <c r="G150"/>
      <c r="H150"/>
      <c r="I150"/>
      <c r="J150"/>
      <c r="K150"/>
    </row>
    <row r="151" spans="7:11">
      <c r="G151"/>
      <c r="H151"/>
      <c r="I151"/>
      <c r="J151"/>
      <c r="K151"/>
    </row>
    <row r="152" spans="7:11">
      <c r="G152"/>
      <c r="H152"/>
      <c r="I152"/>
      <c r="J152"/>
      <c r="K152"/>
    </row>
    <row r="153" spans="7:11">
      <c r="G153"/>
      <c r="H153"/>
      <c r="I153"/>
      <c r="J153"/>
      <c r="K153"/>
    </row>
    <row r="154" spans="7:11">
      <c r="I154"/>
    </row>
    <row r="155" spans="7:11">
      <c r="I155"/>
    </row>
    <row r="156" spans="7:11">
      <c r="I156"/>
    </row>
    <row r="157" spans="7:11">
      <c r="I157"/>
    </row>
    <row r="158" spans="7:11">
      <c r="I158"/>
    </row>
    <row r="159" spans="7:11">
      <c r="I159"/>
    </row>
    <row r="160" spans="7:11">
      <c r="I160"/>
    </row>
    <row r="161" spans="9:9">
      <c r="I161"/>
    </row>
    <row r="162" spans="9:9">
      <c r="I162"/>
    </row>
    <row r="163" spans="9:9">
      <c r="I163"/>
    </row>
    <row r="164" spans="9:9">
      <c r="I164"/>
    </row>
    <row r="165" spans="9:9">
      <c r="I165"/>
    </row>
    <row r="166" spans="9:9">
      <c r="I166"/>
    </row>
    <row r="167" spans="9:9">
      <c r="I167"/>
    </row>
    <row r="168" spans="9:9">
      <c r="I168"/>
    </row>
    <row r="169" spans="9:9">
      <c r="I169"/>
    </row>
    <row r="170" spans="9:9">
      <c r="I170"/>
    </row>
    <row r="171" spans="9:9">
      <c r="I171"/>
    </row>
    <row r="172" spans="9:9">
      <c r="I172"/>
    </row>
    <row r="173" spans="9:9">
      <c r="I173"/>
    </row>
    <row r="174" spans="9:9">
      <c r="I174"/>
    </row>
    <row r="175" spans="9:9">
      <c r="I175"/>
    </row>
    <row r="176" spans="9:9">
      <c r="I176"/>
    </row>
    <row r="177" spans="9:9">
      <c r="I177"/>
    </row>
    <row r="178" spans="9:9">
      <c r="I178"/>
    </row>
    <row r="179" spans="9:9">
      <c r="I179"/>
    </row>
    <row r="180" spans="9:9">
      <c r="I180"/>
    </row>
    <row r="181" spans="9:9">
      <c r="I181"/>
    </row>
    <row r="182" spans="9:9">
      <c r="I182"/>
    </row>
    <row r="183" spans="9:9">
      <c r="I183"/>
    </row>
    <row r="184" spans="9:9">
      <c r="I184"/>
    </row>
    <row r="185" spans="9:9">
      <c r="I185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2D9A3-0154-4865-8170-7E8F1E6C3149}">
  <dimension ref="A1:K439"/>
  <sheetViews>
    <sheetView workbookViewId="0">
      <selection activeCell="C1" sqref="C1"/>
    </sheetView>
  </sheetViews>
  <sheetFormatPr defaultRowHeight="15"/>
  <cols>
    <col min="1" max="1" width="43.28515625" bestFit="1" customWidth="1"/>
    <col min="2" max="2" width="20.28515625" bestFit="1" customWidth="1"/>
    <col min="3" max="3" width="81.140625" bestFit="1" customWidth="1"/>
    <col min="4" max="4" width="7.140625" bestFit="1" customWidth="1"/>
    <col min="5" max="5" width="9.5703125" bestFit="1" customWidth="1"/>
    <col min="6" max="7" width="8.85546875" bestFit="1" customWidth="1"/>
    <col min="8" max="8" width="16.42578125" bestFit="1" customWidth="1"/>
    <col min="9" max="9" width="8" bestFit="1" customWidth="1"/>
    <col min="10" max="10" width="10.42578125" style="6" bestFit="1" customWidth="1"/>
    <col min="11" max="11" width="10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6" t="s">
        <v>611</v>
      </c>
      <c r="K1" s="6" t="s">
        <v>861</v>
      </c>
    </row>
    <row r="2" spans="1:11" hidden="1">
      <c r="A2" t="s">
        <v>572</v>
      </c>
      <c r="B2" t="s">
        <v>577</v>
      </c>
      <c r="C2" t="s">
        <v>578</v>
      </c>
      <c r="D2">
        <v>1</v>
      </c>
      <c r="E2">
        <v>4.75</v>
      </c>
      <c r="F2">
        <v>0</v>
      </c>
      <c r="G2">
        <v>0</v>
      </c>
      <c r="H2">
        <v>4.75</v>
      </c>
      <c r="I2">
        <v>4.75</v>
      </c>
      <c r="J2" s="6">
        <v>45923</v>
      </c>
      <c r="K2">
        <f>Indusmelec_Total[[#This Row],[Prç Uni c/ Desc]]*Indusmelec_Total[[#This Row],[Qtd.]]</f>
        <v>4.75</v>
      </c>
    </row>
    <row r="3" spans="1:11" hidden="1">
      <c r="A3" t="s">
        <v>455</v>
      </c>
      <c r="B3" t="s">
        <v>458</v>
      </c>
      <c r="C3" t="s">
        <v>459</v>
      </c>
      <c r="D3">
        <v>20</v>
      </c>
      <c r="E3">
        <v>0.65</v>
      </c>
      <c r="F3">
        <v>0</v>
      </c>
      <c r="G3">
        <v>0</v>
      </c>
      <c r="H3">
        <v>0.65</v>
      </c>
      <c r="J3" s="6">
        <v>45853</v>
      </c>
      <c r="K3">
        <f>Indusmelec_Total[[#This Row],[Prç Uni c/ Desc]]*Indusmelec_Total[[#This Row],[Qtd.]]</f>
        <v>13</v>
      </c>
    </row>
    <row r="4" spans="1:11" hidden="1">
      <c r="A4" t="s">
        <v>264</v>
      </c>
      <c r="B4" t="s">
        <v>277</v>
      </c>
      <c r="C4" t="s">
        <v>278</v>
      </c>
      <c r="D4">
        <v>100</v>
      </c>
      <c r="E4">
        <v>0.05</v>
      </c>
      <c r="F4">
        <v>0</v>
      </c>
      <c r="G4">
        <v>0</v>
      </c>
      <c r="H4">
        <v>0.05</v>
      </c>
      <c r="I4">
        <v>5</v>
      </c>
      <c r="J4" s="6">
        <v>46168</v>
      </c>
      <c r="K4">
        <f>Indusmelec_Total[[#This Row],[Prç Uni c/ Desc]]*Indusmelec_Total[[#This Row],[Qtd.]]</f>
        <v>5</v>
      </c>
    </row>
    <row r="5" spans="1:11" hidden="1">
      <c r="A5" t="s">
        <v>364</v>
      </c>
      <c r="B5" t="s">
        <v>367</v>
      </c>
      <c r="C5" t="s">
        <v>368</v>
      </c>
      <c r="D5">
        <v>50</v>
      </c>
      <c r="E5">
        <v>1.53</v>
      </c>
      <c r="F5">
        <v>0</v>
      </c>
      <c r="G5">
        <v>0</v>
      </c>
      <c r="H5">
        <v>1.53</v>
      </c>
      <c r="I5">
        <v>76.5</v>
      </c>
      <c r="J5" s="6">
        <v>45726</v>
      </c>
      <c r="K5">
        <f>Indusmelec_Total[[#This Row],[Prç Uni c/ Desc]]*Indusmelec_Total[[#This Row],[Qtd.]]</f>
        <v>76.5</v>
      </c>
    </row>
    <row r="6" spans="1:11">
      <c r="A6" t="s">
        <v>240</v>
      </c>
      <c r="B6" t="s">
        <v>251</v>
      </c>
      <c r="C6" t="s">
        <v>252</v>
      </c>
      <c r="D6">
        <v>1</v>
      </c>
      <c r="E6">
        <v>5.15</v>
      </c>
      <c r="F6">
        <v>0.45</v>
      </c>
      <c r="G6">
        <v>0</v>
      </c>
      <c r="H6">
        <v>2.8325000000000005</v>
      </c>
      <c r="I6">
        <v>2.83</v>
      </c>
      <c r="K6">
        <f>Indusmelec_Total[[#This Row],[Prç Uni c/ Desc]]*Indusmelec_Total[[#This Row],[Qtd.]]</f>
        <v>2.8325000000000005</v>
      </c>
    </row>
    <row r="7" spans="1:11" hidden="1">
      <c r="A7" t="s">
        <v>264</v>
      </c>
      <c r="B7" t="s">
        <v>279</v>
      </c>
      <c r="C7" t="s">
        <v>280</v>
      </c>
      <c r="D7">
        <v>1</v>
      </c>
      <c r="E7">
        <v>1.5</v>
      </c>
      <c r="F7">
        <v>0</v>
      </c>
      <c r="G7">
        <v>0</v>
      </c>
      <c r="H7">
        <v>1.5</v>
      </c>
      <c r="I7">
        <v>1.5</v>
      </c>
      <c r="J7" s="6">
        <v>46168</v>
      </c>
      <c r="K7">
        <f>Indusmelec_Total[[#This Row],[Prç Uni c/ Desc]]*Indusmelec_Total[[#This Row],[Qtd.]]</f>
        <v>1.5</v>
      </c>
    </row>
    <row r="8" spans="1:11" hidden="1">
      <c r="A8" t="s">
        <v>560</v>
      </c>
      <c r="B8" t="s">
        <v>561</v>
      </c>
      <c r="C8" t="s">
        <v>562</v>
      </c>
      <c r="D8">
        <v>50</v>
      </c>
      <c r="E8">
        <v>3.4</v>
      </c>
      <c r="F8">
        <v>0</v>
      </c>
      <c r="G8">
        <v>0</v>
      </c>
      <c r="H8">
        <v>3.4</v>
      </c>
      <c r="I8">
        <v>170</v>
      </c>
      <c r="J8" s="6">
        <v>45590</v>
      </c>
      <c r="K8">
        <f>Indusmelec_Total[[#This Row],[Prç Uni c/ Desc]]*Indusmelec_Total[[#This Row],[Qtd.]]</f>
        <v>170</v>
      </c>
    </row>
    <row r="9" spans="1:11" hidden="1">
      <c r="A9" t="s">
        <v>121</v>
      </c>
      <c r="B9" t="s">
        <v>124</v>
      </c>
      <c r="C9" t="s">
        <v>125</v>
      </c>
      <c r="D9">
        <v>1</v>
      </c>
      <c r="E9">
        <v>4.7300000000000004</v>
      </c>
      <c r="F9">
        <v>0.5</v>
      </c>
      <c r="G9">
        <v>0</v>
      </c>
      <c r="H9">
        <v>2.3650000000000002</v>
      </c>
      <c r="I9">
        <v>2.37</v>
      </c>
      <c r="J9" s="6">
        <v>45797</v>
      </c>
      <c r="K9">
        <f>Indusmelec_Total[[#This Row],[Prç Uni c/ Desc]]*Indusmelec_Total[[#This Row],[Qtd.]]</f>
        <v>2.3650000000000002</v>
      </c>
    </row>
    <row r="10" spans="1:11" hidden="1">
      <c r="A10" t="s">
        <v>105</v>
      </c>
      <c r="B10" t="s">
        <v>106</v>
      </c>
      <c r="C10" t="s">
        <v>107</v>
      </c>
      <c r="D10">
        <v>1</v>
      </c>
      <c r="E10">
        <v>13.16</v>
      </c>
      <c r="F10">
        <v>0.5</v>
      </c>
      <c r="G10">
        <v>0</v>
      </c>
      <c r="H10">
        <v>6.58</v>
      </c>
      <c r="I10">
        <v>6.58</v>
      </c>
      <c r="J10" s="6">
        <v>46079</v>
      </c>
      <c r="K10">
        <f>Indusmelec_Total[[#This Row],[Prç Uni c/ Desc]]*Indusmelec_Total[[#This Row],[Qtd.]]</f>
        <v>6.58</v>
      </c>
    </row>
    <row r="11" spans="1:11" hidden="1">
      <c r="A11" t="s">
        <v>581</v>
      </c>
      <c r="B11" t="s">
        <v>582</v>
      </c>
      <c r="C11" t="s">
        <v>583</v>
      </c>
      <c r="D11">
        <v>1</v>
      </c>
      <c r="E11">
        <v>108</v>
      </c>
      <c r="F11">
        <v>0</v>
      </c>
      <c r="G11">
        <v>0</v>
      </c>
      <c r="H11">
        <v>108</v>
      </c>
      <c r="I11">
        <v>108</v>
      </c>
      <c r="J11" s="6">
        <v>45629</v>
      </c>
      <c r="K11">
        <f>Indusmelec_Total[[#This Row],[Prç Uni c/ Desc]]*Indusmelec_Total[[#This Row],[Qtd.]]</f>
        <v>108</v>
      </c>
    </row>
    <row r="12" spans="1:11" hidden="1">
      <c r="A12" t="s">
        <v>581</v>
      </c>
      <c r="B12" t="s">
        <v>584</v>
      </c>
      <c r="C12" t="s">
        <v>583</v>
      </c>
      <c r="D12">
        <v>1</v>
      </c>
      <c r="E12">
        <v>113</v>
      </c>
      <c r="F12">
        <v>0</v>
      </c>
      <c r="G12">
        <v>0</v>
      </c>
      <c r="H12">
        <v>113</v>
      </c>
      <c r="I12">
        <v>113</v>
      </c>
      <c r="J12" s="6">
        <v>45629</v>
      </c>
      <c r="K12">
        <f>Indusmelec_Total[[#This Row],[Prç Uni c/ Desc]]*Indusmelec_Total[[#This Row],[Qtd.]]</f>
        <v>113</v>
      </c>
    </row>
    <row r="13" spans="1:11" hidden="1">
      <c r="A13" t="s">
        <v>572</v>
      </c>
      <c r="B13" t="s">
        <v>573</v>
      </c>
      <c r="C13" t="s">
        <v>574</v>
      </c>
      <c r="D13">
        <v>1</v>
      </c>
      <c r="E13">
        <v>7.8</v>
      </c>
      <c r="F13">
        <v>0</v>
      </c>
      <c r="G13">
        <v>0</v>
      </c>
      <c r="H13">
        <v>7.8</v>
      </c>
      <c r="I13">
        <v>7.8</v>
      </c>
      <c r="J13" s="6">
        <v>45923</v>
      </c>
      <c r="K13">
        <f>Indusmelec_Total[[#This Row],[Prç Uni c/ Desc]]*Indusmelec_Total[[#This Row],[Qtd.]]</f>
        <v>7.8</v>
      </c>
    </row>
    <row r="14" spans="1:11" hidden="1">
      <c r="A14" t="s">
        <v>475</v>
      </c>
      <c r="B14" t="s">
        <v>476</v>
      </c>
      <c r="C14" t="s">
        <v>477</v>
      </c>
      <c r="D14">
        <v>50</v>
      </c>
      <c r="E14">
        <v>1.48</v>
      </c>
      <c r="F14">
        <v>0</v>
      </c>
      <c r="G14">
        <v>0</v>
      </c>
      <c r="H14">
        <v>1.48</v>
      </c>
      <c r="I14">
        <v>74</v>
      </c>
      <c r="J14" s="6">
        <v>45926</v>
      </c>
      <c r="K14">
        <f>Indusmelec_Total[[#This Row],[Prç Uni c/ Desc]]*Indusmelec_Total[[#This Row],[Qtd.]]</f>
        <v>74</v>
      </c>
    </row>
    <row r="15" spans="1:11" hidden="1">
      <c r="A15" t="s">
        <v>64</v>
      </c>
      <c r="B15" t="s">
        <v>65</v>
      </c>
      <c r="C15" t="s">
        <v>66</v>
      </c>
      <c r="D15">
        <v>1</v>
      </c>
      <c r="E15">
        <v>5.7</v>
      </c>
      <c r="F15">
        <v>0</v>
      </c>
      <c r="G15">
        <v>0</v>
      </c>
      <c r="H15">
        <v>5.7</v>
      </c>
      <c r="I15">
        <v>5.7</v>
      </c>
      <c r="J15" s="6">
        <v>45460</v>
      </c>
      <c r="K15">
        <f>Indusmelec_Total[[#This Row],[Prç Uni c/ Desc]]*Indusmelec_Total[[#This Row],[Qtd.]]</f>
        <v>5.7</v>
      </c>
    </row>
    <row r="16" spans="1:11" hidden="1">
      <c r="A16" t="s">
        <v>64</v>
      </c>
      <c r="B16" t="s">
        <v>67</v>
      </c>
      <c r="C16" t="s">
        <v>68</v>
      </c>
      <c r="D16">
        <v>2</v>
      </c>
      <c r="E16">
        <v>5.25</v>
      </c>
      <c r="F16">
        <v>0</v>
      </c>
      <c r="G16">
        <v>0</v>
      </c>
      <c r="H16">
        <v>5.25</v>
      </c>
      <c r="I16">
        <v>10.5</v>
      </c>
      <c r="J16" s="6">
        <v>45460</v>
      </c>
      <c r="K16">
        <f>Indusmelec_Total[[#This Row],[Prç Uni c/ Desc]]*Indusmelec_Total[[#This Row],[Qtd.]]</f>
        <v>10.5</v>
      </c>
    </row>
    <row r="17" spans="1:11" hidden="1">
      <c r="A17" t="s">
        <v>78</v>
      </c>
      <c r="B17" t="s">
        <v>79</v>
      </c>
      <c r="C17" t="s">
        <v>80</v>
      </c>
      <c r="D17">
        <v>1</v>
      </c>
      <c r="E17">
        <v>62</v>
      </c>
      <c r="F17">
        <v>0</v>
      </c>
      <c r="G17">
        <v>0</v>
      </c>
      <c r="H17">
        <v>62</v>
      </c>
      <c r="I17">
        <v>62</v>
      </c>
      <c r="J17" s="6">
        <v>45464</v>
      </c>
      <c r="K17">
        <f>Indusmelec_Total[[#This Row],[Prç Uni c/ Desc]]*Indusmelec_Total[[#This Row],[Qtd.]]</f>
        <v>62</v>
      </c>
    </row>
    <row r="18" spans="1:11" hidden="1">
      <c r="A18" t="s">
        <v>93</v>
      </c>
      <c r="B18" t="s">
        <v>79</v>
      </c>
      <c r="C18" t="s">
        <v>80</v>
      </c>
      <c r="D18">
        <v>10</v>
      </c>
      <c r="E18">
        <v>62</v>
      </c>
      <c r="F18">
        <v>0</v>
      </c>
      <c r="G18">
        <v>0</v>
      </c>
      <c r="H18">
        <v>62</v>
      </c>
      <c r="I18">
        <v>620</v>
      </c>
      <c r="J18" s="6">
        <v>45896</v>
      </c>
      <c r="K18">
        <f>Indusmelec_Total[[#This Row],[Prç Uni c/ Desc]]*Indusmelec_Total[[#This Row],[Qtd.]]</f>
        <v>620</v>
      </c>
    </row>
    <row r="19" spans="1:11" hidden="1">
      <c r="A19" t="s">
        <v>102</v>
      </c>
      <c r="B19" t="s">
        <v>79</v>
      </c>
      <c r="C19" t="s">
        <v>80</v>
      </c>
      <c r="D19">
        <v>1</v>
      </c>
      <c r="E19">
        <v>62</v>
      </c>
      <c r="F19">
        <v>0</v>
      </c>
      <c r="G19">
        <v>0</v>
      </c>
      <c r="H19">
        <v>62</v>
      </c>
      <c r="I19">
        <v>62</v>
      </c>
      <c r="J19" s="6">
        <v>45699</v>
      </c>
      <c r="K19">
        <f>Indusmelec_Total[[#This Row],[Prç Uni c/ Desc]]*Indusmelec_Total[[#This Row],[Qtd.]]</f>
        <v>62</v>
      </c>
    </row>
    <row r="20" spans="1:11" hidden="1">
      <c r="A20" t="s">
        <v>222</v>
      </c>
      <c r="B20" t="s">
        <v>79</v>
      </c>
      <c r="C20" t="s">
        <v>80</v>
      </c>
      <c r="D20">
        <v>10</v>
      </c>
      <c r="E20">
        <v>62</v>
      </c>
      <c r="F20">
        <v>0</v>
      </c>
      <c r="G20">
        <v>0</v>
      </c>
      <c r="H20">
        <v>62</v>
      </c>
      <c r="I20">
        <v>620</v>
      </c>
      <c r="J20" s="6">
        <v>45635</v>
      </c>
      <c r="K20">
        <f>Indusmelec_Total[[#This Row],[Prç Uni c/ Desc]]*Indusmelec_Total[[#This Row],[Qtd.]]</f>
        <v>620</v>
      </c>
    </row>
    <row r="21" spans="1:11" hidden="1">
      <c r="A21" t="s">
        <v>285</v>
      </c>
      <c r="B21" t="s">
        <v>79</v>
      </c>
      <c r="C21" t="s">
        <v>286</v>
      </c>
      <c r="D21">
        <v>10</v>
      </c>
      <c r="E21">
        <v>52</v>
      </c>
      <c r="F21">
        <v>0</v>
      </c>
      <c r="G21">
        <v>0</v>
      </c>
      <c r="H21">
        <v>52</v>
      </c>
      <c r="I21">
        <v>520</v>
      </c>
      <c r="J21" s="6">
        <v>46170</v>
      </c>
      <c r="K21">
        <f>Indusmelec_Total[[#This Row],[Prç Uni c/ Desc]]*Indusmelec_Total[[#This Row],[Qtd.]]</f>
        <v>520</v>
      </c>
    </row>
    <row r="22" spans="1:11" hidden="1">
      <c r="A22" t="s">
        <v>301</v>
      </c>
      <c r="B22" t="s">
        <v>79</v>
      </c>
      <c r="C22" t="s">
        <v>304</v>
      </c>
      <c r="D22">
        <v>1</v>
      </c>
      <c r="E22">
        <v>62</v>
      </c>
      <c r="F22">
        <v>0</v>
      </c>
      <c r="G22">
        <v>0</v>
      </c>
      <c r="H22">
        <v>62</v>
      </c>
      <c r="I22">
        <v>62</v>
      </c>
      <c r="J22" s="6">
        <v>45457</v>
      </c>
      <c r="K22">
        <f>Indusmelec_Total[[#This Row],[Prç Uni c/ Desc]]*Indusmelec_Total[[#This Row],[Qtd.]]</f>
        <v>62</v>
      </c>
    </row>
    <row r="23" spans="1:11" hidden="1">
      <c r="A23" t="s">
        <v>364</v>
      </c>
      <c r="B23" t="s">
        <v>79</v>
      </c>
      <c r="C23" t="s">
        <v>304</v>
      </c>
      <c r="D23">
        <v>10</v>
      </c>
      <c r="E23">
        <v>62</v>
      </c>
      <c r="F23">
        <v>0</v>
      </c>
      <c r="G23">
        <v>0</v>
      </c>
      <c r="H23">
        <v>62</v>
      </c>
      <c r="I23">
        <v>620</v>
      </c>
      <c r="J23" s="6">
        <v>45726</v>
      </c>
      <c r="K23">
        <f>Indusmelec_Total[[#This Row],[Prç Uni c/ Desc]]*Indusmelec_Total[[#This Row],[Qtd.]]</f>
        <v>620</v>
      </c>
    </row>
    <row r="24" spans="1:11" hidden="1">
      <c r="A24" t="s">
        <v>430</v>
      </c>
      <c r="B24" t="s">
        <v>79</v>
      </c>
      <c r="C24" t="s">
        <v>304</v>
      </c>
      <c r="D24">
        <v>3</v>
      </c>
      <c r="E24">
        <v>62</v>
      </c>
      <c r="F24">
        <v>0</v>
      </c>
      <c r="G24">
        <v>0</v>
      </c>
      <c r="H24">
        <v>62</v>
      </c>
      <c r="I24">
        <v>186</v>
      </c>
      <c r="J24" s="6">
        <v>45475</v>
      </c>
      <c r="K24">
        <f>Indusmelec_Total[[#This Row],[Prç Uni c/ Desc]]*Indusmelec_Total[[#This Row],[Qtd.]]</f>
        <v>186</v>
      </c>
    </row>
    <row r="25" spans="1:11" hidden="1">
      <c r="A25" t="s">
        <v>448</v>
      </c>
      <c r="B25" t="s">
        <v>79</v>
      </c>
      <c r="C25" t="s">
        <v>449</v>
      </c>
      <c r="D25">
        <v>7</v>
      </c>
      <c r="E25">
        <v>62</v>
      </c>
      <c r="F25">
        <v>0</v>
      </c>
      <c r="G25">
        <v>0</v>
      </c>
      <c r="H25">
        <v>62</v>
      </c>
      <c r="I25">
        <v>434</v>
      </c>
      <c r="J25" s="6">
        <v>45482</v>
      </c>
      <c r="K25">
        <f>Indusmelec_Total[[#This Row],[Prç Uni c/ Desc]]*Indusmelec_Total[[#This Row],[Qtd.]]</f>
        <v>434</v>
      </c>
    </row>
    <row r="26" spans="1:11" hidden="1">
      <c r="A26" t="s">
        <v>450</v>
      </c>
      <c r="B26" t="s">
        <v>79</v>
      </c>
      <c r="C26" t="s">
        <v>451</v>
      </c>
      <c r="D26">
        <v>1</v>
      </c>
      <c r="E26">
        <v>62</v>
      </c>
      <c r="F26">
        <v>0</v>
      </c>
      <c r="G26">
        <v>0</v>
      </c>
      <c r="H26">
        <v>62</v>
      </c>
      <c r="I26">
        <v>62</v>
      </c>
      <c r="J26" s="6">
        <v>45482</v>
      </c>
      <c r="K26">
        <f>Indusmelec_Total[[#This Row],[Prç Uni c/ Desc]]*Indusmelec_Total[[#This Row],[Qtd.]]</f>
        <v>62</v>
      </c>
    </row>
    <row r="27" spans="1:11" hidden="1">
      <c r="A27" t="s">
        <v>862</v>
      </c>
      <c r="B27" t="s">
        <v>79</v>
      </c>
      <c r="C27" t="s">
        <v>304</v>
      </c>
      <c r="D27">
        <v>10</v>
      </c>
      <c r="E27">
        <v>52</v>
      </c>
      <c r="F27">
        <v>0</v>
      </c>
      <c r="G27">
        <v>0</v>
      </c>
      <c r="H27">
        <v>52</v>
      </c>
      <c r="I27">
        <v>520</v>
      </c>
      <c r="J27" s="6">
        <v>46247</v>
      </c>
      <c r="K27">
        <f>Indusmelec_Total[[#This Row],[Prç Uni c/ Desc]]*Indusmelec_Total[[#This Row],[Qtd.]]</f>
        <v>520</v>
      </c>
    </row>
    <row r="28" spans="1:11" hidden="1">
      <c r="A28" t="s">
        <v>863</v>
      </c>
      <c r="B28" t="s">
        <v>79</v>
      </c>
      <c r="C28" t="s">
        <v>304</v>
      </c>
      <c r="D28">
        <v>5</v>
      </c>
      <c r="E28">
        <v>52</v>
      </c>
      <c r="F28">
        <v>0</v>
      </c>
      <c r="G28">
        <v>0</v>
      </c>
      <c r="H28">
        <v>52</v>
      </c>
      <c r="I28">
        <v>260</v>
      </c>
      <c r="J28" s="6">
        <v>46247</v>
      </c>
      <c r="K28">
        <f>Indusmelec_Total[[#This Row],[Prç Uni c/ Desc]]*Indusmelec_Total[[#This Row],[Qtd.]]</f>
        <v>260</v>
      </c>
    </row>
    <row r="29" spans="1:11" hidden="1">
      <c r="A29" t="s">
        <v>264</v>
      </c>
      <c r="B29" t="s">
        <v>271</v>
      </c>
      <c r="C29" t="s">
        <v>272</v>
      </c>
      <c r="D29">
        <v>100</v>
      </c>
      <c r="E29">
        <v>4.03</v>
      </c>
      <c r="F29">
        <v>0.55000000000000004</v>
      </c>
      <c r="G29">
        <v>0</v>
      </c>
      <c r="H29">
        <v>1.8134999999999999</v>
      </c>
      <c r="I29">
        <v>181.35</v>
      </c>
      <c r="J29" s="6">
        <v>46168</v>
      </c>
      <c r="K29">
        <f>Indusmelec_Total[[#This Row],[Prç Uni c/ Desc]]*Indusmelec_Total[[#This Row],[Qtd.]]</f>
        <v>181.35</v>
      </c>
    </row>
    <row r="30" spans="1:11" hidden="1">
      <c r="A30" t="s">
        <v>264</v>
      </c>
      <c r="B30" t="s">
        <v>273</v>
      </c>
      <c r="C30" t="s">
        <v>274</v>
      </c>
      <c r="D30">
        <v>50</v>
      </c>
      <c r="E30">
        <v>2.2599999999999998</v>
      </c>
      <c r="F30">
        <v>0.55000000000000004</v>
      </c>
      <c r="G30">
        <v>0</v>
      </c>
      <c r="H30">
        <v>1.0169999999999999</v>
      </c>
      <c r="I30">
        <v>50.85</v>
      </c>
      <c r="J30" s="6">
        <v>46168</v>
      </c>
      <c r="K30">
        <f>Indusmelec_Total[[#This Row],[Prç Uni c/ Desc]]*Indusmelec_Total[[#This Row],[Qtd.]]</f>
        <v>50.849999999999994</v>
      </c>
    </row>
    <row r="31" spans="1:11" hidden="1">
      <c r="A31" t="s">
        <v>264</v>
      </c>
      <c r="B31" t="s">
        <v>275</v>
      </c>
      <c r="C31" t="s">
        <v>276</v>
      </c>
      <c r="D31">
        <v>100</v>
      </c>
      <c r="E31">
        <v>0.82</v>
      </c>
      <c r="F31">
        <v>0.55000000000000004</v>
      </c>
      <c r="G31">
        <v>0</v>
      </c>
      <c r="H31">
        <v>0.36899999999999994</v>
      </c>
      <c r="I31">
        <v>36.9</v>
      </c>
      <c r="J31" s="6">
        <v>46168</v>
      </c>
      <c r="K31">
        <f>Indusmelec_Total[[#This Row],[Prç Uni c/ Desc]]*Indusmelec_Total[[#This Row],[Qtd.]]</f>
        <v>36.899999999999991</v>
      </c>
    </row>
    <row r="32" spans="1:11" hidden="1">
      <c r="A32" t="s">
        <v>493</v>
      </c>
      <c r="B32" t="s">
        <v>494</v>
      </c>
      <c r="C32" t="s">
        <v>495</v>
      </c>
      <c r="D32">
        <v>1</v>
      </c>
      <c r="E32">
        <v>1754</v>
      </c>
      <c r="F32">
        <v>0.15</v>
      </c>
      <c r="G32">
        <v>0</v>
      </c>
      <c r="H32">
        <v>1490.8999999999999</v>
      </c>
      <c r="I32">
        <v>1490.9</v>
      </c>
      <c r="J32" s="6">
        <v>45842</v>
      </c>
      <c r="K32">
        <f>Indusmelec_Total[[#This Row],[Prç Uni c/ Desc]]*Indusmelec_Total[[#This Row],[Qtd.]]</f>
        <v>1490.8999999999999</v>
      </c>
    </row>
    <row r="33" spans="1:11" hidden="1">
      <c r="A33" t="s">
        <v>572</v>
      </c>
      <c r="B33" t="s">
        <v>575</v>
      </c>
      <c r="C33" t="s">
        <v>576</v>
      </c>
      <c r="D33">
        <v>1</v>
      </c>
      <c r="E33">
        <v>1.1499999999999999</v>
      </c>
      <c r="F33">
        <v>0</v>
      </c>
      <c r="G33">
        <v>0</v>
      </c>
      <c r="H33">
        <v>1.1499999999999999</v>
      </c>
      <c r="I33">
        <v>1.1499999999999999</v>
      </c>
      <c r="J33" s="6">
        <v>45923</v>
      </c>
      <c r="K33">
        <f>Indusmelec_Total[[#This Row],[Prç Uni c/ Desc]]*Indusmelec_Total[[#This Row],[Qtd.]]</f>
        <v>1.1499999999999999</v>
      </c>
    </row>
    <row r="34" spans="1:11" hidden="1">
      <c r="A34" t="s">
        <v>545</v>
      </c>
      <c r="B34" t="s">
        <v>550</v>
      </c>
      <c r="C34" t="s">
        <v>551</v>
      </c>
      <c r="D34">
        <v>1</v>
      </c>
      <c r="E34">
        <v>139</v>
      </c>
      <c r="F34">
        <v>0.4</v>
      </c>
      <c r="G34">
        <v>0.02</v>
      </c>
      <c r="H34">
        <v>81.731999999999985</v>
      </c>
      <c r="I34">
        <v>81.73</v>
      </c>
      <c r="J34" s="6">
        <v>46155</v>
      </c>
      <c r="K34">
        <f>Indusmelec_Total[[#This Row],[Prç Uni c/ Desc]]*Indusmelec_Total[[#This Row],[Qtd.]]</f>
        <v>81.731999999999985</v>
      </c>
    </row>
    <row r="35" spans="1:11" hidden="1">
      <c r="A35" t="s">
        <v>64</v>
      </c>
      <c r="B35" t="s">
        <v>69</v>
      </c>
      <c r="C35" t="s">
        <v>70</v>
      </c>
      <c r="D35">
        <v>1</v>
      </c>
      <c r="E35">
        <v>209.7</v>
      </c>
      <c r="F35">
        <v>0.35</v>
      </c>
      <c r="G35">
        <v>0</v>
      </c>
      <c r="H35">
        <v>136.30500000000001</v>
      </c>
      <c r="I35">
        <v>136.31</v>
      </c>
      <c r="J35" s="6">
        <v>45460</v>
      </c>
      <c r="K35">
        <f>Indusmelec_Total[[#This Row],[Prç Uni c/ Desc]]*Indusmelec_Total[[#This Row],[Qtd.]]</f>
        <v>136.30500000000001</v>
      </c>
    </row>
    <row r="36" spans="1:11" hidden="1">
      <c r="A36" t="s">
        <v>121</v>
      </c>
      <c r="B36" t="s">
        <v>122</v>
      </c>
      <c r="C36" t="s">
        <v>123</v>
      </c>
      <c r="D36">
        <v>10</v>
      </c>
      <c r="E36">
        <v>3.11</v>
      </c>
      <c r="F36">
        <v>0</v>
      </c>
      <c r="G36">
        <v>0</v>
      </c>
      <c r="H36">
        <v>3.11</v>
      </c>
      <c r="I36">
        <v>31.1</v>
      </c>
      <c r="J36" s="6">
        <v>45797</v>
      </c>
      <c r="K36">
        <f>Indusmelec_Total[[#This Row],[Prç Uni c/ Desc]]*Indusmelec_Total[[#This Row],[Qtd.]]</f>
        <v>31.099999999999998</v>
      </c>
    </row>
    <row r="37" spans="1:11" hidden="1">
      <c r="A37" t="s">
        <v>504</v>
      </c>
      <c r="B37" t="s">
        <v>505</v>
      </c>
      <c r="C37" t="s">
        <v>506</v>
      </c>
      <c r="D37">
        <v>50</v>
      </c>
      <c r="E37">
        <v>1.36</v>
      </c>
      <c r="F37">
        <v>0</v>
      </c>
      <c r="G37">
        <v>0</v>
      </c>
      <c r="H37">
        <v>1.36</v>
      </c>
      <c r="I37">
        <v>68</v>
      </c>
      <c r="J37" s="6">
        <v>45677</v>
      </c>
      <c r="K37">
        <f>Indusmelec_Total[[#This Row],[Prç Uni c/ Desc]]*Indusmelec_Total[[#This Row],[Qtd.]]</f>
        <v>68</v>
      </c>
    </row>
    <row r="38" spans="1:11" hidden="1">
      <c r="A38" t="s">
        <v>552</v>
      </c>
      <c r="B38" t="s">
        <v>553</v>
      </c>
      <c r="C38" t="s">
        <v>554</v>
      </c>
      <c r="D38">
        <v>50</v>
      </c>
      <c r="E38">
        <v>0.52</v>
      </c>
      <c r="F38">
        <v>0</v>
      </c>
      <c r="G38">
        <v>0</v>
      </c>
      <c r="H38">
        <v>0.52</v>
      </c>
      <c r="J38" s="6">
        <v>46156</v>
      </c>
      <c r="K38">
        <f>Indusmelec_Total[[#This Row],[Prç Uni c/ Desc]]*Indusmelec_Total[[#This Row],[Qtd.]]</f>
        <v>26</v>
      </c>
    </row>
    <row r="39" spans="1:11" hidden="1">
      <c r="A39" t="s">
        <v>552</v>
      </c>
      <c r="B39" t="s">
        <v>555</v>
      </c>
      <c r="C39" t="s">
        <v>556</v>
      </c>
      <c r="D39">
        <v>50</v>
      </c>
      <c r="E39">
        <v>0.61</v>
      </c>
      <c r="F39">
        <v>0</v>
      </c>
      <c r="G39">
        <v>0</v>
      </c>
      <c r="H39">
        <v>0.61</v>
      </c>
      <c r="J39" s="6">
        <v>46156</v>
      </c>
      <c r="K39">
        <f>Indusmelec_Total[[#This Row],[Prç Uni c/ Desc]]*Indusmelec_Total[[#This Row],[Qtd.]]</f>
        <v>30.5</v>
      </c>
    </row>
    <row r="40" spans="1:11" hidden="1">
      <c r="A40" t="s">
        <v>560</v>
      </c>
      <c r="B40" t="s">
        <v>563</v>
      </c>
      <c r="C40" t="s">
        <v>564</v>
      </c>
      <c r="D40">
        <v>50</v>
      </c>
      <c r="E40">
        <v>1.1499999999999999</v>
      </c>
      <c r="F40">
        <v>0</v>
      </c>
      <c r="G40">
        <v>0</v>
      </c>
      <c r="H40">
        <v>1.1499999999999999</v>
      </c>
      <c r="I40">
        <v>57.5</v>
      </c>
      <c r="J40" s="6">
        <v>45590</v>
      </c>
      <c r="K40">
        <f>Indusmelec_Total[[#This Row],[Prç Uni c/ Desc]]*Indusmelec_Total[[#This Row],[Qtd.]]</f>
        <v>57.499999999999993</v>
      </c>
    </row>
    <row r="41" spans="1:11" hidden="1">
      <c r="A41" t="s">
        <v>225</v>
      </c>
      <c r="B41" t="s">
        <v>227</v>
      </c>
      <c r="C41" t="s">
        <v>228</v>
      </c>
      <c r="D41">
        <v>2</v>
      </c>
      <c r="E41">
        <v>0.88</v>
      </c>
      <c r="F41">
        <v>0</v>
      </c>
      <c r="G41">
        <v>0</v>
      </c>
      <c r="H41">
        <v>0.88</v>
      </c>
      <c r="I41">
        <v>1.76</v>
      </c>
      <c r="K41">
        <f>Indusmelec_Total[[#This Row],[Prç Uni c/ Desc]]*Indusmelec_Total[[#This Row],[Qtd.]]</f>
        <v>1.76</v>
      </c>
    </row>
    <row r="42" spans="1:11" hidden="1">
      <c r="A42" t="s">
        <v>225</v>
      </c>
      <c r="B42" t="s">
        <v>229</v>
      </c>
      <c r="C42" t="s">
        <v>228</v>
      </c>
      <c r="D42">
        <v>2</v>
      </c>
      <c r="E42">
        <v>0.88</v>
      </c>
      <c r="F42">
        <v>0</v>
      </c>
      <c r="G42">
        <v>0</v>
      </c>
      <c r="H42">
        <v>0.88</v>
      </c>
      <c r="I42">
        <v>1.76</v>
      </c>
      <c r="K42">
        <f>Indusmelec_Total[[#This Row],[Prç Uni c/ Desc]]*Indusmelec_Total[[#This Row],[Qtd.]]</f>
        <v>1.76</v>
      </c>
    </row>
    <row r="43" spans="1:11" hidden="1">
      <c r="A43" t="s">
        <v>225</v>
      </c>
      <c r="B43" t="s">
        <v>230</v>
      </c>
      <c r="C43" t="s">
        <v>228</v>
      </c>
      <c r="D43">
        <v>2</v>
      </c>
      <c r="E43">
        <v>0.88</v>
      </c>
      <c r="F43">
        <v>0</v>
      </c>
      <c r="G43">
        <v>0</v>
      </c>
      <c r="H43">
        <v>0.88</v>
      </c>
      <c r="I43">
        <v>1.76</v>
      </c>
      <c r="K43">
        <f>Indusmelec_Total[[#This Row],[Prç Uni c/ Desc]]*Indusmelec_Total[[#This Row],[Qtd.]]</f>
        <v>1.76</v>
      </c>
    </row>
    <row r="44" spans="1:11" hidden="1">
      <c r="A44" t="s">
        <v>225</v>
      </c>
      <c r="B44" t="s">
        <v>231</v>
      </c>
      <c r="C44" t="s">
        <v>228</v>
      </c>
      <c r="D44">
        <v>2</v>
      </c>
      <c r="E44">
        <v>0.88</v>
      </c>
      <c r="F44">
        <v>0</v>
      </c>
      <c r="G44">
        <v>0</v>
      </c>
      <c r="H44">
        <v>0.88</v>
      </c>
      <c r="I44">
        <v>1.76</v>
      </c>
      <c r="K44">
        <f>Indusmelec_Total[[#This Row],[Prç Uni c/ Desc]]*Indusmelec_Total[[#This Row],[Qtd.]]</f>
        <v>1.76</v>
      </c>
    </row>
    <row r="45" spans="1:11" hidden="1">
      <c r="A45" t="s">
        <v>225</v>
      </c>
      <c r="B45" t="s">
        <v>232</v>
      </c>
      <c r="C45" t="s">
        <v>228</v>
      </c>
      <c r="D45">
        <v>2</v>
      </c>
      <c r="E45">
        <v>0.88</v>
      </c>
      <c r="F45">
        <v>0</v>
      </c>
      <c r="G45">
        <v>0</v>
      </c>
      <c r="H45">
        <v>0.88</v>
      </c>
      <c r="I45">
        <v>1.76</v>
      </c>
      <c r="K45">
        <f>Indusmelec_Total[[#This Row],[Prç Uni c/ Desc]]*Indusmelec_Total[[#This Row],[Qtd.]]</f>
        <v>1.76</v>
      </c>
    </row>
    <row r="46" spans="1:11" hidden="1">
      <c r="A46" t="s">
        <v>225</v>
      </c>
      <c r="B46" t="s">
        <v>233</v>
      </c>
      <c r="C46" t="s">
        <v>228</v>
      </c>
      <c r="D46">
        <v>2</v>
      </c>
      <c r="E46">
        <v>0.88</v>
      </c>
      <c r="F46">
        <v>0</v>
      </c>
      <c r="G46">
        <v>0</v>
      </c>
      <c r="H46">
        <v>0.88</v>
      </c>
      <c r="I46">
        <v>1.76</v>
      </c>
      <c r="K46">
        <f>Indusmelec_Total[[#This Row],[Prç Uni c/ Desc]]*Indusmelec_Total[[#This Row],[Qtd.]]</f>
        <v>1.76</v>
      </c>
    </row>
    <row r="47" spans="1:11" hidden="1">
      <c r="A47" t="s">
        <v>225</v>
      </c>
      <c r="B47" t="s">
        <v>236</v>
      </c>
      <c r="C47" t="s">
        <v>235</v>
      </c>
      <c r="D47">
        <v>2</v>
      </c>
      <c r="E47">
        <v>0.88</v>
      </c>
      <c r="F47">
        <v>0</v>
      </c>
      <c r="G47">
        <v>0</v>
      </c>
      <c r="H47">
        <v>0.88</v>
      </c>
      <c r="I47">
        <v>1.76</v>
      </c>
      <c r="K47">
        <f>Indusmelec_Total[[#This Row],[Prç Uni c/ Desc]]*Indusmelec_Total[[#This Row],[Qtd.]]</f>
        <v>1.76</v>
      </c>
    </row>
    <row r="48" spans="1:11" hidden="1">
      <c r="A48" t="s">
        <v>225</v>
      </c>
      <c r="B48" t="s">
        <v>234</v>
      </c>
      <c r="C48" t="s">
        <v>235</v>
      </c>
      <c r="D48">
        <v>2</v>
      </c>
      <c r="E48">
        <v>0.88</v>
      </c>
      <c r="F48">
        <v>0</v>
      </c>
      <c r="G48">
        <v>0</v>
      </c>
      <c r="H48">
        <v>0.88</v>
      </c>
      <c r="I48">
        <v>1.76</v>
      </c>
      <c r="K48">
        <f>Indusmelec_Total[[#This Row],[Prç Uni c/ Desc]]*Indusmelec_Total[[#This Row],[Qtd.]]</f>
        <v>1.76</v>
      </c>
    </row>
    <row r="49" spans="1:11" hidden="1">
      <c r="A49" t="s">
        <v>593</v>
      </c>
      <c r="B49" t="s">
        <v>594</v>
      </c>
      <c r="C49" t="s">
        <v>595</v>
      </c>
      <c r="D49">
        <v>3</v>
      </c>
      <c r="E49">
        <v>24</v>
      </c>
      <c r="F49">
        <v>0</v>
      </c>
      <c r="G49">
        <v>0</v>
      </c>
      <c r="H49">
        <v>24</v>
      </c>
      <c r="I49">
        <v>72</v>
      </c>
      <c r="J49" s="6">
        <v>45637</v>
      </c>
      <c r="K49">
        <f>Indusmelec_Total[[#This Row],[Prç Uni c/ Desc]]*Indusmelec_Total[[#This Row],[Qtd.]]</f>
        <v>72</v>
      </c>
    </row>
    <row r="50" spans="1:11" hidden="1">
      <c r="A50" t="s">
        <v>339</v>
      </c>
      <c r="B50" t="s">
        <v>340</v>
      </c>
      <c r="C50" t="s">
        <v>341</v>
      </c>
      <c r="D50">
        <v>100</v>
      </c>
      <c r="E50">
        <v>3.16</v>
      </c>
      <c r="F50">
        <v>0.5</v>
      </c>
      <c r="G50">
        <v>0</v>
      </c>
      <c r="H50">
        <v>1.58</v>
      </c>
      <c r="I50">
        <v>158</v>
      </c>
      <c r="J50" s="6">
        <v>45972</v>
      </c>
      <c r="K50">
        <f>Indusmelec_Total[[#This Row],[Prç Uni c/ Desc]]*Indusmelec_Total[[#This Row],[Qtd.]]</f>
        <v>158</v>
      </c>
    </row>
    <row r="51" spans="1:11" hidden="1">
      <c r="A51" t="s">
        <v>545</v>
      </c>
      <c r="B51" t="s">
        <v>340</v>
      </c>
      <c r="C51" t="s">
        <v>341</v>
      </c>
      <c r="D51">
        <v>150</v>
      </c>
      <c r="E51">
        <v>3.1545000000000001</v>
      </c>
      <c r="F51">
        <v>0.5</v>
      </c>
      <c r="G51">
        <v>0</v>
      </c>
      <c r="H51">
        <v>1.57725</v>
      </c>
      <c r="I51">
        <v>236.59</v>
      </c>
      <c r="J51" s="6">
        <v>46155</v>
      </c>
      <c r="K51">
        <f>Indusmelec_Total[[#This Row],[Prç Uni c/ Desc]]*Indusmelec_Total[[#This Row],[Qtd.]]</f>
        <v>236.58750000000001</v>
      </c>
    </row>
    <row r="52" spans="1:11" hidden="1">
      <c r="A52" t="s">
        <v>600</v>
      </c>
      <c r="B52" t="s">
        <v>340</v>
      </c>
      <c r="C52" t="s">
        <v>601</v>
      </c>
      <c r="D52">
        <v>50</v>
      </c>
      <c r="E52">
        <v>3.16</v>
      </c>
      <c r="F52">
        <v>0.5</v>
      </c>
      <c r="G52">
        <v>0</v>
      </c>
      <c r="H52">
        <v>1.58</v>
      </c>
      <c r="I52">
        <v>79</v>
      </c>
      <c r="J52" s="6">
        <v>45961</v>
      </c>
      <c r="K52">
        <f>Indusmelec_Total[[#This Row],[Prç Uni c/ Desc]]*Indusmelec_Total[[#This Row],[Qtd.]]</f>
        <v>79</v>
      </c>
    </row>
    <row r="53" spans="1:11" hidden="1">
      <c r="A53" t="s">
        <v>605</v>
      </c>
      <c r="B53" t="s">
        <v>340</v>
      </c>
      <c r="C53" t="s">
        <v>341</v>
      </c>
      <c r="D53">
        <v>150</v>
      </c>
      <c r="E53">
        <v>3.1545000000000001</v>
      </c>
      <c r="F53">
        <v>0.5</v>
      </c>
      <c r="G53">
        <v>0</v>
      </c>
      <c r="H53">
        <v>1.57725</v>
      </c>
      <c r="I53">
        <v>236.59</v>
      </c>
      <c r="J53" s="6">
        <v>46001</v>
      </c>
      <c r="K53">
        <f>Indusmelec_Total[[#This Row],[Prç Uni c/ Desc]]*Indusmelec_Total[[#This Row],[Qtd.]]</f>
        <v>236.58750000000001</v>
      </c>
    </row>
    <row r="54" spans="1:11" hidden="1">
      <c r="A54" t="s">
        <v>602</v>
      </c>
      <c r="B54" t="s">
        <v>603</v>
      </c>
      <c r="C54" t="s">
        <v>604</v>
      </c>
      <c r="D54">
        <v>50</v>
      </c>
      <c r="E54">
        <v>5.68</v>
      </c>
      <c r="F54">
        <v>0.5</v>
      </c>
      <c r="G54">
        <v>0</v>
      </c>
      <c r="H54">
        <v>2.84</v>
      </c>
      <c r="I54">
        <v>142</v>
      </c>
      <c r="J54" s="6">
        <v>45968</v>
      </c>
      <c r="K54">
        <f>Indusmelec_Total[[#This Row],[Prç Uni c/ Desc]]*Indusmelec_Total[[#This Row],[Qtd.]]</f>
        <v>142</v>
      </c>
    </row>
    <row r="55" spans="1:11" hidden="1">
      <c r="A55" t="s">
        <v>294</v>
      </c>
      <c r="B55" t="s">
        <v>295</v>
      </c>
      <c r="C55" t="s">
        <v>296</v>
      </c>
      <c r="D55">
        <v>50</v>
      </c>
      <c r="E55">
        <v>4.51</v>
      </c>
      <c r="F55">
        <v>0</v>
      </c>
      <c r="G55">
        <v>0</v>
      </c>
      <c r="H55">
        <v>4.51</v>
      </c>
      <c r="I55">
        <v>225.5</v>
      </c>
      <c r="J55" s="6">
        <v>45502</v>
      </c>
      <c r="K55">
        <f>Indusmelec_Total[[#This Row],[Prç Uni c/ Desc]]*Indusmelec_Total[[#This Row],[Qtd.]]</f>
        <v>225.5</v>
      </c>
    </row>
    <row r="56" spans="1:11" hidden="1">
      <c r="A56" t="s">
        <v>225</v>
      </c>
      <c r="B56" t="s">
        <v>237</v>
      </c>
      <c r="C56" t="s">
        <v>238</v>
      </c>
      <c r="D56">
        <v>1</v>
      </c>
      <c r="E56">
        <v>2.8</v>
      </c>
      <c r="F56">
        <v>0</v>
      </c>
      <c r="G56">
        <v>0</v>
      </c>
      <c r="H56">
        <v>2.8</v>
      </c>
      <c r="I56">
        <v>2.8</v>
      </c>
      <c r="K56">
        <f>Indusmelec_Total[[#This Row],[Prç Uni c/ Desc]]*Indusmelec_Total[[#This Row],[Qtd.]]</f>
        <v>2.8</v>
      </c>
    </row>
    <row r="57" spans="1:11" hidden="1">
      <c r="A57" t="s">
        <v>204</v>
      </c>
      <c r="B57" t="s">
        <v>205</v>
      </c>
      <c r="C57" t="s">
        <v>206</v>
      </c>
      <c r="D57">
        <v>2</v>
      </c>
      <c r="E57">
        <v>0.36020000000000002</v>
      </c>
      <c r="F57">
        <v>0.5</v>
      </c>
      <c r="G57">
        <v>0</v>
      </c>
      <c r="H57">
        <v>0.18010000000000001</v>
      </c>
      <c r="I57">
        <v>0.36</v>
      </c>
      <c r="J57" s="6">
        <v>45994</v>
      </c>
      <c r="K57">
        <f>Indusmelec_Total[[#This Row],[Prç Uni c/ Desc]]*Indusmelec_Total[[#This Row],[Qtd.]]</f>
        <v>0.36020000000000002</v>
      </c>
    </row>
    <row r="58" spans="1:11" hidden="1">
      <c r="A58" t="s">
        <v>264</v>
      </c>
      <c r="B58" t="s">
        <v>265</v>
      </c>
      <c r="C58" t="s">
        <v>266</v>
      </c>
      <c r="D58">
        <v>10</v>
      </c>
      <c r="E58">
        <v>3.4</v>
      </c>
      <c r="F58">
        <v>0.45</v>
      </c>
      <c r="G58">
        <v>0</v>
      </c>
      <c r="H58">
        <v>1.87</v>
      </c>
      <c r="I58">
        <v>18.7</v>
      </c>
      <c r="J58" s="6">
        <v>46168</v>
      </c>
      <c r="K58">
        <f>Indusmelec_Total[[#This Row],[Prç Uni c/ Desc]]*Indusmelec_Total[[#This Row],[Qtd.]]</f>
        <v>18.700000000000003</v>
      </c>
    </row>
    <row r="59" spans="1:11" hidden="1">
      <c r="A59" t="s">
        <v>264</v>
      </c>
      <c r="B59" t="s">
        <v>269</v>
      </c>
      <c r="C59" t="s">
        <v>270</v>
      </c>
      <c r="D59">
        <v>2</v>
      </c>
      <c r="E59">
        <v>0.74</v>
      </c>
      <c r="F59">
        <v>0.45</v>
      </c>
      <c r="G59">
        <v>0</v>
      </c>
      <c r="H59">
        <v>0.40700000000000003</v>
      </c>
      <c r="I59">
        <v>0.81</v>
      </c>
      <c r="J59" s="6">
        <v>46168</v>
      </c>
      <c r="K59">
        <f>Indusmelec_Total[[#This Row],[Prç Uni c/ Desc]]*Indusmelec_Total[[#This Row],[Qtd.]]</f>
        <v>0.81400000000000006</v>
      </c>
    </row>
    <row r="60" spans="1:11" hidden="1">
      <c r="A60" t="s">
        <v>264</v>
      </c>
      <c r="B60" t="s">
        <v>267</v>
      </c>
      <c r="C60" t="s">
        <v>268</v>
      </c>
      <c r="D60">
        <v>2</v>
      </c>
      <c r="E60">
        <v>0.74</v>
      </c>
      <c r="F60">
        <v>0.45</v>
      </c>
      <c r="G60">
        <v>0</v>
      </c>
      <c r="H60">
        <v>0.40700000000000003</v>
      </c>
      <c r="I60">
        <v>0.81</v>
      </c>
      <c r="J60" s="6">
        <v>46168</v>
      </c>
      <c r="K60">
        <f>Indusmelec_Total[[#This Row],[Prç Uni c/ Desc]]*Indusmelec_Total[[#This Row],[Qtd.]]</f>
        <v>0.81400000000000006</v>
      </c>
    </row>
    <row r="61" spans="1:11" hidden="1">
      <c r="A61" t="s">
        <v>49</v>
      </c>
      <c r="B61" t="s">
        <v>57</v>
      </c>
      <c r="C61" t="s">
        <v>58</v>
      </c>
      <c r="D61">
        <v>4</v>
      </c>
      <c r="E61">
        <v>3.85</v>
      </c>
      <c r="F61">
        <v>0</v>
      </c>
      <c r="G61">
        <v>0</v>
      </c>
      <c r="H61">
        <v>3.85</v>
      </c>
      <c r="I61">
        <v>15.4</v>
      </c>
      <c r="J61" s="6">
        <v>45460</v>
      </c>
      <c r="K61">
        <f>Indusmelec_Total[[#This Row],[Prç Uni c/ Desc]]*Indusmelec_Total[[#This Row],[Qtd.]]</f>
        <v>15.4</v>
      </c>
    </row>
    <row r="62" spans="1:11" hidden="1">
      <c r="A62" t="s">
        <v>49</v>
      </c>
      <c r="B62" t="s">
        <v>59</v>
      </c>
      <c r="C62" t="s">
        <v>60</v>
      </c>
      <c r="D62">
        <v>2</v>
      </c>
      <c r="E62">
        <v>1.84</v>
      </c>
      <c r="F62">
        <v>0</v>
      </c>
      <c r="G62">
        <v>0</v>
      </c>
      <c r="H62">
        <v>1.84</v>
      </c>
      <c r="I62">
        <v>3.68</v>
      </c>
      <c r="J62" s="6">
        <v>45460</v>
      </c>
      <c r="K62">
        <f>Indusmelec_Total[[#This Row],[Prç Uni c/ Desc]]*Indusmelec_Total[[#This Row],[Qtd.]]</f>
        <v>3.68</v>
      </c>
    </row>
    <row r="63" spans="1:11" hidden="1">
      <c r="A63" t="s">
        <v>147</v>
      </c>
      <c r="B63" t="s">
        <v>148</v>
      </c>
      <c r="C63" t="s">
        <v>149</v>
      </c>
      <c r="D63">
        <v>16</v>
      </c>
      <c r="E63">
        <v>2.3199999999999998</v>
      </c>
      <c r="F63">
        <v>0.45</v>
      </c>
      <c r="G63">
        <v>0</v>
      </c>
      <c r="H63">
        <v>1.276</v>
      </c>
      <c r="I63">
        <v>20.420000000000002</v>
      </c>
      <c r="J63" s="6">
        <v>46052</v>
      </c>
      <c r="K63">
        <f>Indusmelec_Total[[#This Row],[Prç Uni c/ Desc]]*Indusmelec_Total[[#This Row],[Qtd.]]</f>
        <v>20.416</v>
      </c>
    </row>
    <row r="64" spans="1:11" hidden="1">
      <c r="A64" t="s">
        <v>188</v>
      </c>
      <c r="B64" t="s">
        <v>148</v>
      </c>
      <c r="C64" t="s">
        <v>149</v>
      </c>
      <c r="D64">
        <v>2</v>
      </c>
      <c r="E64">
        <v>2.3199999999999998</v>
      </c>
      <c r="F64">
        <v>0.3</v>
      </c>
      <c r="G64">
        <v>0</v>
      </c>
      <c r="H64">
        <v>1.6239999999999999</v>
      </c>
      <c r="I64">
        <v>3.25</v>
      </c>
      <c r="J64" s="6">
        <v>46057</v>
      </c>
      <c r="K64">
        <f>Indusmelec_Total[[#This Row],[Prç Uni c/ Desc]]*Indusmelec_Total[[#This Row],[Qtd.]]</f>
        <v>3.2479999999999998</v>
      </c>
    </row>
    <row r="65" spans="1:11" hidden="1">
      <c r="A65" t="s">
        <v>147</v>
      </c>
      <c r="B65" t="s">
        <v>154</v>
      </c>
      <c r="C65" t="s">
        <v>155</v>
      </c>
      <c r="D65">
        <v>3</v>
      </c>
      <c r="E65">
        <v>0.7</v>
      </c>
      <c r="F65">
        <v>0.45</v>
      </c>
      <c r="G65">
        <v>0</v>
      </c>
      <c r="H65">
        <v>0.38500000000000001</v>
      </c>
      <c r="I65">
        <v>1.1599999999999999</v>
      </c>
      <c r="J65" s="6">
        <v>46052</v>
      </c>
      <c r="K65">
        <f>Indusmelec_Total[[#This Row],[Prç Uni c/ Desc]]*Indusmelec_Total[[#This Row],[Qtd.]]</f>
        <v>1.155</v>
      </c>
    </row>
    <row r="66" spans="1:11" hidden="1">
      <c r="A66" t="s">
        <v>147</v>
      </c>
      <c r="B66" t="s">
        <v>150</v>
      </c>
      <c r="C66" t="s">
        <v>151</v>
      </c>
      <c r="D66">
        <v>3</v>
      </c>
      <c r="E66">
        <v>0.7</v>
      </c>
      <c r="F66">
        <v>0.45</v>
      </c>
      <c r="G66">
        <v>0</v>
      </c>
      <c r="H66">
        <v>0.38500000000000001</v>
      </c>
      <c r="I66">
        <v>1.1599999999999999</v>
      </c>
      <c r="J66" s="6">
        <v>46052</v>
      </c>
      <c r="K66">
        <f>Indusmelec_Total[[#This Row],[Prç Uni c/ Desc]]*Indusmelec_Total[[#This Row],[Qtd.]]</f>
        <v>1.155</v>
      </c>
    </row>
    <row r="67" spans="1:11" hidden="1">
      <c r="A67" t="s">
        <v>188</v>
      </c>
      <c r="B67" t="s">
        <v>150</v>
      </c>
      <c r="C67" t="s">
        <v>151</v>
      </c>
      <c r="D67">
        <v>2</v>
      </c>
      <c r="E67">
        <v>0.7</v>
      </c>
      <c r="F67">
        <v>0.3</v>
      </c>
      <c r="G67">
        <v>0</v>
      </c>
      <c r="H67">
        <v>0.48999999999999994</v>
      </c>
      <c r="I67">
        <v>0.98</v>
      </c>
      <c r="J67" s="6">
        <v>46057</v>
      </c>
      <c r="K67">
        <f>Indusmelec_Total[[#This Row],[Prç Uni c/ Desc]]*Indusmelec_Total[[#This Row],[Qtd.]]</f>
        <v>0.97999999999999987</v>
      </c>
    </row>
    <row r="68" spans="1:11" hidden="1">
      <c r="A68" t="s">
        <v>147</v>
      </c>
      <c r="B68" t="s">
        <v>152</v>
      </c>
      <c r="C68" t="s">
        <v>153</v>
      </c>
      <c r="D68">
        <v>1</v>
      </c>
      <c r="E68">
        <v>0.7</v>
      </c>
      <c r="F68">
        <v>0.45</v>
      </c>
      <c r="G68">
        <v>0</v>
      </c>
      <c r="H68">
        <v>0.38500000000000001</v>
      </c>
      <c r="I68">
        <v>0.39</v>
      </c>
      <c r="J68" s="6">
        <v>46052</v>
      </c>
      <c r="K68">
        <f>Indusmelec_Total[[#This Row],[Prç Uni c/ Desc]]*Indusmelec_Total[[#This Row],[Qtd.]]</f>
        <v>0.38500000000000001</v>
      </c>
    </row>
    <row r="69" spans="1:11" hidden="1">
      <c r="A69" t="s">
        <v>147</v>
      </c>
      <c r="B69" t="s">
        <v>156</v>
      </c>
      <c r="C69" t="s">
        <v>157</v>
      </c>
      <c r="D69">
        <v>1</v>
      </c>
      <c r="E69">
        <v>2.6</v>
      </c>
      <c r="F69">
        <v>0.4</v>
      </c>
      <c r="G69">
        <v>0</v>
      </c>
      <c r="H69">
        <v>1.56</v>
      </c>
      <c r="I69">
        <v>1.56</v>
      </c>
      <c r="J69" s="6">
        <v>46052</v>
      </c>
      <c r="K69">
        <f>Indusmelec_Total[[#This Row],[Prç Uni c/ Desc]]*Indusmelec_Total[[#This Row],[Qtd.]]</f>
        <v>1.56</v>
      </c>
    </row>
    <row r="70" spans="1:11" hidden="1">
      <c r="A70" t="s">
        <v>460</v>
      </c>
      <c r="B70" t="s">
        <v>461</v>
      </c>
      <c r="C70" t="s">
        <v>462</v>
      </c>
      <c r="D70">
        <v>1</v>
      </c>
      <c r="E70">
        <v>5.6</v>
      </c>
      <c r="F70">
        <v>0</v>
      </c>
      <c r="G70">
        <v>0</v>
      </c>
      <c r="H70">
        <v>5.6</v>
      </c>
      <c r="I70">
        <v>5.6</v>
      </c>
      <c r="J70" s="6">
        <v>45853</v>
      </c>
      <c r="K70">
        <f>Indusmelec_Total[[#This Row],[Prç Uni c/ Desc]]*Indusmelec_Total[[#This Row],[Qtd.]]</f>
        <v>5.6</v>
      </c>
    </row>
    <row r="71" spans="1:11" hidden="1">
      <c r="A71" t="s">
        <v>332</v>
      </c>
      <c r="B71" t="s">
        <v>333</v>
      </c>
      <c r="C71" t="s">
        <v>334</v>
      </c>
      <c r="D71">
        <v>3</v>
      </c>
      <c r="E71">
        <v>181.69</v>
      </c>
      <c r="F71">
        <v>0.3</v>
      </c>
      <c r="G71">
        <v>0</v>
      </c>
      <c r="H71">
        <v>127.18299999999999</v>
      </c>
      <c r="I71">
        <v>381.55</v>
      </c>
      <c r="J71" s="6">
        <v>46092</v>
      </c>
      <c r="K71">
        <f>Indusmelec_Total[[#This Row],[Prç Uni c/ Desc]]*Indusmelec_Total[[#This Row],[Qtd.]]</f>
        <v>381.54899999999998</v>
      </c>
    </row>
    <row r="72" spans="1:11" hidden="1">
      <c r="A72" t="s">
        <v>452</v>
      </c>
      <c r="B72" t="s">
        <v>333</v>
      </c>
      <c r="C72" t="s">
        <v>334</v>
      </c>
      <c r="D72">
        <v>3</v>
      </c>
      <c r="E72">
        <v>130</v>
      </c>
      <c r="F72">
        <v>0</v>
      </c>
      <c r="G72">
        <v>0</v>
      </c>
      <c r="H72">
        <v>130</v>
      </c>
      <c r="I72">
        <v>390</v>
      </c>
      <c r="J72" s="6">
        <v>45839</v>
      </c>
      <c r="K72">
        <f>Indusmelec_Total[[#This Row],[Prç Uni c/ Desc]]*Indusmelec_Total[[#This Row],[Qtd.]]</f>
        <v>390</v>
      </c>
    </row>
    <row r="73" spans="1:11" hidden="1">
      <c r="A73" t="s">
        <v>332</v>
      </c>
      <c r="B73" t="s">
        <v>337</v>
      </c>
      <c r="C73" t="s">
        <v>338</v>
      </c>
      <c r="D73">
        <v>1</v>
      </c>
      <c r="E73">
        <v>20.37</v>
      </c>
      <c r="F73">
        <v>0</v>
      </c>
      <c r="G73">
        <v>0</v>
      </c>
      <c r="H73">
        <v>20.37</v>
      </c>
      <c r="I73">
        <v>20.37</v>
      </c>
      <c r="J73" s="6">
        <v>46092</v>
      </c>
      <c r="K73">
        <f>Indusmelec_Total[[#This Row],[Prç Uni c/ Desc]]*Indusmelec_Total[[#This Row],[Qtd.]]</f>
        <v>20.37</v>
      </c>
    </row>
    <row r="74" spans="1:11" hidden="1">
      <c r="A74" t="s">
        <v>539</v>
      </c>
      <c r="B74" t="s">
        <v>543</v>
      </c>
      <c r="C74" t="s">
        <v>544</v>
      </c>
      <c r="D74">
        <v>1</v>
      </c>
      <c r="E74">
        <v>29.76</v>
      </c>
      <c r="F74">
        <v>0.4</v>
      </c>
      <c r="G74">
        <v>0.02</v>
      </c>
      <c r="H74">
        <v>17.49888</v>
      </c>
      <c r="I74">
        <v>17.5</v>
      </c>
      <c r="J74" s="6">
        <v>46153</v>
      </c>
      <c r="K74">
        <f>Indusmelec_Total[[#This Row],[Prç Uni c/ Desc]]*Indusmelec_Total[[#This Row],[Qtd.]]</f>
        <v>17.49888</v>
      </c>
    </row>
    <row r="75" spans="1:11" hidden="1">
      <c r="A75" t="s">
        <v>215</v>
      </c>
      <c r="B75" t="s">
        <v>218</v>
      </c>
      <c r="C75" t="s">
        <v>219</v>
      </c>
      <c r="D75">
        <v>21</v>
      </c>
      <c r="E75">
        <v>8.44</v>
      </c>
      <c r="F75">
        <v>0.28000000000000003</v>
      </c>
      <c r="G75">
        <v>0</v>
      </c>
      <c r="H75">
        <v>6.0767999999999995</v>
      </c>
      <c r="I75">
        <v>127.61</v>
      </c>
      <c r="J75" s="6">
        <v>45625</v>
      </c>
      <c r="K75">
        <f>Indusmelec_Total[[#This Row],[Prç Uni c/ Desc]]*Indusmelec_Total[[#This Row],[Qtd.]]</f>
        <v>127.61279999999999</v>
      </c>
    </row>
    <row r="76" spans="1:11" hidden="1">
      <c r="A76" t="s">
        <v>73</v>
      </c>
      <c r="B76" t="s">
        <v>62</v>
      </c>
      <c r="C76" t="s">
        <v>74</v>
      </c>
      <c r="D76">
        <v>320</v>
      </c>
      <c r="E76">
        <v>1.6</v>
      </c>
      <c r="F76">
        <v>0</v>
      </c>
      <c r="G76">
        <v>0</v>
      </c>
      <c r="H76">
        <v>1.6</v>
      </c>
      <c r="I76">
        <v>512</v>
      </c>
      <c r="J76" s="6">
        <v>45841</v>
      </c>
      <c r="K76">
        <f>Indusmelec_Total[[#This Row],[Prç Uni c/ Desc]]*Indusmelec_Total[[#This Row],[Qtd.]]</f>
        <v>512</v>
      </c>
    </row>
    <row r="77" spans="1:11" hidden="1">
      <c r="A77" t="s">
        <v>61</v>
      </c>
      <c r="B77" t="s">
        <v>62</v>
      </c>
      <c r="C77" t="s">
        <v>63</v>
      </c>
      <c r="D77">
        <v>320</v>
      </c>
      <c r="E77">
        <v>1.6</v>
      </c>
      <c r="F77">
        <v>0</v>
      </c>
      <c r="G77">
        <v>0</v>
      </c>
      <c r="H77">
        <v>1.6</v>
      </c>
      <c r="I77">
        <v>-512</v>
      </c>
      <c r="K77">
        <f>Indusmelec_Total[[#This Row],[Prç Uni c/ Desc]]*Indusmelec_Total[[#This Row],[Qtd.]]</f>
        <v>512</v>
      </c>
    </row>
    <row r="78" spans="1:11" hidden="1">
      <c r="A78" t="s">
        <v>453</v>
      </c>
      <c r="B78" t="s">
        <v>62</v>
      </c>
      <c r="C78" t="s">
        <v>454</v>
      </c>
      <c r="D78">
        <v>200</v>
      </c>
      <c r="E78">
        <v>1.6</v>
      </c>
      <c r="F78">
        <v>0</v>
      </c>
      <c r="G78">
        <v>0</v>
      </c>
      <c r="H78">
        <v>1.6</v>
      </c>
      <c r="I78">
        <v>320</v>
      </c>
      <c r="J78" s="6">
        <v>45853</v>
      </c>
      <c r="K78">
        <f>Indusmelec_Total[[#This Row],[Prç Uni c/ Desc]]*Indusmelec_Total[[#This Row],[Qtd.]]</f>
        <v>320</v>
      </c>
    </row>
    <row r="79" spans="1:11" hidden="1">
      <c r="A79" t="s">
        <v>195</v>
      </c>
      <c r="B79" t="s">
        <v>200</v>
      </c>
      <c r="C79" t="s">
        <v>201</v>
      </c>
      <c r="D79">
        <v>265</v>
      </c>
      <c r="E79">
        <v>1.83</v>
      </c>
      <c r="F79">
        <v>0</v>
      </c>
      <c r="G79">
        <v>0</v>
      </c>
      <c r="H79">
        <v>1.83</v>
      </c>
      <c r="I79">
        <v>484.95</v>
      </c>
      <c r="J79" s="6">
        <v>45593</v>
      </c>
      <c r="K79">
        <f>Indusmelec_Total[[#This Row],[Prç Uni c/ Desc]]*Indusmelec_Total[[#This Row],[Qtd.]]</f>
        <v>484.95000000000005</v>
      </c>
    </row>
    <row r="80" spans="1:11" hidden="1">
      <c r="A80" t="s">
        <v>195</v>
      </c>
      <c r="B80" t="s">
        <v>196</v>
      </c>
      <c r="C80" t="s">
        <v>197</v>
      </c>
      <c r="D80">
        <v>360</v>
      </c>
      <c r="E80">
        <v>3.4</v>
      </c>
      <c r="F80">
        <v>0</v>
      </c>
      <c r="G80">
        <v>0</v>
      </c>
      <c r="H80">
        <v>3.4</v>
      </c>
      <c r="I80">
        <v>1224</v>
      </c>
      <c r="J80" s="6">
        <v>45593</v>
      </c>
      <c r="K80">
        <f>Indusmelec_Total[[#This Row],[Prç Uni c/ Desc]]*Indusmelec_Total[[#This Row],[Qtd.]]</f>
        <v>1224</v>
      </c>
    </row>
    <row r="81" spans="1:11" hidden="1">
      <c r="A81" t="s">
        <v>301</v>
      </c>
      <c r="B81" t="s">
        <v>302</v>
      </c>
      <c r="C81" t="s">
        <v>303</v>
      </c>
      <c r="D81">
        <v>305</v>
      </c>
      <c r="E81">
        <v>0.36</v>
      </c>
      <c r="F81">
        <v>0</v>
      </c>
      <c r="G81">
        <v>0</v>
      </c>
      <c r="H81">
        <v>0.36</v>
      </c>
      <c r="I81">
        <v>109.8</v>
      </c>
      <c r="J81" s="6">
        <v>45457</v>
      </c>
      <c r="K81">
        <f>Indusmelec_Total[[#This Row],[Prç Uni c/ Desc]]*Indusmelec_Total[[#This Row],[Qtd.]]</f>
        <v>109.8</v>
      </c>
    </row>
    <row r="82" spans="1:11" hidden="1">
      <c r="A82" t="s">
        <v>560</v>
      </c>
      <c r="B82" t="s">
        <v>565</v>
      </c>
      <c r="C82" t="s">
        <v>566</v>
      </c>
      <c r="D82">
        <v>300</v>
      </c>
      <c r="E82">
        <v>0.59</v>
      </c>
      <c r="F82">
        <v>0</v>
      </c>
      <c r="G82">
        <v>0</v>
      </c>
      <c r="H82">
        <v>0.59</v>
      </c>
      <c r="I82">
        <v>177</v>
      </c>
      <c r="J82" s="6">
        <v>45590</v>
      </c>
      <c r="K82">
        <f>Indusmelec_Total[[#This Row],[Prç Uni c/ Desc]]*Indusmelec_Total[[#This Row],[Qtd.]]</f>
        <v>177</v>
      </c>
    </row>
    <row r="83" spans="1:11" hidden="1">
      <c r="A83" t="s">
        <v>297</v>
      </c>
      <c r="B83" t="s">
        <v>298</v>
      </c>
      <c r="C83" t="s">
        <v>299</v>
      </c>
      <c r="D83">
        <v>200</v>
      </c>
      <c r="E83">
        <v>0.66</v>
      </c>
      <c r="F83">
        <v>0</v>
      </c>
      <c r="G83">
        <v>0</v>
      </c>
      <c r="H83">
        <v>0.66</v>
      </c>
      <c r="I83">
        <v>132</v>
      </c>
      <c r="J83" s="6">
        <v>45502</v>
      </c>
      <c r="K83">
        <f>Indusmelec_Total[[#This Row],[Prç Uni c/ Desc]]*Indusmelec_Total[[#This Row],[Qtd.]]</f>
        <v>132</v>
      </c>
    </row>
    <row r="84" spans="1:11" hidden="1">
      <c r="A84" t="s">
        <v>195</v>
      </c>
      <c r="B84" t="s">
        <v>198</v>
      </c>
      <c r="C84" t="s">
        <v>199</v>
      </c>
      <c r="D84">
        <v>1</v>
      </c>
      <c r="E84">
        <v>135</v>
      </c>
      <c r="F84">
        <v>0</v>
      </c>
      <c r="G84">
        <v>0</v>
      </c>
      <c r="H84">
        <v>135</v>
      </c>
      <c r="I84">
        <v>135</v>
      </c>
      <c r="J84" s="6">
        <v>45593</v>
      </c>
      <c r="K84">
        <f>Indusmelec_Total[[#This Row],[Prç Uni c/ Desc]]*Indusmelec_Total[[#This Row],[Qtd.]]</f>
        <v>135</v>
      </c>
    </row>
    <row r="85" spans="1:11" hidden="1">
      <c r="A85" t="s">
        <v>195</v>
      </c>
      <c r="B85" t="s">
        <v>202</v>
      </c>
      <c r="C85" t="s">
        <v>203</v>
      </c>
      <c r="D85">
        <v>1</v>
      </c>
      <c r="E85">
        <v>90</v>
      </c>
      <c r="F85">
        <v>0</v>
      </c>
      <c r="G85">
        <v>0</v>
      </c>
      <c r="H85">
        <v>90</v>
      </c>
      <c r="I85">
        <v>90</v>
      </c>
      <c r="J85" s="6">
        <v>45593</v>
      </c>
      <c r="K85">
        <f>Indusmelec_Total[[#This Row],[Prç Uni c/ Desc]]*Indusmelec_Total[[#This Row],[Qtd.]]</f>
        <v>90</v>
      </c>
    </row>
    <row r="86" spans="1:11" hidden="1">
      <c r="A86" t="s">
        <v>425</v>
      </c>
      <c r="B86" t="s">
        <v>428</v>
      </c>
      <c r="C86" t="s">
        <v>429</v>
      </c>
      <c r="D86">
        <v>500</v>
      </c>
      <c r="E86">
        <v>0.63300000000000001</v>
      </c>
      <c r="F86">
        <v>0</v>
      </c>
      <c r="G86">
        <v>0</v>
      </c>
      <c r="H86">
        <v>0.63300000000000001</v>
      </c>
      <c r="I86">
        <v>316.5</v>
      </c>
      <c r="J86" s="6">
        <v>45454</v>
      </c>
      <c r="K86">
        <f>Indusmelec_Total[[#This Row],[Prç Uni c/ Desc]]*Indusmelec_Total[[#This Row],[Qtd.]]</f>
        <v>316.5</v>
      </c>
    </row>
    <row r="87" spans="1:11" hidden="1">
      <c r="A87" t="s">
        <v>430</v>
      </c>
      <c r="B87" t="s">
        <v>428</v>
      </c>
      <c r="C87" t="s">
        <v>429</v>
      </c>
      <c r="D87">
        <v>500</v>
      </c>
      <c r="E87">
        <v>0.63300000000000001</v>
      </c>
      <c r="F87">
        <v>0</v>
      </c>
      <c r="G87">
        <v>0</v>
      </c>
      <c r="H87">
        <v>0.63300000000000001</v>
      </c>
      <c r="I87">
        <v>316.5</v>
      </c>
      <c r="J87" s="6">
        <v>45475</v>
      </c>
      <c r="K87">
        <f>Indusmelec_Total[[#This Row],[Prç Uni c/ Desc]]*Indusmelec_Total[[#This Row],[Qtd.]]</f>
        <v>316.5</v>
      </c>
    </row>
    <row r="88" spans="1:11" hidden="1">
      <c r="A88" t="s">
        <v>514</v>
      </c>
      <c r="B88" t="s">
        <v>428</v>
      </c>
      <c r="C88" t="s">
        <v>429</v>
      </c>
      <c r="D88">
        <v>200</v>
      </c>
      <c r="E88">
        <v>0.72</v>
      </c>
      <c r="F88">
        <v>0</v>
      </c>
      <c r="G88">
        <v>0</v>
      </c>
      <c r="H88">
        <v>0.72</v>
      </c>
      <c r="I88">
        <v>144</v>
      </c>
      <c r="J88" s="6">
        <v>46139</v>
      </c>
      <c r="K88">
        <f>Indusmelec_Total[[#This Row],[Prç Uni c/ Desc]]*Indusmelec_Total[[#This Row],[Qtd.]]</f>
        <v>144</v>
      </c>
    </row>
    <row r="89" spans="1:11" hidden="1">
      <c r="A89" t="s">
        <v>183</v>
      </c>
      <c r="B89" t="s">
        <v>184</v>
      </c>
      <c r="C89" t="s">
        <v>185</v>
      </c>
      <c r="D89">
        <v>224</v>
      </c>
      <c r="E89">
        <v>1.1499999999999999</v>
      </c>
      <c r="F89">
        <v>0</v>
      </c>
      <c r="G89">
        <v>0</v>
      </c>
      <c r="H89">
        <v>1.1499999999999999</v>
      </c>
      <c r="I89">
        <v>257.60000000000002</v>
      </c>
      <c r="J89" s="6">
        <v>45937</v>
      </c>
      <c r="K89">
        <f>Indusmelec_Total[[#This Row],[Prç Uni c/ Desc]]*Indusmelec_Total[[#This Row],[Qtd.]]</f>
        <v>257.59999999999997</v>
      </c>
    </row>
    <row r="90" spans="1:11" hidden="1">
      <c r="A90" t="s">
        <v>178</v>
      </c>
      <c r="B90" t="s">
        <v>179</v>
      </c>
      <c r="C90" t="s">
        <v>180</v>
      </c>
      <c r="D90">
        <v>300</v>
      </c>
      <c r="E90">
        <v>0.59</v>
      </c>
      <c r="F90">
        <v>0</v>
      </c>
      <c r="G90">
        <v>0</v>
      </c>
      <c r="H90">
        <v>0.59</v>
      </c>
      <c r="I90">
        <v>177</v>
      </c>
      <c r="J90" s="6">
        <v>45537</v>
      </c>
      <c r="K90">
        <f>Indusmelec_Total[[#This Row],[Prç Uni c/ Desc]]*Indusmelec_Total[[#This Row],[Qtd.]]</f>
        <v>177</v>
      </c>
    </row>
    <row r="91" spans="1:11" hidden="1">
      <c r="A91" t="s">
        <v>181</v>
      </c>
      <c r="B91" t="s">
        <v>179</v>
      </c>
      <c r="C91" t="s">
        <v>182</v>
      </c>
      <c r="D91">
        <v>100</v>
      </c>
      <c r="E91">
        <v>0.65</v>
      </c>
      <c r="F91">
        <v>0</v>
      </c>
      <c r="G91">
        <v>0</v>
      </c>
      <c r="H91">
        <v>0.65</v>
      </c>
      <c r="I91">
        <v>65</v>
      </c>
      <c r="J91" s="6">
        <v>45932</v>
      </c>
      <c r="K91">
        <f>Indusmelec_Total[[#This Row],[Prç Uni c/ Desc]]*Indusmelec_Total[[#This Row],[Qtd.]]</f>
        <v>65</v>
      </c>
    </row>
    <row r="92" spans="1:11" hidden="1">
      <c r="A92" t="s">
        <v>572</v>
      </c>
      <c r="B92" t="s">
        <v>579</v>
      </c>
      <c r="C92" t="s">
        <v>580</v>
      </c>
      <c r="D92">
        <v>200</v>
      </c>
      <c r="E92">
        <v>0.93</v>
      </c>
      <c r="F92">
        <v>0</v>
      </c>
      <c r="G92">
        <v>0</v>
      </c>
      <c r="H92">
        <v>0.93</v>
      </c>
      <c r="I92">
        <v>186</v>
      </c>
      <c r="J92" s="6">
        <v>45923</v>
      </c>
      <c r="K92">
        <f>Indusmelec_Total[[#This Row],[Prç Uni c/ Desc]]*Indusmelec_Total[[#This Row],[Qtd.]]</f>
        <v>186</v>
      </c>
    </row>
    <row r="93" spans="1:11" hidden="1">
      <c r="A93" t="s">
        <v>327</v>
      </c>
      <c r="B93" t="s">
        <v>328</v>
      </c>
      <c r="C93" t="s">
        <v>329</v>
      </c>
      <c r="D93">
        <v>5</v>
      </c>
      <c r="E93">
        <v>1.75</v>
      </c>
      <c r="F93">
        <v>0</v>
      </c>
      <c r="G93">
        <v>0</v>
      </c>
      <c r="H93">
        <v>1.75</v>
      </c>
      <c r="J93" s="6">
        <v>46091</v>
      </c>
      <c r="K93">
        <f>Indusmelec_Total[[#This Row],[Prç Uni c/ Desc]]*Indusmelec_Total[[#This Row],[Qtd.]]</f>
        <v>8.75</v>
      </c>
    </row>
    <row r="94" spans="1:11" hidden="1">
      <c r="A94" t="s">
        <v>188</v>
      </c>
      <c r="B94" t="s">
        <v>189</v>
      </c>
      <c r="C94" t="s">
        <v>190</v>
      </c>
      <c r="D94">
        <v>20</v>
      </c>
      <c r="E94">
        <v>4.5</v>
      </c>
      <c r="F94">
        <v>0</v>
      </c>
      <c r="G94">
        <v>0</v>
      </c>
      <c r="H94">
        <v>4.5</v>
      </c>
      <c r="I94">
        <v>90</v>
      </c>
      <c r="J94" s="6">
        <v>46057</v>
      </c>
      <c r="K94">
        <f>Indusmelec_Total[[#This Row],[Prç Uni c/ Desc]]*Indusmelec_Total[[#This Row],[Qtd.]]</f>
        <v>90</v>
      </c>
    </row>
    <row r="95" spans="1:11" hidden="1">
      <c r="A95" t="s">
        <v>504</v>
      </c>
      <c r="B95" t="s">
        <v>507</v>
      </c>
      <c r="C95" t="s">
        <v>508</v>
      </c>
      <c r="D95">
        <v>100</v>
      </c>
      <c r="E95">
        <v>3.93</v>
      </c>
      <c r="F95">
        <v>0</v>
      </c>
      <c r="G95">
        <v>0</v>
      </c>
      <c r="H95">
        <v>3.93</v>
      </c>
      <c r="I95">
        <v>393</v>
      </c>
      <c r="J95" s="6">
        <v>45677</v>
      </c>
      <c r="K95">
        <f>Indusmelec_Total[[#This Row],[Prç Uni c/ Desc]]*Indusmelec_Total[[#This Row],[Qtd.]]</f>
        <v>393</v>
      </c>
    </row>
    <row r="96" spans="1:11" hidden="1">
      <c r="A96" t="s">
        <v>327</v>
      </c>
      <c r="B96" t="s">
        <v>330</v>
      </c>
      <c r="C96" t="s">
        <v>331</v>
      </c>
      <c r="D96">
        <v>5</v>
      </c>
      <c r="E96">
        <v>1.33</v>
      </c>
      <c r="F96">
        <v>0</v>
      </c>
      <c r="G96">
        <v>0</v>
      </c>
      <c r="H96">
        <v>1.33</v>
      </c>
      <c r="J96" s="6">
        <v>46091</v>
      </c>
      <c r="K96">
        <f>Indusmelec_Total[[#This Row],[Prç Uni c/ Desc]]*Indusmelec_Total[[#This Row],[Qtd.]]</f>
        <v>6.65</v>
      </c>
    </row>
    <row r="97" spans="1:11" hidden="1">
      <c r="A97" t="s">
        <v>99</v>
      </c>
      <c r="B97" t="s">
        <v>100</v>
      </c>
      <c r="C97" t="s">
        <v>101</v>
      </c>
      <c r="D97">
        <v>20</v>
      </c>
      <c r="E97">
        <v>6.5</v>
      </c>
      <c r="F97">
        <v>0</v>
      </c>
      <c r="G97">
        <v>0</v>
      </c>
      <c r="H97">
        <v>6.5</v>
      </c>
      <c r="I97">
        <v>130</v>
      </c>
      <c r="J97" s="6">
        <v>45989</v>
      </c>
      <c r="K97">
        <f>Indusmelec_Total[[#This Row],[Prç Uni c/ Desc]]*Indusmelec_Total[[#This Row],[Qtd.]]</f>
        <v>130</v>
      </c>
    </row>
    <row r="98" spans="1:11" hidden="1">
      <c r="A98" t="s">
        <v>96</v>
      </c>
      <c r="B98" t="s">
        <v>97</v>
      </c>
      <c r="C98" t="s">
        <v>98</v>
      </c>
      <c r="D98">
        <v>20</v>
      </c>
      <c r="E98">
        <v>9.4499999999999993</v>
      </c>
      <c r="F98">
        <v>0</v>
      </c>
      <c r="G98">
        <v>0</v>
      </c>
      <c r="H98">
        <v>9.4499999999999993</v>
      </c>
      <c r="I98">
        <v>189</v>
      </c>
      <c r="J98" s="6">
        <v>45988</v>
      </c>
      <c r="K98">
        <f>Indusmelec_Total[[#This Row],[Prç Uni c/ Desc]]*Indusmelec_Total[[#This Row],[Qtd.]]</f>
        <v>189</v>
      </c>
    </row>
    <row r="99" spans="1:11" hidden="1">
      <c r="A99" t="s">
        <v>9</v>
      </c>
      <c r="B99" t="s">
        <v>10</v>
      </c>
      <c r="C99" t="s">
        <v>11</v>
      </c>
      <c r="D99">
        <v>80</v>
      </c>
      <c r="E99">
        <v>4.0999999999999996</v>
      </c>
      <c r="F99">
        <v>0</v>
      </c>
      <c r="G99">
        <v>0</v>
      </c>
      <c r="H99">
        <v>4.0999999999999996</v>
      </c>
      <c r="I99">
        <v>328</v>
      </c>
      <c r="J99" s="6">
        <v>45488</v>
      </c>
      <c r="K99">
        <f>Indusmelec_Total[[#This Row],[Prç Uni c/ Desc]]*Indusmelec_Total[[#This Row],[Qtd.]]</f>
        <v>328</v>
      </c>
    </row>
    <row r="100" spans="1:11" hidden="1">
      <c r="A100" t="s">
        <v>313</v>
      </c>
      <c r="B100" t="s">
        <v>314</v>
      </c>
      <c r="C100" t="s">
        <v>315</v>
      </c>
      <c r="D100">
        <v>300</v>
      </c>
      <c r="E100">
        <v>2.0299999999999998</v>
      </c>
      <c r="F100">
        <v>0</v>
      </c>
      <c r="G100">
        <v>0</v>
      </c>
      <c r="H100">
        <v>2.0299999999999998</v>
      </c>
      <c r="I100">
        <v>609</v>
      </c>
      <c r="J100" s="6">
        <v>46091</v>
      </c>
      <c r="K100">
        <f>Indusmelec_Total[[#This Row],[Prç Uni c/ Desc]]*Indusmelec_Total[[#This Row],[Qtd.]]</f>
        <v>608.99999999999989</v>
      </c>
    </row>
    <row r="101" spans="1:11" hidden="1">
      <c r="A101" t="s">
        <v>588</v>
      </c>
      <c r="B101" t="s">
        <v>589</v>
      </c>
      <c r="C101" t="s">
        <v>590</v>
      </c>
      <c r="D101">
        <v>260</v>
      </c>
      <c r="E101">
        <v>0.35</v>
      </c>
      <c r="F101">
        <v>0</v>
      </c>
      <c r="G101">
        <v>0</v>
      </c>
      <c r="H101">
        <v>0.35</v>
      </c>
      <c r="I101">
        <v>91</v>
      </c>
      <c r="J101" s="6">
        <v>45939</v>
      </c>
      <c r="K101">
        <f>Indusmelec_Total[[#This Row],[Prç Uni c/ Desc]]*Indusmelec_Total[[#This Row],[Qtd.]]</f>
        <v>91</v>
      </c>
    </row>
    <row r="102" spans="1:11" hidden="1">
      <c r="A102" t="s">
        <v>431</v>
      </c>
      <c r="B102" t="s">
        <v>432</v>
      </c>
      <c r="C102" t="s">
        <v>433</v>
      </c>
      <c r="D102">
        <v>208</v>
      </c>
      <c r="E102">
        <v>0.88</v>
      </c>
      <c r="F102">
        <v>0</v>
      </c>
      <c r="G102">
        <v>0</v>
      </c>
      <c r="H102">
        <v>0.88</v>
      </c>
      <c r="I102">
        <v>183.04</v>
      </c>
      <c r="J102" s="6">
        <v>45476</v>
      </c>
      <c r="K102">
        <f>Indusmelec_Total[[#This Row],[Prç Uni c/ Desc]]*Indusmelec_Total[[#This Row],[Qtd.]]</f>
        <v>183.04</v>
      </c>
    </row>
    <row r="103" spans="1:11" hidden="1">
      <c r="A103" t="s">
        <v>332</v>
      </c>
      <c r="B103" t="s">
        <v>335</v>
      </c>
      <c r="C103" t="s">
        <v>336</v>
      </c>
      <c r="D103">
        <v>2</v>
      </c>
      <c r="E103">
        <v>20.37</v>
      </c>
      <c r="F103">
        <v>0</v>
      </c>
      <c r="G103">
        <v>0</v>
      </c>
      <c r="H103">
        <v>20.37</v>
      </c>
      <c r="I103">
        <v>40.74</v>
      </c>
      <c r="J103" s="6">
        <v>46092</v>
      </c>
      <c r="K103">
        <f>Indusmelec_Total[[#This Row],[Prç Uni c/ Desc]]*Indusmelec_Total[[#This Row],[Qtd.]]</f>
        <v>40.74</v>
      </c>
    </row>
    <row r="104" spans="1:11" hidden="1">
      <c r="A104" t="s">
        <v>452</v>
      </c>
      <c r="B104" t="s">
        <v>335</v>
      </c>
      <c r="C104" t="s">
        <v>336</v>
      </c>
      <c r="D104">
        <v>3</v>
      </c>
      <c r="E104">
        <v>18.5</v>
      </c>
      <c r="F104">
        <v>0</v>
      </c>
      <c r="G104">
        <v>0</v>
      </c>
      <c r="H104">
        <v>18.5</v>
      </c>
      <c r="I104">
        <v>55.5</v>
      </c>
      <c r="J104" s="6">
        <v>45839</v>
      </c>
      <c r="K104">
        <f>Indusmelec_Total[[#This Row],[Prç Uni c/ Desc]]*Indusmelec_Total[[#This Row],[Qtd.]]</f>
        <v>55.5</v>
      </c>
    </row>
    <row r="105" spans="1:11" hidden="1">
      <c r="A105" t="s">
        <v>513</v>
      </c>
      <c r="B105" t="s">
        <v>335</v>
      </c>
      <c r="C105" t="s">
        <v>336</v>
      </c>
      <c r="D105">
        <v>1</v>
      </c>
      <c r="E105">
        <v>20.37</v>
      </c>
      <c r="F105">
        <v>0</v>
      </c>
      <c r="G105">
        <v>0</v>
      </c>
      <c r="H105">
        <v>20.37</v>
      </c>
      <c r="I105">
        <v>20.37</v>
      </c>
      <c r="J105" s="6">
        <v>46099</v>
      </c>
      <c r="K105">
        <f>Indusmelec_Total[[#This Row],[Prç Uni c/ Desc]]*Indusmelec_Total[[#This Row],[Qtd.]]</f>
        <v>20.37</v>
      </c>
    </row>
    <row r="106" spans="1:11" hidden="1">
      <c r="A106" t="s">
        <v>398</v>
      </c>
      <c r="B106" t="s">
        <v>399</v>
      </c>
      <c r="C106" t="s">
        <v>400</v>
      </c>
      <c r="D106">
        <v>100</v>
      </c>
      <c r="E106">
        <v>0.45</v>
      </c>
      <c r="F106">
        <v>0</v>
      </c>
      <c r="G106">
        <v>0</v>
      </c>
      <c r="H106">
        <v>0.45</v>
      </c>
      <c r="I106">
        <v>45</v>
      </c>
      <c r="J106" s="6">
        <v>45737</v>
      </c>
      <c r="K106">
        <f>Indusmelec_Total[[#This Row],[Prç Uni c/ Desc]]*Indusmelec_Total[[#This Row],[Qtd.]]</f>
        <v>45</v>
      </c>
    </row>
    <row r="107" spans="1:11" hidden="1">
      <c r="A107" t="s">
        <v>364</v>
      </c>
      <c r="B107" t="s">
        <v>365</v>
      </c>
      <c r="C107" t="s">
        <v>366</v>
      </c>
      <c r="D107">
        <v>100</v>
      </c>
      <c r="E107">
        <v>0.48</v>
      </c>
      <c r="F107">
        <v>0</v>
      </c>
      <c r="G107">
        <v>0</v>
      </c>
      <c r="H107">
        <v>0.48</v>
      </c>
      <c r="I107">
        <v>48</v>
      </c>
      <c r="J107" s="6">
        <v>45726</v>
      </c>
      <c r="K107">
        <f>Indusmelec_Total[[#This Row],[Prç Uni c/ Desc]]*Indusmelec_Total[[#This Row],[Qtd.]]</f>
        <v>48</v>
      </c>
    </row>
    <row r="108" spans="1:11" hidden="1">
      <c r="A108" t="s">
        <v>398</v>
      </c>
      <c r="B108" t="s">
        <v>401</v>
      </c>
      <c r="C108" t="s">
        <v>402</v>
      </c>
      <c r="D108">
        <v>100</v>
      </c>
      <c r="E108">
        <v>0.55000000000000004</v>
      </c>
      <c r="F108">
        <v>0</v>
      </c>
      <c r="G108">
        <v>0</v>
      </c>
      <c r="H108">
        <v>0.55000000000000004</v>
      </c>
      <c r="I108">
        <v>55</v>
      </c>
      <c r="J108" s="6">
        <v>45737</v>
      </c>
      <c r="K108">
        <f>Indusmelec_Total[[#This Row],[Prç Uni c/ Desc]]*Indusmelec_Total[[#This Row],[Qtd.]]</f>
        <v>55.000000000000007</v>
      </c>
    </row>
    <row r="109" spans="1:11" hidden="1">
      <c r="A109" t="s">
        <v>398</v>
      </c>
      <c r="B109" t="s">
        <v>403</v>
      </c>
      <c r="C109" t="s">
        <v>404</v>
      </c>
      <c r="D109">
        <v>100</v>
      </c>
      <c r="E109">
        <v>0.94</v>
      </c>
      <c r="F109">
        <v>0</v>
      </c>
      <c r="G109">
        <v>0</v>
      </c>
      <c r="H109">
        <v>0.94</v>
      </c>
      <c r="I109">
        <v>94</v>
      </c>
      <c r="J109" s="6">
        <v>45737</v>
      </c>
      <c r="K109">
        <f>Indusmelec_Total[[#This Row],[Prç Uni c/ Desc]]*Indusmelec_Total[[#This Row],[Qtd.]]</f>
        <v>94</v>
      </c>
    </row>
    <row r="110" spans="1:11" hidden="1">
      <c r="A110" t="s">
        <v>398</v>
      </c>
      <c r="B110" t="s">
        <v>405</v>
      </c>
      <c r="C110" t="s">
        <v>406</v>
      </c>
      <c r="D110">
        <v>50</v>
      </c>
      <c r="E110">
        <v>1.88</v>
      </c>
      <c r="F110">
        <v>0</v>
      </c>
      <c r="G110">
        <v>0</v>
      </c>
      <c r="H110">
        <v>1.88</v>
      </c>
      <c r="I110">
        <v>94</v>
      </c>
      <c r="J110" s="6">
        <v>45737</v>
      </c>
      <c r="K110">
        <f>Indusmelec_Total[[#This Row],[Prç Uni c/ Desc]]*Indusmelec_Total[[#This Row],[Qtd.]]</f>
        <v>94</v>
      </c>
    </row>
    <row r="111" spans="1:11" hidden="1">
      <c r="A111" t="s">
        <v>398</v>
      </c>
      <c r="B111" t="s">
        <v>407</v>
      </c>
      <c r="C111" t="s">
        <v>408</v>
      </c>
      <c r="D111">
        <v>20</v>
      </c>
      <c r="E111">
        <v>3.96</v>
      </c>
      <c r="F111">
        <v>0</v>
      </c>
      <c r="G111">
        <v>0</v>
      </c>
      <c r="H111">
        <v>3.96</v>
      </c>
      <c r="I111">
        <v>79.2</v>
      </c>
      <c r="J111" s="6">
        <v>45737</v>
      </c>
      <c r="K111">
        <f>Indusmelec_Total[[#This Row],[Prç Uni c/ Desc]]*Indusmelec_Total[[#This Row],[Qtd.]]</f>
        <v>79.2</v>
      </c>
    </row>
    <row r="112" spans="1:11" hidden="1">
      <c r="A112" t="s">
        <v>435</v>
      </c>
      <c r="B112" t="s">
        <v>436</v>
      </c>
      <c r="C112" t="s">
        <v>437</v>
      </c>
      <c r="D112">
        <v>100</v>
      </c>
      <c r="E112">
        <v>0.22</v>
      </c>
      <c r="F112">
        <v>0.5</v>
      </c>
      <c r="G112">
        <v>0</v>
      </c>
      <c r="H112">
        <v>0.11</v>
      </c>
      <c r="I112">
        <v>11</v>
      </c>
      <c r="J112" s="6">
        <v>45805</v>
      </c>
      <c r="K112">
        <f>Indusmelec_Total[[#This Row],[Prç Uni c/ Desc]]*Indusmelec_Total[[#This Row],[Qtd.]]</f>
        <v>11</v>
      </c>
    </row>
    <row r="113" spans="1:11" hidden="1">
      <c r="A113" t="s">
        <v>435</v>
      </c>
      <c r="B113" t="s">
        <v>438</v>
      </c>
      <c r="C113" t="s">
        <v>439</v>
      </c>
      <c r="D113">
        <v>100</v>
      </c>
      <c r="E113">
        <v>0.23</v>
      </c>
      <c r="F113">
        <v>0.5</v>
      </c>
      <c r="G113">
        <v>0</v>
      </c>
      <c r="H113">
        <v>0.115</v>
      </c>
      <c r="I113">
        <v>11.5</v>
      </c>
      <c r="J113" s="6">
        <v>45805</v>
      </c>
      <c r="K113">
        <f>Indusmelec_Total[[#This Row],[Prç Uni c/ Desc]]*Indusmelec_Total[[#This Row],[Qtd.]]</f>
        <v>11.5</v>
      </c>
    </row>
    <row r="114" spans="1:11" hidden="1">
      <c r="A114" t="s">
        <v>435</v>
      </c>
      <c r="B114" t="s">
        <v>440</v>
      </c>
      <c r="C114" t="s">
        <v>441</v>
      </c>
      <c r="D114">
        <v>100</v>
      </c>
      <c r="E114">
        <v>0.31</v>
      </c>
      <c r="F114">
        <v>0.5</v>
      </c>
      <c r="G114">
        <v>0</v>
      </c>
      <c r="H114">
        <v>0.155</v>
      </c>
      <c r="I114">
        <v>15.5</v>
      </c>
      <c r="J114" s="6">
        <v>45805</v>
      </c>
      <c r="K114">
        <f>Indusmelec_Total[[#This Row],[Prç Uni c/ Desc]]*Indusmelec_Total[[#This Row],[Qtd.]]</f>
        <v>15.5</v>
      </c>
    </row>
    <row r="115" spans="1:11" hidden="1">
      <c r="A115" t="s">
        <v>435</v>
      </c>
      <c r="B115" t="s">
        <v>442</v>
      </c>
      <c r="C115" t="s">
        <v>443</v>
      </c>
      <c r="D115">
        <v>100</v>
      </c>
      <c r="E115">
        <v>0.51</v>
      </c>
      <c r="F115">
        <v>0.5</v>
      </c>
      <c r="G115">
        <v>0</v>
      </c>
      <c r="H115">
        <v>0.255</v>
      </c>
      <c r="I115">
        <v>25.5</v>
      </c>
      <c r="J115" s="6">
        <v>45805</v>
      </c>
      <c r="K115">
        <f>Indusmelec_Total[[#This Row],[Prç Uni c/ Desc]]*Indusmelec_Total[[#This Row],[Qtd.]]</f>
        <v>25.5</v>
      </c>
    </row>
    <row r="116" spans="1:11" hidden="1">
      <c r="A116" t="s">
        <v>435</v>
      </c>
      <c r="B116" t="s">
        <v>444</v>
      </c>
      <c r="C116" t="s">
        <v>445</v>
      </c>
      <c r="D116">
        <v>50</v>
      </c>
      <c r="E116">
        <v>0.78</v>
      </c>
      <c r="F116">
        <v>0.5</v>
      </c>
      <c r="G116">
        <v>0</v>
      </c>
      <c r="H116">
        <v>0.39</v>
      </c>
      <c r="I116">
        <v>19.5</v>
      </c>
      <c r="J116" s="6">
        <v>45805</v>
      </c>
      <c r="K116">
        <f>Indusmelec_Total[[#This Row],[Prç Uni c/ Desc]]*Indusmelec_Total[[#This Row],[Qtd.]]</f>
        <v>19.5</v>
      </c>
    </row>
    <row r="117" spans="1:11" hidden="1">
      <c r="A117" t="s">
        <v>435</v>
      </c>
      <c r="B117" t="s">
        <v>446</v>
      </c>
      <c r="C117" t="s">
        <v>447</v>
      </c>
      <c r="D117">
        <v>20</v>
      </c>
      <c r="E117">
        <v>1.43</v>
      </c>
      <c r="F117">
        <v>0.5</v>
      </c>
      <c r="G117">
        <v>0</v>
      </c>
      <c r="H117">
        <v>0.71499999999999997</v>
      </c>
      <c r="I117">
        <v>14.3</v>
      </c>
      <c r="J117" s="6">
        <v>45805</v>
      </c>
      <c r="K117">
        <f>Indusmelec_Total[[#This Row],[Prç Uni c/ Desc]]*Indusmelec_Total[[#This Row],[Qtd.]]</f>
        <v>14.299999999999999</v>
      </c>
    </row>
    <row r="118" spans="1:11" hidden="1">
      <c r="A118" t="s">
        <v>496</v>
      </c>
      <c r="B118" t="s">
        <v>499</v>
      </c>
      <c r="C118" t="s">
        <v>500</v>
      </c>
      <c r="D118">
        <v>1</v>
      </c>
      <c r="E118">
        <v>116</v>
      </c>
      <c r="F118">
        <v>0</v>
      </c>
      <c r="G118">
        <v>0</v>
      </c>
      <c r="H118">
        <v>116</v>
      </c>
      <c r="I118">
        <v>116</v>
      </c>
      <c r="J118" s="6">
        <v>45842</v>
      </c>
      <c r="K118">
        <f>Indusmelec_Total[[#This Row],[Prç Uni c/ Desc]]*Indusmelec_Total[[#This Row],[Qtd.]]</f>
        <v>116</v>
      </c>
    </row>
    <row r="119" spans="1:11" hidden="1">
      <c r="A119" t="s">
        <v>37</v>
      </c>
      <c r="B119" t="s">
        <v>38</v>
      </c>
      <c r="C119" t="s">
        <v>39</v>
      </c>
      <c r="D119">
        <v>150</v>
      </c>
      <c r="E119">
        <v>2.25</v>
      </c>
      <c r="F119">
        <v>0</v>
      </c>
      <c r="G119">
        <v>0</v>
      </c>
      <c r="H119">
        <v>2.25</v>
      </c>
      <c r="I119">
        <v>337.5</v>
      </c>
      <c r="J119" s="6">
        <v>46080</v>
      </c>
      <c r="K119">
        <f>Indusmelec_Total[[#This Row],[Prç Uni c/ Desc]]*Indusmelec_Total[[#This Row],[Qtd.]]</f>
        <v>337.5</v>
      </c>
    </row>
    <row r="120" spans="1:11" hidden="1">
      <c r="A120" t="s">
        <v>49</v>
      </c>
      <c r="B120" t="s">
        <v>38</v>
      </c>
      <c r="C120" t="s">
        <v>50</v>
      </c>
      <c r="D120">
        <v>30</v>
      </c>
      <c r="E120">
        <v>2.4</v>
      </c>
      <c r="F120">
        <v>0</v>
      </c>
      <c r="G120">
        <v>0</v>
      </c>
      <c r="H120">
        <v>2.4</v>
      </c>
      <c r="I120">
        <v>72</v>
      </c>
      <c r="J120" s="6">
        <v>45460</v>
      </c>
      <c r="K120">
        <f>Indusmelec_Total[[#This Row],[Prç Uni c/ Desc]]*Indusmelec_Total[[#This Row],[Qtd.]]</f>
        <v>72</v>
      </c>
    </row>
    <row r="121" spans="1:11" hidden="1">
      <c r="A121" t="s">
        <v>71</v>
      </c>
      <c r="B121" t="s">
        <v>38</v>
      </c>
      <c r="C121" t="s">
        <v>39</v>
      </c>
      <c r="D121">
        <v>270</v>
      </c>
      <c r="E121">
        <v>2.4</v>
      </c>
      <c r="F121">
        <v>0</v>
      </c>
      <c r="G121">
        <v>0</v>
      </c>
      <c r="H121">
        <v>2.4</v>
      </c>
      <c r="I121">
        <v>648</v>
      </c>
      <c r="J121" s="6">
        <v>45460</v>
      </c>
      <c r="K121">
        <f>Indusmelec_Total[[#This Row],[Prç Uni c/ Desc]]*Indusmelec_Total[[#This Row],[Qtd.]]</f>
        <v>648</v>
      </c>
    </row>
    <row r="122" spans="1:11" hidden="1">
      <c r="A122" t="s">
        <v>94</v>
      </c>
      <c r="B122" t="s">
        <v>38</v>
      </c>
      <c r="C122" t="s">
        <v>39</v>
      </c>
      <c r="D122">
        <v>300</v>
      </c>
      <c r="E122">
        <v>2.4</v>
      </c>
      <c r="F122">
        <v>0</v>
      </c>
      <c r="G122">
        <v>0</v>
      </c>
      <c r="H122">
        <v>2.4</v>
      </c>
      <c r="I122">
        <v>720</v>
      </c>
      <c r="J122" s="6">
        <v>45534</v>
      </c>
      <c r="K122">
        <f>Indusmelec_Total[[#This Row],[Prç Uni c/ Desc]]*Indusmelec_Total[[#This Row],[Qtd.]]</f>
        <v>720</v>
      </c>
    </row>
    <row r="123" spans="1:11" hidden="1">
      <c r="A123" t="s">
        <v>105</v>
      </c>
      <c r="B123" t="s">
        <v>38</v>
      </c>
      <c r="C123" t="s">
        <v>39</v>
      </c>
      <c r="D123">
        <v>30</v>
      </c>
      <c r="E123">
        <v>7.68</v>
      </c>
      <c r="F123">
        <v>0.67</v>
      </c>
      <c r="G123">
        <v>0</v>
      </c>
      <c r="H123">
        <v>2.5343999999999998</v>
      </c>
      <c r="I123">
        <v>76.03</v>
      </c>
      <c r="J123" s="6">
        <v>46079</v>
      </c>
      <c r="K123">
        <f>Indusmelec_Total[[#This Row],[Prç Uni c/ Desc]]*Indusmelec_Total[[#This Row],[Qtd.]]</f>
        <v>76.031999999999996</v>
      </c>
    </row>
    <row r="124" spans="1:11" hidden="1">
      <c r="A124" t="s">
        <v>142</v>
      </c>
      <c r="B124" t="s">
        <v>38</v>
      </c>
      <c r="C124" t="s">
        <v>39</v>
      </c>
      <c r="D124">
        <v>252</v>
      </c>
      <c r="E124">
        <v>2.44</v>
      </c>
      <c r="F124">
        <v>0</v>
      </c>
      <c r="G124">
        <v>0</v>
      </c>
      <c r="H124">
        <v>2.44</v>
      </c>
      <c r="I124">
        <v>614.88</v>
      </c>
      <c r="J124" s="6">
        <v>45832</v>
      </c>
      <c r="K124">
        <f>Indusmelec_Total[[#This Row],[Prç Uni c/ Desc]]*Indusmelec_Total[[#This Row],[Qtd.]]</f>
        <v>614.88</v>
      </c>
    </row>
    <row r="125" spans="1:11" hidden="1">
      <c r="A125" t="s">
        <v>864</v>
      </c>
      <c r="B125" t="s">
        <v>38</v>
      </c>
      <c r="C125" t="s">
        <v>282</v>
      </c>
      <c r="D125">
        <v>60</v>
      </c>
      <c r="E125">
        <v>2.25</v>
      </c>
      <c r="F125">
        <v>0</v>
      </c>
      <c r="G125">
        <v>0</v>
      </c>
      <c r="H125">
        <v>2.25</v>
      </c>
      <c r="I125">
        <v>135</v>
      </c>
      <c r="J125" s="6">
        <v>46246</v>
      </c>
      <c r="K125">
        <f>Indusmelec_Total[[#This Row],[Prç Uni c/ Desc]]*Indusmelec_Total[[#This Row],[Qtd.]]</f>
        <v>135</v>
      </c>
    </row>
    <row r="126" spans="1:11" hidden="1">
      <c r="A126" t="s">
        <v>204</v>
      </c>
      <c r="B126" t="s">
        <v>38</v>
      </c>
      <c r="C126" t="s">
        <v>39</v>
      </c>
      <c r="D126">
        <v>24</v>
      </c>
      <c r="E126">
        <v>7.68</v>
      </c>
      <c r="F126">
        <v>0.65</v>
      </c>
      <c r="G126">
        <v>0</v>
      </c>
      <c r="H126">
        <v>2.6879999999999997</v>
      </c>
      <c r="I126">
        <v>64.510000000000005</v>
      </c>
      <c r="J126" s="6">
        <v>45994</v>
      </c>
      <c r="K126">
        <f>Indusmelec_Total[[#This Row],[Prç Uni c/ Desc]]*Indusmelec_Total[[#This Row],[Qtd.]]</f>
        <v>64.512</v>
      </c>
    </row>
    <row r="127" spans="1:11" hidden="1">
      <c r="A127" t="s">
        <v>214</v>
      </c>
      <c r="B127" t="s">
        <v>38</v>
      </c>
      <c r="C127" t="s">
        <v>39</v>
      </c>
      <c r="D127">
        <v>90</v>
      </c>
      <c r="E127">
        <v>7.68</v>
      </c>
      <c r="F127">
        <v>0.65</v>
      </c>
      <c r="G127">
        <v>0</v>
      </c>
      <c r="H127">
        <v>2.6879999999999997</v>
      </c>
      <c r="I127">
        <v>241.92</v>
      </c>
      <c r="J127" s="6">
        <v>46009</v>
      </c>
      <c r="K127">
        <f>Indusmelec_Total[[#This Row],[Prç Uni c/ Desc]]*Indusmelec_Total[[#This Row],[Qtd.]]</f>
        <v>241.92</v>
      </c>
    </row>
    <row r="128" spans="1:11" hidden="1">
      <c r="A128" t="s">
        <v>263</v>
      </c>
      <c r="B128" t="s">
        <v>38</v>
      </c>
      <c r="C128" t="s">
        <v>39</v>
      </c>
      <c r="D128">
        <v>81</v>
      </c>
      <c r="E128">
        <v>7.68</v>
      </c>
      <c r="F128">
        <v>0.6</v>
      </c>
      <c r="G128">
        <v>0</v>
      </c>
      <c r="H128">
        <v>3.0720000000000001</v>
      </c>
      <c r="I128">
        <v>248.83</v>
      </c>
      <c r="J128" s="6">
        <v>46156</v>
      </c>
      <c r="K128">
        <f>Indusmelec_Total[[#This Row],[Prç Uni c/ Desc]]*Indusmelec_Total[[#This Row],[Qtd.]]</f>
        <v>248.83199999999999</v>
      </c>
    </row>
    <row r="129" spans="1:11" hidden="1">
      <c r="A129" t="s">
        <v>290</v>
      </c>
      <c r="B129" t="s">
        <v>38</v>
      </c>
      <c r="C129" t="s">
        <v>39</v>
      </c>
      <c r="D129">
        <v>81</v>
      </c>
      <c r="E129">
        <v>2.25</v>
      </c>
      <c r="F129">
        <v>0</v>
      </c>
      <c r="G129">
        <v>0</v>
      </c>
      <c r="H129">
        <v>2.25</v>
      </c>
      <c r="I129">
        <v>182.25</v>
      </c>
      <c r="J129" s="6">
        <v>46213</v>
      </c>
      <c r="K129">
        <f>Indusmelec_Total[[#This Row],[Prç Uni c/ Desc]]*Indusmelec_Total[[#This Row],[Qtd.]]</f>
        <v>182.25</v>
      </c>
    </row>
    <row r="130" spans="1:11" hidden="1">
      <c r="A130" t="s">
        <v>865</v>
      </c>
      <c r="B130" t="s">
        <v>38</v>
      </c>
      <c r="C130" t="s">
        <v>39</v>
      </c>
      <c r="D130">
        <v>288</v>
      </c>
      <c r="E130">
        <v>2.25</v>
      </c>
      <c r="F130">
        <v>0</v>
      </c>
      <c r="G130">
        <v>0</v>
      </c>
      <c r="H130">
        <v>2.25</v>
      </c>
      <c r="I130">
        <v>648</v>
      </c>
      <c r="K130">
        <f>Indusmelec_Total[[#This Row],[Prç Uni c/ Desc]]*Indusmelec_Total[[#This Row],[Qtd.]]</f>
        <v>648</v>
      </c>
    </row>
    <row r="131" spans="1:11" hidden="1">
      <c r="A131" t="s">
        <v>225</v>
      </c>
      <c r="B131" t="s">
        <v>38</v>
      </c>
      <c r="C131" t="s">
        <v>39</v>
      </c>
      <c r="D131">
        <v>60</v>
      </c>
      <c r="E131">
        <v>7.68</v>
      </c>
      <c r="F131">
        <v>0.67</v>
      </c>
      <c r="G131">
        <v>0</v>
      </c>
      <c r="H131">
        <v>2.5343999999999998</v>
      </c>
      <c r="I131">
        <v>152.06</v>
      </c>
      <c r="K131">
        <f>Indusmelec_Total[[#This Row],[Prç Uni c/ Desc]]*Indusmelec_Total[[#This Row],[Qtd.]]</f>
        <v>152.06399999999999</v>
      </c>
    </row>
    <row r="132" spans="1:11" hidden="1">
      <c r="A132" t="s">
        <v>281</v>
      </c>
      <c r="B132" t="s">
        <v>38</v>
      </c>
      <c r="C132" t="s">
        <v>282</v>
      </c>
      <c r="D132">
        <v>300</v>
      </c>
      <c r="E132">
        <v>2.46</v>
      </c>
      <c r="F132">
        <v>0</v>
      </c>
      <c r="G132">
        <v>0</v>
      </c>
      <c r="H132">
        <v>2.46</v>
      </c>
      <c r="I132">
        <v>738</v>
      </c>
      <c r="K132">
        <f>Indusmelec_Total[[#This Row],[Prç Uni c/ Desc]]*Indusmelec_Total[[#This Row],[Qtd.]]</f>
        <v>738</v>
      </c>
    </row>
    <row r="133" spans="1:11" hidden="1">
      <c r="A133" t="s">
        <v>293</v>
      </c>
      <c r="B133" t="s">
        <v>38</v>
      </c>
      <c r="C133" t="s">
        <v>282</v>
      </c>
      <c r="D133">
        <v>300</v>
      </c>
      <c r="E133">
        <v>2.25</v>
      </c>
      <c r="F133">
        <v>0</v>
      </c>
      <c r="G133">
        <v>0</v>
      </c>
      <c r="H133">
        <v>2.25</v>
      </c>
      <c r="I133">
        <v>675</v>
      </c>
      <c r="K133">
        <f>Indusmelec_Total[[#This Row],[Prç Uni c/ Desc]]*Indusmelec_Total[[#This Row],[Qtd.]]</f>
        <v>675</v>
      </c>
    </row>
    <row r="134" spans="1:11" hidden="1">
      <c r="A134" t="s">
        <v>409</v>
      </c>
      <c r="B134" t="s">
        <v>38</v>
      </c>
      <c r="C134" t="s">
        <v>410</v>
      </c>
      <c r="D134">
        <v>150</v>
      </c>
      <c r="E134">
        <v>7.68</v>
      </c>
      <c r="F134">
        <v>0.63</v>
      </c>
      <c r="G134">
        <v>0</v>
      </c>
      <c r="H134">
        <v>2.8415999999999997</v>
      </c>
      <c r="I134">
        <v>426.24</v>
      </c>
      <c r="J134" s="6">
        <v>45750</v>
      </c>
      <c r="K134">
        <f>Indusmelec_Total[[#This Row],[Prç Uni c/ Desc]]*Indusmelec_Total[[#This Row],[Qtd.]]</f>
        <v>426.23999999999995</v>
      </c>
    </row>
    <row r="135" spans="1:11" hidden="1">
      <c r="A135" t="s">
        <v>422</v>
      </c>
      <c r="B135" t="s">
        <v>38</v>
      </c>
      <c r="C135" t="s">
        <v>343</v>
      </c>
      <c r="D135">
        <v>219</v>
      </c>
      <c r="E135">
        <v>2.44</v>
      </c>
      <c r="F135">
        <v>0</v>
      </c>
      <c r="G135">
        <v>0</v>
      </c>
      <c r="H135">
        <v>2.44</v>
      </c>
      <c r="I135">
        <v>534.36</v>
      </c>
      <c r="J135" s="6">
        <v>45763</v>
      </c>
      <c r="K135">
        <f>Indusmelec_Total[[#This Row],[Prç Uni c/ Desc]]*Indusmelec_Total[[#This Row],[Qtd.]]</f>
        <v>534.36</v>
      </c>
    </row>
    <row r="136" spans="1:11" hidden="1">
      <c r="A136" t="s">
        <v>424</v>
      </c>
      <c r="B136" t="s">
        <v>38</v>
      </c>
      <c r="C136" t="s">
        <v>343</v>
      </c>
      <c r="D136">
        <v>33</v>
      </c>
      <c r="E136">
        <v>2.44</v>
      </c>
      <c r="F136">
        <v>0</v>
      </c>
      <c r="G136">
        <v>0</v>
      </c>
      <c r="H136">
        <v>2.44</v>
      </c>
      <c r="I136">
        <v>80.52</v>
      </c>
      <c r="J136" s="6">
        <v>45783</v>
      </c>
      <c r="K136">
        <f>Indusmelec_Total[[#This Row],[Prç Uni c/ Desc]]*Indusmelec_Total[[#This Row],[Qtd.]]</f>
        <v>80.52</v>
      </c>
    </row>
    <row r="137" spans="1:11" hidden="1">
      <c r="A137" t="s">
        <v>478</v>
      </c>
      <c r="B137" t="s">
        <v>38</v>
      </c>
      <c r="C137" t="s">
        <v>343</v>
      </c>
      <c r="D137">
        <v>132</v>
      </c>
      <c r="E137">
        <v>2.4</v>
      </c>
      <c r="F137">
        <v>0</v>
      </c>
      <c r="G137">
        <v>0</v>
      </c>
      <c r="H137">
        <v>2.4</v>
      </c>
      <c r="I137">
        <v>316.8</v>
      </c>
      <c r="J137" s="6">
        <v>45653</v>
      </c>
      <c r="K137">
        <f>Indusmelec_Total[[#This Row],[Prç Uni c/ Desc]]*Indusmelec_Total[[#This Row],[Qtd.]]</f>
        <v>316.8</v>
      </c>
    </row>
    <row r="138" spans="1:11" hidden="1">
      <c r="A138" t="s">
        <v>559</v>
      </c>
      <c r="B138" t="s">
        <v>38</v>
      </c>
      <c r="C138" t="s">
        <v>343</v>
      </c>
      <c r="D138">
        <v>60</v>
      </c>
      <c r="E138">
        <v>2.25</v>
      </c>
      <c r="F138">
        <v>0</v>
      </c>
      <c r="G138">
        <v>0</v>
      </c>
      <c r="H138">
        <v>2.25</v>
      </c>
      <c r="I138">
        <v>135</v>
      </c>
      <c r="J138" s="6">
        <v>46204</v>
      </c>
      <c r="K138">
        <f>Indusmelec_Total[[#This Row],[Prç Uni c/ Desc]]*Indusmelec_Total[[#This Row],[Qtd.]]</f>
        <v>135</v>
      </c>
    </row>
    <row r="139" spans="1:11" hidden="1">
      <c r="A139" t="s">
        <v>585</v>
      </c>
      <c r="B139" t="s">
        <v>38</v>
      </c>
      <c r="C139" t="s">
        <v>343</v>
      </c>
      <c r="D139">
        <v>120</v>
      </c>
      <c r="E139">
        <v>2.4</v>
      </c>
      <c r="F139">
        <v>0</v>
      </c>
      <c r="G139">
        <v>0</v>
      </c>
      <c r="H139">
        <v>2.4</v>
      </c>
      <c r="I139">
        <v>288</v>
      </c>
      <c r="J139" s="6">
        <v>45629</v>
      </c>
      <c r="K139">
        <f>Indusmelec_Total[[#This Row],[Prç Uni c/ Desc]]*Indusmelec_Total[[#This Row],[Qtd.]]</f>
        <v>288</v>
      </c>
    </row>
    <row r="140" spans="1:11" hidden="1">
      <c r="A140" t="s">
        <v>342</v>
      </c>
      <c r="B140" t="s">
        <v>38</v>
      </c>
      <c r="C140" t="s">
        <v>343</v>
      </c>
      <c r="D140">
        <v>201</v>
      </c>
      <c r="E140">
        <v>7.68</v>
      </c>
      <c r="F140">
        <v>0.68</v>
      </c>
      <c r="G140">
        <v>0</v>
      </c>
      <c r="H140">
        <v>2.4575999999999993</v>
      </c>
      <c r="I140">
        <v>493.98</v>
      </c>
      <c r="K140">
        <f>Indusmelec_Total[[#This Row],[Prç Uni c/ Desc]]*Indusmelec_Total[[#This Row],[Qtd.]]</f>
        <v>493.97759999999988</v>
      </c>
    </row>
    <row r="141" spans="1:11" hidden="1">
      <c r="A141" t="s">
        <v>585</v>
      </c>
      <c r="B141" t="s">
        <v>586</v>
      </c>
      <c r="C141" t="s">
        <v>587</v>
      </c>
      <c r="D141">
        <v>51</v>
      </c>
      <c r="E141">
        <v>3.66</v>
      </c>
      <c r="F141">
        <v>0</v>
      </c>
      <c r="G141">
        <v>0</v>
      </c>
      <c r="H141">
        <v>3.66</v>
      </c>
      <c r="I141">
        <v>186.66</v>
      </c>
      <c r="J141" s="6">
        <v>45629</v>
      </c>
      <c r="K141">
        <f>Indusmelec_Total[[#This Row],[Prç Uni c/ Desc]]*Indusmelec_Total[[#This Row],[Qtd.]]</f>
        <v>186.66</v>
      </c>
    </row>
    <row r="142" spans="1:11" hidden="1">
      <c r="A142" t="s">
        <v>18</v>
      </c>
      <c r="B142" t="s">
        <v>21</v>
      </c>
      <c r="C142" t="s">
        <v>22</v>
      </c>
      <c r="D142">
        <v>150</v>
      </c>
      <c r="E142">
        <v>3.56</v>
      </c>
      <c r="F142">
        <v>0</v>
      </c>
      <c r="G142">
        <v>0</v>
      </c>
      <c r="H142">
        <v>3.56</v>
      </c>
      <c r="I142">
        <v>534</v>
      </c>
      <c r="J142" s="6">
        <v>45910</v>
      </c>
      <c r="K142">
        <f>Indusmelec_Total[[#This Row],[Prç Uni c/ Desc]]*Indusmelec_Total[[#This Row],[Qtd.]]</f>
        <v>534</v>
      </c>
    </row>
    <row r="143" spans="1:11" hidden="1">
      <c r="A143" t="s">
        <v>37</v>
      </c>
      <c r="B143" t="s">
        <v>21</v>
      </c>
      <c r="C143" t="s">
        <v>22</v>
      </c>
      <c r="D143">
        <v>150</v>
      </c>
      <c r="E143">
        <v>3.2826</v>
      </c>
      <c r="F143">
        <v>0</v>
      </c>
      <c r="G143">
        <v>0</v>
      </c>
      <c r="H143">
        <v>3.2826</v>
      </c>
      <c r="I143">
        <v>492.39</v>
      </c>
      <c r="J143" s="6">
        <v>46080</v>
      </c>
      <c r="K143">
        <f>Indusmelec_Total[[#This Row],[Prç Uni c/ Desc]]*Indusmelec_Total[[#This Row],[Qtd.]]</f>
        <v>492.39</v>
      </c>
    </row>
    <row r="144" spans="1:11" hidden="1">
      <c r="A144" t="s">
        <v>112</v>
      </c>
      <c r="B144" t="s">
        <v>21</v>
      </c>
      <c r="C144" t="s">
        <v>22</v>
      </c>
      <c r="D144">
        <v>60</v>
      </c>
      <c r="E144">
        <v>4.0599999999999996</v>
      </c>
      <c r="F144">
        <v>0</v>
      </c>
      <c r="G144">
        <v>0</v>
      </c>
      <c r="H144">
        <v>4.0599999999999996</v>
      </c>
      <c r="I144">
        <v>243.6</v>
      </c>
      <c r="J144" s="6">
        <v>45714</v>
      </c>
      <c r="K144">
        <f>Indusmelec_Total[[#This Row],[Prç Uni c/ Desc]]*Indusmelec_Total[[#This Row],[Qtd.]]</f>
        <v>243.59999999999997</v>
      </c>
    </row>
    <row r="145" spans="1:11" hidden="1">
      <c r="A145" t="s">
        <v>142</v>
      </c>
      <c r="B145" t="s">
        <v>21</v>
      </c>
      <c r="C145" t="s">
        <v>22</v>
      </c>
      <c r="D145">
        <v>249</v>
      </c>
      <c r="E145">
        <v>3.56</v>
      </c>
      <c r="F145">
        <v>0</v>
      </c>
      <c r="G145">
        <v>0</v>
      </c>
      <c r="H145">
        <v>3.56</v>
      </c>
      <c r="I145">
        <v>886.44</v>
      </c>
      <c r="J145" s="6">
        <v>45832</v>
      </c>
      <c r="K145">
        <f>Indusmelec_Total[[#This Row],[Prç Uni c/ Desc]]*Indusmelec_Total[[#This Row],[Qtd.]]</f>
        <v>886.44</v>
      </c>
    </row>
    <row r="146" spans="1:11" hidden="1">
      <c r="A146" t="s">
        <v>865</v>
      </c>
      <c r="B146" t="s">
        <v>21</v>
      </c>
      <c r="C146" t="s">
        <v>22</v>
      </c>
      <c r="D146">
        <v>96</v>
      </c>
      <c r="E146">
        <v>3.2826</v>
      </c>
      <c r="F146">
        <v>0</v>
      </c>
      <c r="G146">
        <v>0</v>
      </c>
      <c r="H146">
        <v>3.2826</v>
      </c>
      <c r="I146">
        <v>315.13</v>
      </c>
      <c r="K146">
        <f>Indusmelec_Total[[#This Row],[Prç Uni c/ Desc]]*Indusmelec_Total[[#This Row],[Qtd.]]</f>
        <v>315.12959999999998</v>
      </c>
    </row>
    <row r="147" spans="1:11" hidden="1">
      <c r="A147" t="s">
        <v>422</v>
      </c>
      <c r="B147" t="s">
        <v>21</v>
      </c>
      <c r="C147" t="s">
        <v>344</v>
      </c>
      <c r="D147">
        <v>249</v>
      </c>
      <c r="E147">
        <v>3.56</v>
      </c>
      <c r="F147">
        <v>0</v>
      </c>
      <c r="G147">
        <v>0</v>
      </c>
      <c r="H147">
        <v>3.56</v>
      </c>
      <c r="I147">
        <v>886.44</v>
      </c>
      <c r="J147" s="6">
        <v>45763</v>
      </c>
      <c r="K147">
        <f>Indusmelec_Total[[#This Row],[Prç Uni c/ Desc]]*Indusmelec_Total[[#This Row],[Qtd.]]</f>
        <v>886.44</v>
      </c>
    </row>
    <row r="148" spans="1:11" hidden="1">
      <c r="A148" t="s">
        <v>342</v>
      </c>
      <c r="B148" t="s">
        <v>21</v>
      </c>
      <c r="C148" t="s">
        <v>344</v>
      </c>
      <c r="D148">
        <v>252</v>
      </c>
      <c r="E148">
        <v>11.2</v>
      </c>
      <c r="F148">
        <v>0.68</v>
      </c>
      <c r="G148">
        <v>0</v>
      </c>
      <c r="H148">
        <v>3.5839999999999992</v>
      </c>
      <c r="I148">
        <v>903.17</v>
      </c>
      <c r="K148">
        <f>Indusmelec_Total[[#This Row],[Prç Uni c/ Desc]]*Indusmelec_Total[[#This Row],[Qtd.]]</f>
        <v>903.16799999999978</v>
      </c>
    </row>
    <row r="149" spans="1:11" hidden="1">
      <c r="A149" t="s">
        <v>18</v>
      </c>
      <c r="B149" t="s">
        <v>19</v>
      </c>
      <c r="C149" t="s">
        <v>20</v>
      </c>
      <c r="D149">
        <v>30</v>
      </c>
      <c r="E149">
        <v>12.44</v>
      </c>
      <c r="F149">
        <v>0.65</v>
      </c>
      <c r="G149">
        <v>0</v>
      </c>
      <c r="H149">
        <v>4.3539999999999992</v>
      </c>
      <c r="I149">
        <v>130.62</v>
      </c>
      <c r="J149" s="6">
        <v>45910</v>
      </c>
      <c r="K149">
        <f>Indusmelec_Total[[#This Row],[Prç Uni c/ Desc]]*Indusmelec_Total[[#This Row],[Qtd.]]</f>
        <v>130.61999999999998</v>
      </c>
    </row>
    <row r="150" spans="1:11" hidden="1">
      <c r="A150" t="s">
        <v>167</v>
      </c>
      <c r="B150" t="s">
        <v>19</v>
      </c>
      <c r="C150" t="s">
        <v>175</v>
      </c>
      <c r="D150">
        <v>60</v>
      </c>
      <c r="E150">
        <v>12.44</v>
      </c>
      <c r="F150">
        <v>0.65</v>
      </c>
      <c r="G150">
        <v>0</v>
      </c>
      <c r="H150">
        <v>4.3539999999999992</v>
      </c>
      <c r="I150">
        <v>261.24</v>
      </c>
      <c r="J150" s="6">
        <v>45918</v>
      </c>
      <c r="K150">
        <f>Indusmelec_Total[[#This Row],[Prç Uni c/ Desc]]*Indusmelec_Total[[#This Row],[Qtd.]]</f>
        <v>261.23999999999995</v>
      </c>
    </row>
    <row r="151" spans="1:11" hidden="1">
      <c r="A151" t="s">
        <v>186</v>
      </c>
      <c r="B151" t="s">
        <v>19</v>
      </c>
      <c r="C151" t="s">
        <v>187</v>
      </c>
      <c r="D151">
        <v>60</v>
      </c>
      <c r="E151">
        <v>12.44</v>
      </c>
      <c r="F151">
        <v>0.65</v>
      </c>
      <c r="G151">
        <v>0</v>
      </c>
      <c r="H151">
        <v>4.3539999999999992</v>
      </c>
      <c r="I151">
        <v>261.24</v>
      </c>
      <c r="J151" s="6">
        <v>45939</v>
      </c>
      <c r="K151">
        <f>Indusmelec_Total[[#This Row],[Prç Uni c/ Desc]]*Indusmelec_Total[[#This Row],[Qtd.]]</f>
        <v>261.23999999999995</v>
      </c>
    </row>
    <row r="152" spans="1:11" hidden="1">
      <c r="A152" t="s">
        <v>75</v>
      </c>
      <c r="B152" t="s">
        <v>76</v>
      </c>
      <c r="C152" t="s">
        <v>77</v>
      </c>
      <c r="D152">
        <v>108</v>
      </c>
      <c r="E152">
        <v>16.649999999999999</v>
      </c>
      <c r="F152">
        <v>0.63</v>
      </c>
      <c r="G152">
        <v>0</v>
      </c>
      <c r="H152">
        <v>6.160499999999999</v>
      </c>
      <c r="I152">
        <v>665.33</v>
      </c>
      <c r="J152" s="6">
        <v>45842</v>
      </c>
      <c r="K152">
        <f>Indusmelec_Total[[#This Row],[Prç Uni c/ Desc]]*Indusmelec_Total[[#This Row],[Qtd.]]</f>
        <v>665.33399999999983</v>
      </c>
    </row>
    <row r="153" spans="1:11" hidden="1">
      <c r="A153" t="s">
        <v>108</v>
      </c>
      <c r="B153" t="s">
        <v>76</v>
      </c>
      <c r="C153" t="s">
        <v>109</v>
      </c>
      <c r="D153">
        <v>33</v>
      </c>
      <c r="E153">
        <v>4.9782000000000002</v>
      </c>
      <c r="F153">
        <v>0</v>
      </c>
      <c r="G153">
        <v>0</v>
      </c>
      <c r="H153">
        <v>4.9782000000000002</v>
      </c>
      <c r="I153">
        <v>164.28</v>
      </c>
      <c r="J153" s="6">
        <v>46080</v>
      </c>
      <c r="K153">
        <f>Indusmelec_Total[[#This Row],[Prç Uni c/ Desc]]*Indusmelec_Total[[#This Row],[Qtd.]]</f>
        <v>164.28059999999999</v>
      </c>
    </row>
    <row r="154" spans="1:11" hidden="1">
      <c r="A154" t="s">
        <v>131</v>
      </c>
      <c r="B154" t="s">
        <v>76</v>
      </c>
      <c r="C154" t="s">
        <v>109</v>
      </c>
      <c r="D154">
        <v>18</v>
      </c>
      <c r="E154">
        <v>4.9782000000000002</v>
      </c>
      <c r="F154">
        <v>0</v>
      </c>
      <c r="G154">
        <v>0</v>
      </c>
      <c r="H154">
        <v>4.9782000000000002</v>
      </c>
      <c r="I154">
        <v>89.61</v>
      </c>
      <c r="J154" s="6">
        <v>46203</v>
      </c>
      <c r="K154">
        <f>Indusmelec_Total[[#This Row],[Prç Uni c/ Desc]]*Indusmelec_Total[[#This Row],[Qtd.]]</f>
        <v>89.607600000000005</v>
      </c>
    </row>
    <row r="155" spans="1:11" hidden="1">
      <c r="A155" t="s">
        <v>865</v>
      </c>
      <c r="B155" t="s">
        <v>76</v>
      </c>
      <c r="C155" t="s">
        <v>109</v>
      </c>
      <c r="D155">
        <v>48</v>
      </c>
      <c r="E155">
        <v>4.9782000000000002</v>
      </c>
      <c r="F155">
        <v>0</v>
      </c>
      <c r="G155">
        <v>0</v>
      </c>
      <c r="H155">
        <v>4.9782000000000002</v>
      </c>
      <c r="I155">
        <v>238.95</v>
      </c>
      <c r="K155">
        <f>Indusmelec_Total[[#This Row],[Prç Uni c/ Desc]]*Indusmelec_Total[[#This Row],[Qtd.]]</f>
        <v>238.95359999999999</v>
      </c>
    </row>
    <row r="156" spans="1:11" hidden="1">
      <c r="A156" t="s">
        <v>240</v>
      </c>
      <c r="B156" t="s">
        <v>76</v>
      </c>
      <c r="C156" t="s">
        <v>77</v>
      </c>
      <c r="D156">
        <v>12</v>
      </c>
      <c r="E156">
        <v>16.98</v>
      </c>
      <c r="F156">
        <v>0.66</v>
      </c>
      <c r="G156">
        <v>0</v>
      </c>
      <c r="H156">
        <v>5.7731999999999992</v>
      </c>
      <c r="I156">
        <v>69.28</v>
      </c>
      <c r="K156">
        <f>Indusmelec_Total[[#This Row],[Prç Uni c/ Desc]]*Indusmelec_Total[[#This Row],[Qtd.]]</f>
        <v>69.278399999999991</v>
      </c>
    </row>
    <row r="157" spans="1:11" hidden="1">
      <c r="A157" t="s">
        <v>409</v>
      </c>
      <c r="B157" t="s">
        <v>76</v>
      </c>
      <c r="C157" t="s">
        <v>411</v>
      </c>
      <c r="D157">
        <v>57</v>
      </c>
      <c r="E157">
        <v>16.649999999999999</v>
      </c>
      <c r="F157">
        <v>0.63</v>
      </c>
      <c r="G157">
        <v>0</v>
      </c>
      <c r="H157">
        <v>6.160499999999999</v>
      </c>
      <c r="I157">
        <v>351.15</v>
      </c>
      <c r="J157" s="6">
        <v>45750</v>
      </c>
      <c r="K157">
        <f>Indusmelec_Total[[#This Row],[Prç Uni c/ Desc]]*Indusmelec_Total[[#This Row],[Qtd.]]</f>
        <v>351.14849999999996</v>
      </c>
    </row>
    <row r="158" spans="1:11" hidden="1">
      <c r="A158" t="s">
        <v>509</v>
      </c>
      <c r="B158" t="s">
        <v>76</v>
      </c>
      <c r="C158" t="s">
        <v>511</v>
      </c>
      <c r="D158">
        <v>60</v>
      </c>
      <c r="E158">
        <v>5.83</v>
      </c>
      <c r="F158">
        <v>0</v>
      </c>
      <c r="G158">
        <v>0</v>
      </c>
      <c r="H158">
        <v>5.83</v>
      </c>
      <c r="I158">
        <v>349.8</v>
      </c>
      <c r="J158" s="6">
        <v>45678</v>
      </c>
      <c r="K158">
        <f>Indusmelec_Total[[#This Row],[Prç Uni c/ Desc]]*Indusmelec_Total[[#This Row],[Qtd.]]</f>
        <v>349.8</v>
      </c>
    </row>
    <row r="159" spans="1:11" hidden="1">
      <c r="A159" t="s">
        <v>559</v>
      </c>
      <c r="B159" t="s">
        <v>76</v>
      </c>
      <c r="C159" t="s">
        <v>511</v>
      </c>
      <c r="D159">
        <v>90</v>
      </c>
      <c r="E159">
        <v>4.9782000000000002</v>
      </c>
      <c r="F159">
        <v>0</v>
      </c>
      <c r="G159">
        <v>0</v>
      </c>
      <c r="H159">
        <v>4.9782000000000002</v>
      </c>
      <c r="I159">
        <v>448.04</v>
      </c>
      <c r="J159" s="6">
        <v>46204</v>
      </c>
      <c r="K159">
        <f>Indusmelec_Total[[#This Row],[Prç Uni c/ Desc]]*Indusmelec_Total[[#This Row],[Qtd.]]</f>
        <v>448.03800000000001</v>
      </c>
    </row>
    <row r="160" spans="1:11" hidden="1">
      <c r="A160" t="s">
        <v>131</v>
      </c>
      <c r="B160" t="s">
        <v>132</v>
      </c>
      <c r="C160" t="s">
        <v>133</v>
      </c>
      <c r="D160">
        <v>12</v>
      </c>
      <c r="E160">
        <v>7.88</v>
      </c>
      <c r="F160">
        <v>0</v>
      </c>
      <c r="G160">
        <v>0</v>
      </c>
      <c r="H160">
        <v>7.88</v>
      </c>
      <c r="I160">
        <v>94.56</v>
      </c>
      <c r="J160" s="6">
        <v>46203</v>
      </c>
      <c r="K160">
        <f>Indusmelec_Total[[#This Row],[Prç Uni c/ Desc]]*Indusmelec_Total[[#This Row],[Qtd.]]</f>
        <v>94.56</v>
      </c>
    </row>
    <row r="161" spans="1:11" hidden="1">
      <c r="A161" t="s">
        <v>136</v>
      </c>
      <c r="B161" t="s">
        <v>132</v>
      </c>
      <c r="C161" t="s">
        <v>133</v>
      </c>
      <c r="D161">
        <v>102</v>
      </c>
      <c r="E161">
        <v>7.88</v>
      </c>
      <c r="F161">
        <v>0</v>
      </c>
      <c r="G161">
        <v>0</v>
      </c>
      <c r="H161">
        <v>7.88</v>
      </c>
      <c r="I161">
        <v>803.76</v>
      </c>
      <c r="J161" s="6">
        <v>45820</v>
      </c>
      <c r="K161">
        <f>Indusmelec_Total[[#This Row],[Prç Uni c/ Desc]]*Indusmelec_Total[[#This Row],[Qtd.]]</f>
        <v>803.76</v>
      </c>
    </row>
    <row r="162" spans="1:11" hidden="1">
      <c r="A162" t="s">
        <v>865</v>
      </c>
      <c r="B162" t="s">
        <v>132</v>
      </c>
      <c r="C162" t="s">
        <v>133</v>
      </c>
      <c r="D162">
        <v>24</v>
      </c>
      <c r="E162">
        <v>6.6303999999999998</v>
      </c>
      <c r="F162">
        <v>0</v>
      </c>
      <c r="G162">
        <v>0</v>
      </c>
      <c r="H162">
        <v>6.6303999999999998</v>
      </c>
      <c r="I162">
        <v>159.13</v>
      </c>
      <c r="K162">
        <f>Indusmelec_Total[[#This Row],[Prç Uni c/ Desc]]*Indusmelec_Total[[#This Row],[Qtd.]]</f>
        <v>159.12959999999998</v>
      </c>
    </row>
    <row r="163" spans="1:11" hidden="1">
      <c r="A163" t="s">
        <v>37</v>
      </c>
      <c r="B163" t="s">
        <v>42</v>
      </c>
      <c r="C163" t="s">
        <v>43</v>
      </c>
      <c r="D163">
        <v>10</v>
      </c>
      <c r="E163">
        <v>1.4020999999999999</v>
      </c>
      <c r="F163">
        <v>0</v>
      </c>
      <c r="G163">
        <v>0</v>
      </c>
      <c r="H163">
        <v>1.4020999999999999</v>
      </c>
      <c r="I163">
        <v>14.02</v>
      </c>
      <c r="J163" s="6">
        <v>46080</v>
      </c>
      <c r="K163">
        <f>Indusmelec_Total[[#This Row],[Prç Uni c/ Desc]]*Indusmelec_Total[[#This Row],[Qtd.]]</f>
        <v>14.020999999999999</v>
      </c>
    </row>
    <row r="164" spans="1:11" hidden="1">
      <c r="A164" t="s">
        <v>115</v>
      </c>
      <c r="B164" t="s">
        <v>42</v>
      </c>
      <c r="C164" t="s">
        <v>43</v>
      </c>
      <c r="D164">
        <v>10</v>
      </c>
      <c r="E164">
        <v>1.4020999999999999</v>
      </c>
      <c r="F164">
        <v>0</v>
      </c>
      <c r="G164">
        <v>0</v>
      </c>
      <c r="H164">
        <v>1.4020999999999999</v>
      </c>
      <c r="I164">
        <v>14.02</v>
      </c>
      <c r="J164" s="6">
        <v>46105</v>
      </c>
      <c r="K164">
        <f>Indusmelec_Total[[#This Row],[Prç Uni c/ Desc]]*Indusmelec_Total[[#This Row],[Qtd.]]</f>
        <v>14.020999999999999</v>
      </c>
    </row>
    <row r="165" spans="1:11" hidden="1">
      <c r="A165" t="s">
        <v>146</v>
      </c>
      <c r="B165" t="s">
        <v>42</v>
      </c>
      <c r="C165" t="s">
        <v>43</v>
      </c>
      <c r="D165">
        <v>10</v>
      </c>
      <c r="E165">
        <v>1.4020999999999999</v>
      </c>
      <c r="F165">
        <v>0</v>
      </c>
      <c r="G165">
        <v>0</v>
      </c>
      <c r="H165">
        <v>1.4020999999999999</v>
      </c>
      <c r="I165">
        <v>14.02</v>
      </c>
      <c r="J165" s="6">
        <v>46105</v>
      </c>
      <c r="K165">
        <f>Indusmelec_Total[[#This Row],[Prç Uni c/ Desc]]*Indusmelec_Total[[#This Row],[Qtd.]]</f>
        <v>14.020999999999999</v>
      </c>
    </row>
    <row r="166" spans="1:11" hidden="1">
      <c r="A166" t="s">
        <v>864</v>
      </c>
      <c r="B166" t="s">
        <v>42</v>
      </c>
      <c r="C166" t="s">
        <v>43</v>
      </c>
      <c r="D166">
        <v>15</v>
      </c>
      <c r="E166">
        <v>1.4019999999999999</v>
      </c>
      <c r="F166">
        <v>0</v>
      </c>
      <c r="G166">
        <v>0</v>
      </c>
      <c r="H166">
        <v>1.4019999999999999</v>
      </c>
      <c r="I166">
        <v>21.03</v>
      </c>
      <c r="J166" s="6">
        <v>46246</v>
      </c>
      <c r="K166">
        <f>Indusmelec_Total[[#This Row],[Prç Uni c/ Desc]]*Indusmelec_Total[[#This Row],[Qtd.]]</f>
        <v>21.029999999999998</v>
      </c>
    </row>
    <row r="167" spans="1:11" hidden="1">
      <c r="A167" t="s">
        <v>207</v>
      </c>
      <c r="B167" t="s">
        <v>42</v>
      </c>
      <c r="C167" t="s">
        <v>43</v>
      </c>
      <c r="D167">
        <v>25</v>
      </c>
      <c r="E167">
        <v>1.99</v>
      </c>
      <c r="F167">
        <v>0</v>
      </c>
      <c r="G167">
        <v>0</v>
      </c>
      <c r="H167">
        <v>1.99</v>
      </c>
      <c r="J167" s="6">
        <v>45610</v>
      </c>
      <c r="K167">
        <f>Indusmelec_Total[[#This Row],[Prç Uni c/ Desc]]*Indusmelec_Total[[#This Row],[Qtd.]]</f>
        <v>49.75</v>
      </c>
    </row>
    <row r="168" spans="1:11" hidden="1">
      <c r="A168" t="s">
        <v>262</v>
      </c>
      <c r="B168" t="s">
        <v>42</v>
      </c>
      <c r="C168" t="s">
        <v>43</v>
      </c>
      <c r="D168">
        <v>10</v>
      </c>
      <c r="E168">
        <v>4.78</v>
      </c>
      <c r="F168">
        <v>0.6</v>
      </c>
      <c r="G168">
        <v>0</v>
      </c>
      <c r="H168">
        <v>1.9120000000000001</v>
      </c>
      <c r="I168">
        <v>19.12</v>
      </c>
      <c r="J168" s="6">
        <v>46156</v>
      </c>
      <c r="K168">
        <f>Indusmelec_Total[[#This Row],[Prç Uni c/ Desc]]*Indusmelec_Total[[#This Row],[Qtd.]]</f>
        <v>19.12</v>
      </c>
    </row>
    <row r="169" spans="1:11" hidden="1">
      <c r="A169" t="s">
        <v>291</v>
      </c>
      <c r="B169" t="s">
        <v>42</v>
      </c>
      <c r="C169" t="s">
        <v>292</v>
      </c>
      <c r="D169">
        <v>10</v>
      </c>
      <c r="E169">
        <v>1.4019999999999999</v>
      </c>
      <c r="F169">
        <v>0</v>
      </c>
      <c r="G169">
        <v>0</v>
      </c>
      <c r="H169">
        <v>1.4019999999999999</v>
      </c>
      <c r="I169">
        <v>14.02</v>
      </c>
      <c r="J169" s="6">
        <v>46213</v>
      </c>
      <c r="K169">
        <f>Indusmelec_Total[[#This Row],[Prç Uni c/ Desc]]*Indusmelec_Total[[#This Row],[Qtd.]]</f>
        <v>14.02</v>
      </c>
    </row>
    <row r="170" spans="1:11" hidden="1">
      <c r="A170" t="s">
        <v>865</v>
      </c>
      <c r="B170" t="s">
        <v>42</v>
      </c>
      <c r="C170" t="s">
        <v>43</v>
      </c>
      <c r="D170">
        <v>20</v>
      </c>
      <c r="E170">
        <v>1.4019999999999999</v>
      </c>
      <c r="F170">
        <v>0</v>
      </c>
      <c r="G170">
        <v>0</v>
      </c>
      <c r="H170">
        <v>1.4019999999999999</v>
      </c>
      <c r="I170">
        <v>28.04</v>
      </c>
      <c r="K170">
        <f>Indusmelec_Total[[#This Row],[Prç Uni c/ Desc]]*Indusmelec_Total[[#This Row],[Qtd.]]</f>
        <v>28.04</v>
      </c>
    </row>
    <row r="171" spans="1:11" hidden="1">
      <c r="A171" t="s">
        <v>225</v>
      </c>
      <c r="B171" t="s">
        <v>42</v>
      </c>
      <c r="C171" t="s">
        <v>43</v>
      </c>
      <c r="D171">
        <v>3</v>
      </c>
      <c r="E171">
        <v>4.78</v>
      </c>
      <c r="F171">
        <v>0.63</v>
      </c>
      <c r="G171">
        <v>0</v>
      </c>
      <c r="H171">
        <v>1.7686000000000002</v>
      </c>
      <c r="I171">
        <v>5.31</v>
      </c>
      <c r="K171">
        <f>Indusmelec_Total[[#This Row],[Prç Uni c/ Desc]]*Indusmelec_Total[[#This Row],[Qtd.]]</f>
        <v>5.3058000000000005</v>
      </c>
    </row>
    <row r="172" spans="1:11" hidden="1">
      <c r="A172" t="s">
        <v>422</v>
      </c>
      <c r="B172" t="s">
        <v>42</v>
      </c>
      <c r="C172" t="s">
        <v>348</v>
      </c>
      <c r="D172">
        <v>50</v>
      </c>
      <c r="E172">
        <v>1.99</v>
      </c>
      <c r="F172">
        <v>0</v>
      </c>
      <c r="G172">
        <v>0</v>
      </c>
      <c r="H172">
        <v>1.99</v>
      </c>
      <c r="I172">
        <v>99.5</v>
      </c>
      <c r="J172" s="6">
        <v>45763</v>
      </c>
      <c r="K172">
        <f>Indusmelec_Total[[#This Row],[Prç Uni c/ Desc]]*Indusmelec_Total[[#This Row],[Qtd.]]</f>
        <v>99.5</v>
      </c>
    </row>
    <row r="173" spans="1:11" hidden="1">
      <c r="A173" t="s">
        <v>342</v>
      </c>
      <c r="B173" t="s">
        <v>42</v>
      </c>
      <c r="C173" t="s">
        <v>348</v>
      </c>
      <c r="D173">
        <v>10</v>
      </c>
      <c r="E173">
        <v>4.78</v>
      </c>
      <c r="F173">
        <v>0.68</v>
      </c>
      <c r="G173">
        <v>0</v>
      </c>
      <c r="H173">
        <v>1.5295999999999998</v>
      </c>
      <c r="I173">
        <v>15.3</v>
      </c>
      <c r="K173">
        <f>Indusmelec_Total[[#This Row],[Prç Uni c/ Desc]]*Indusmelec_Total[[#This Row],[Qtd.]]</f>
        <v>15.295999999999999</v>
      </c>
    </row>
    <row r="174" spans="1:11" hidden="1">
      <c r="A174" t="s">
        <v>425</v>
      </c>
      <c r="B174" t="s">
        <v>426</v>
      </c>
      <c r="C174" t="s">
        <v>427</v>
      </c>
      <c r="D174">
        <v>8</v>
      </c>
      <c r="E174">
        <v>2.4</v>
      </c>
      <c r="F174">
        <v>0</v>
      </c>
      <c r="G174">
        <v>0</v>
      </c>
      <c r="H174">
        <v>2.4</v>
      </c>
      <c r="I174">
        <v>19.2</v>
      </c>
      <c r="J174" s="6">
        <v>45454</v>
      </c>
      <c r="K174">
        <f>Indusmelec_Total[[#This Row],[Prç Uni c/ Desc]]*Indusmelec_Total[[#This Row],[Qtd.]]</f>
        <v>19.2</v>
      </c>
    </row>
    <row r="175" spans="1:11" hidden="1">
      <c r="A175" t="s">
        <v>18</v>
      </c>
      <c r="B175" t="s">
        <v>29</v>
      </c>
      <c r="C175" t="s">
        <v>30</v>
      </c>
      <c r="D175">
        <v>10</v>
      </c>
      <c r="E175">
        <v>7.84</v>
      </c>
      <c r="F175">
        <v>0.65</v>
      </c>
      <c r="G175">
        <v>0</v>
      </c>
      <c r="H175">
        <v>2.7439999999999998</v>
      </c>
      <c r="I175">
        <v>27.44</v>
      </c>
      <c r="J175" s="6">
        <v>45910</v>
      </c>
      <c r="K175">
        <f>Indusmelec_Total[[#This Row],[Prç Uni c/ Desc]]*Indusmelec_Total[[#This Row],[Qtd.]]</f>
        <v>27.439999999999998</v>
      </c>
    </row>
    <row r="176" spans="1:11" hidden="1">
      <c r="A176" t="s">
        <v>37</v>
      </c>
      <c r="B176" t="s">
        <v>29</v>
      </c>
      <c r="C176" t="s">
        <v>30</v>
      </c>
      <c r="D176">
        <v>10</v>
      </c>
      <c r="E176">
        <v>2.3043</v>
      </c>
      <c r="F176">
        <v>0</v>
      </c>
      <c r="G176">
        <v>0</v>
      </c>
      <c r="H176">
        <v>2.3043</v>
      </c>
      <c r="I176">
        <v>23.04</v>
      </c>
      <c r="J176" s="6">
        <v>46080</v>
      </c>
      <c r="K176">
        <f>Indusmelec_Total[[#This Row],[Prç Uni c/ Desc]]*Indusmelec_Total[[#This Row],[Qtd.]]</f>
        <v>23.042999999999999</v>
      </c>
    </row>
    <row r="177" spans="1:11" hidden="1">
      <c r="A177" t="s">
        <v>75</v>
      </c>
      <c r="B177" t="s">
        <v>29</v>
      </c>
      <c r="C177" t="s">
        <v>30</v>
      </c>
      <c r="D177">
        <v>15</v>
      </c>
      <c r="E177">
        <v>7.69</v>
      </c>
      <c r="F177">
        <v>0.6</v>
      </c>
      <c r="G177">
        <v>0</v>
      </c>
      <c r="H177">
        <v>3.0760000000000005</v>
      </c>
      <c r="I177">
        <v>46.14</v>
      </c>
      <c r="J177" s="6">
        <v>45842</v>
      </c>
      <c r="K177">
        <f>Indusmelec_Total[[#This Row],[Prç Uni c/ Desc]]*Indusmelec_Total[[#This Row],[Qtd.]]</f>
        <v>46.140000000000008</v>
      </c>
    </row>
    <row r="178" spans="1:11" hidden="1">
      <c r="A178" t="s">
        <v>103</v>
      </c>
      <c r="B178" t="s">
        <v>29</v>
      </c>
      <c r="C178" t="s">
        <v>104</v>
      </c>
      <c r="D178">
        <v>10</v>
      </c>
      <c r="E178">
        <v>3.08</v>
      </c>
      <c r="F178">
        <v>0</v>
      </c>
      <c r="G178">
        <v>0</v>
      </c>
      <c r="H178">
        <v>3.08</v>
      </c>
      <c r="I178">
        <v>30.8</v>
      </c>
      <c r="J178" s="6">
        <v>45707</v>
      </c>
      <c r="K178">
        <f>Indusmelec_Total[[#This Row],[Prç Uni c/ Desc]]*Indusmelec_Total[[#This Row],[Qtd.]]</f>
        <v>30.8</v>
      </c>
    </row>
    <row r="179" spans="1:11" hidden="1">
      <c r="A179" t="s">
        <v>108</v>
      </c>
      <c r="B179" t="s">
        <v>29</v>
      </c>
      <c r="C179" t="s">
        <v>30</v>
      </c>
      <c r="D179">
        <v>10</v>
      </c>
      <c r="E179">
        <v>2.3043</v>
      </c>
      <c r="F179">
        <v>0</v>
      </c>
      <c r="G179">
        <v>0</v>
      </c>
      <c r="H179">
        <v>2.3043</v>
      </c>
      <c r="I179">
        <v>23.04</v>
      </c>
      <c r="J179" s="6">
        <v>46080</v>
      </c>
      <c r="K179">
        <f>Indusmelec_Total[[#This Row],[Prç Uni c/ Desc]]*Indusmelec_Total[[#This Row],[Qtd.]]</f>
        <v>23.042999999999999</v>
      </c>
    </row>
    <row r="180" spans="1:11" hidden="1">
      <c r="A180" t="s">
        <v>112</v>
      </c>
      <c r="B180" t="s">
        <v>29</v>
      </c>
      <c r="C180" t="s">
        <v>30</v>
      </c>
      <c r="D180">
        <v>10</v>
      </c>
      <c r="E180">
        <v>3.08</v>
      </c>
      <c r="F180">
        <v>0</v>
      </c>
      <c r="G180">
        <v>0</v>
      </c>
      <c r="H180">
        <v>3.08</v>
      </c>
      <c r="I180">
        <v>30.8</v>
      </c>
      <c r="J180" s="6">
        <v>45714</v>
      </c>
      <c r="K180">
        <f>Indusmelec_Total[[#This Row],[Prç Uni c/ Desc]]*Indusmelec_Total[[#This Row],[Qtd.]]</f>
        <v>30.8</v>
      </c>
    </row>
    <row r="181" spans="1:11" hidden="1">
      <c r="A181" t="s">
        <v>131</v>
      </c>
      <c r="B181" t="s">
        <v>29</v>
      </c>
      <c r="C181" t="s">
        <v>30</v>
      </c>
      <c r="D181">
        <v>10</v>
      </c>
      <c r="E181">
        <v>2.3043</v>
      </c>
      <c r="F181">
        <v>0</v>
      </c>
      <c r="G181">
        <v>0</v>
      </c>
      <c r="H181">
        <v>2.3043</v>
      </c>
      <c r="I181">
        <v>23.04</v>
      </c>
      <c r="J181" s="6">
        <v>46203</v>
      </c>
      <c r="K181">
        <f>Indusmelec_Total[[#This Row],[Prç Uni c/ Desc]]*Indusmelec_Total[[#This Row],[Qtd.]]</f>
        <v>23.042999999999999</v>
      </c>
    </row>
    <row r="182" spans="1:11" hidden="1">
      <c r="A182" t="s">
        <v>865</v>
      </c>
      <c r="B182" t="s">
        <v>29</v>
      </c>
      <c r="C182" t="s">
        <v>30</v>
      </c>
      <c r="D182">
        <v>20</v>
      </c>
      <c r="E182">
        <v>2.3043</v>
      </c>
      <c r="F182">
        <v>0</v>
      </c>
      <c r="G182">
        <v>0</v>
      </c>
      <c r="H182">
        <v>2.3043</v>
      </c>
      <c r="I182">
        <v>46.09</v>
      </c>
      <c r="K182">
        <f>Indusmelec_Total[[#This Row],[Prç Uni c/ Desc]]*Indusmelec_Total[[#This Row],[Qtd.]]</f>
        <v>46.085999999999999</v>
      </c>
    </row>
    <row r="183" spans="1:11" hidden="1">
      <c r="A183" t="s">
        <v>369</v>
      </c>
      <c r="B183" t="s">
        <v>29</v>
      </c>
      <c r="C183" t="s">
        <v>370</v>
      </c>
      <c r="D183">
        <v>10</v>
      </c>
      <c r="E183">
        <v>3.08</v>
      </c>
      <c r="F183">
        <v>0</v>
      </c>
      <c r="G183">
        <v>0</v>
      </c>
      <c r="H183">
        <v>3.08</v>
      </c>
      <c r="I183">
        <v>30.8</v>
      </c>
      <c r="J183" s="6">
        <v>45727</v>
      </c>
      <c r="K183">
        <f>Indusmelec_Total[[#This Row],[Prç Uni c/ Desc]]*Indusmelec_Total[[#This Row],[Qtd.]]</f>
        <v>30.8</v>
      </c>
    </row>
    <row r="184" spans="1:11" hidden="1">
      <c r="A184" t="s">
        <v>409</v>
      </c>
      <c r="B184" t="s">
        <v>29</v>
      </c>
      <c r="C184" t="s">
        <v>412</v>
      </c>
      <c r="D184">
        <v>5</v>
      </c>
      <c r="E184">
        <v>7.69</v>
      </c>
      <c r="F184">
        <v>0.6</v>
      </c>
      <c r="G184">
        <v>0</v>
      </c>
      <c r="H184">
        <v>3.0760000000000005</v>
      </c>
      <c r="I184">
        <v>15.38</v>
      </c>
      <c r="J184" s="6">
        <v>45750</v>
      </c>
      <c r="K184">
        <f>Indusmelec_Total[[#This Row],[Prç Uni c/ Desc]]*Indusmelec_Total[[#This Row],[Qtd.]]</f>
        <v>15.380000000000003</v>
      </c>
    </row>
    <row r="185" spans="1:11" hidden="1">
      <c r="A185" t="s">
        <v>423</v>
      </c>
      <c r="B185" t="s">
        <v>29</v>
      </c>
      <c r="C185" t="s">
        <v>349</v>
      </c>
      <c r="D185">
        <v>15</v>
      </c>
      <c r="E185">
        <v>7.69</v>
      </c>
      <c r="F185">
        <v>0.6</v>
      </c>
      <c r="G185">
        <v>0</v>
      </c>
      <c r="H185">
        <v>3.0760000000000005</v>
      </c>
      <c r="J185" s="6">
        <v>45770</v>
      </c>
      <c r="K185">
        <f>Indusmelec_Total[[#This Row],[Prç Uni c/ Desc]]*Indusmelec_Total[[#This Row],[Qtd.]]</f>
        <v>46.140000000000008</v>
      </c>
    </row>
    <row r="186" spans="1:11" hidden="1">
      <c r="A186" t="s">
        <v>342</v>
      </c>
      <c r="B186" t="s">
        <v>29</v>
      </c>
      <c r="C186" t="s">
        <v>349</v>
      </c>
      <c r="D186">
        <v>10</v>
      </c>
      <c r="E186">
        <v>7.84</v>
      </c>
      <c r="F186">
        <v>0.68</v>
      </c>
      <c r="G186">
        <v>0</v>
      </c>
      <c r="H186">
        <v>2.5087999999999995</v>
      </c>
      <c r="I186">
        <v>25.09</v>
      </c>
      <c r="K186">
        <f>Indusmelec_Total[[#This Row],[Prç Uni c/ Desc]]*Indusmelec_Total[[#This Row],[Qtd.]]</f>
        <v>25.087999999999994</v>
      </c>
    </row>
    <row r="187" spans="1:11" hidden="1">
      <c r="A187" t="s">
        <v>18</v>
      </c>
      <c r="B187" t="s">
        <v>25</v>
      </c>
      <c r="C187" t="s">
        <v>26</v>
      </c>
      <c r="D187">
        <v>10</v>
      </c>
      <c r="E187">
        <v>9.4600000000000009</v>
      </c>
      <c r="F187">
        <v>0.65</v>
      </c>
      <c r="G187">
        <v>0</v>
      </c>
      <c r="H187">
        <v>3.3109999999999999</v>
      </c>
      <c r="I187">
        <v>33.11</v>
      </c>
      <c r="J187" s="6">
        <v>45910</v>
      </c>
      <c r="K187">
        <f>Indusmelec_Total[[#This Row],[Prç Uni c/ Desc]]*Indusmelec_Total[[#This Row],[Qtd.]]</f>
        <v>33.11</v>
      </c>
    </row>
    <row r="188" spans="1:11" hidden="1">
      <c r="A188" t="s">
        <v>37</v>
      </c>
      <c r="B188" t="s">
        <v>25</v>
      </c>
      <c r="C188" t="s">
        <v>26</v>
      </c>
      <c r="D188">
        <v>10</v>
      </c>
      <c r="E188">
        <v>2.7717000000000001</v>
      </c>
      <c r="F188">
        <v>0</v>
      </c>
      <c r="G188">
        <v>0</v>
      </c>
      <c r="H188">
        <v>2.7717000000000001</v>
      </c>
      <c r="I188">
        <v>27.72</v>
      </c>
      <c r="J188" s="6">
        <v>46080</v>
      </c>
      <c r="K188">
        <f>Indusmelec_Total[[#This Row],[Prç Uni c/ Desc]]*Indusmelec_Total[[#This Row],[Qtd.]]</f>
        <v>27.716999999999999</v>
      </c>
    </row>
    <row r="189" spans="1:11" hidden="1">
      <c r="A189" t="s">
        <v>131</v>
      </c>
      <c r="B189" t="s">
        <v>25</v>
      </c>
      <c r="C189" t="s">
        <v>26</v>
      </c>
      <c r="D189">
        <v>10</v>
      </c>
      <c r="E189">
        <v>2.7717000000000001</v>
      </c>
      <c r="F189">
        <v>0</v>
      </c>
      <c r="G189">
        <v>0</v>
      </c>
      <c r="H189">
        <v>2.7717000000000001</v>
      </c>
      <c r="I189">
        <v>27.72</v>
      </c>
      <c r="J189" s="6">
        <v>46203</v>
      </c>
      <c r="K189">
        <f>Indusmelec_Total[[#This Row],[Prç Uni c/ Desc]]*Indusmelec_Total[[#This Row],[Qtd.]]</f>
        <v>27.716999999999999</v>
      </c>
    </row>
    <row r="190" spans="1:11" hidden="1">
      <c r="A190" t="s">
        <v>865</v>
      </c>
      <c r="B190" t="s">
        <v>25</v>
      </c>
      <c r="C190" t="s">
        <v>26</v>
      </c>
      <c r="D190">
        <v>10</v>
      </c>
      <c r="E190">
        <v>2.7717000000000001</v>
      </c>
      <c r="F190">
        <v>0</v>
      </c>
      <c r="G190">
        <v>0</v>
      </c>
      <c r="H190">
        <v>2.7717000000000001</v>
      </c>
      <c r="I190">
        <v>27.72</v>
      </c>
      <c r="K190">
        <f>Indusmelec_Total[[#This Row],[Prç Uni c/ Desc]]*Indusmelec_Total[[#This Row],[Qtd.]]</f>
        <v>27.716999999999999</v>
      </c>
    </row>
    <row r="191" spans="1:11" hidden="1">
      <c r="A191" t="s">
        <v>342</v>
      </c>
      <c r="B191" t="s">
        <v>25</v>
      </c>
      <c r="C191" t="s">
        <v>350</v>
      </c>
      <c r="D191">
        <v>10</v>
      </c>
      <c r="E191">
        <v>9.4600000000000009</v>
      </c>
      <c r="F191">
        <v>0.68</v>
      </c>
      <c r="G191">
        <v>0</v>
      </c>
      <c r="H191">
        <v>3.0271999999999997</v>
      </c>
      <c r="I191">
        <v>30.27</v>
      </c>
      <c r="K191">
        <f>Indusmelec_Total[[#This Row],[Prç Uni c/ Desc]]*Indusmelec_Total[[#This Row],[Qtd.]]</f>
        <v>30.271999999999998</v>
      </c>
    </row>
    <row r="192" spans="1:11" hidden="1">
      <c r="A192" t="s">
        <v>18</v>
      </c>
      <c r="B192" t="s">
        <v>27</v>
      </c>
      <c r="C192" t="s">
        <v>28</v>
      </c>
      <c r="D192">
        <v>10</v>
      </c>
      <c r="E192">
        <v>11.09</v>
      </c>
      <c r="F192">
        <v>0.65</v>
      </c>
      <c r="G192">
        <v>0</v>
      </c>
      <c r="H192">
        <v>3.8814999999999995</v>
      </c>
      <c r="I192">
        <v>38.82</v>
      </c>
      <c r="J192" s="6">
        <v>45910</v>
      </c>
      <c r="K192">
        <f>Indusmelec_Total[[#This Row],[Prç Uni c/ Desc]]*Indusmelec_Total[[#This Row],[Qtd.]]</f>
        <v>38.814999999999998</v>
      </c>
    </row>
    <row r="193" spans="1:11" hidden="1">
      <c r="A193" t="s">
        <v>143</v>
      </c>
      <c r="B193" t="s">
        <v>27</v>
      </c>
      <c r="C193" t="s">
        <v>28</v>
      </c>
      <c r="D193">
        <v>10</v>
      </c>
      <c r="E193">
        <v>11.09</v>
      </c>
      <c r="F193">
        <v>0.6</v>
      </c>
      <c r="G193">
        <v>0</v>
      </c>
      <c r="H193">
        <v>4.4359999999999999</v>
      </c>
      <c r="I193">
        <v>44.36</v>
      </c>
      <c r="J193" s="6">
        <v>45838</v>
      </c>
      <c r="K193">
        <f>Indusmelec_Total[[#This Row],[Prç Uni c/ Desc]]*Indusmelec_Total[[#This Row],[Qtd.]]</f>
        <v>44.36</v>
      </c>
    </row>
    <row r="194" spans="1:11" hidden="1">
      <c r="A194" t="s">
        <v>240</v>
      </c>
      <c r="B194" t="s">
        <v>27</v>
      </c>
      <c r="C194" t="s">
        <v>261</v>
      </c>
      <c r="D194">
        <v>10</v>
      </c>
      <c r="E194">
        <v>11.09</v>
      </c>
      <c r="F194">
        <v>0.63</v>
      </c>
      <c r="G194">
        <v>0</v>
      </c>
      <c r="H194">
        <v>4.1032999999999999</v>
      </c>
      <c r="I194">
        <v>41.03</v>
      </c>
      <c r="K194">
        <f>Indusmelec_Total[[#This Row],[Prç Uni c/ Desc]]*Indusmelec_Total[[#This Row],[Qtd.]]</f>
        <v>41.033000000000001</v>
      </c>
    </row>
    <row r="195" spans="1:11" hidden="1">
      <c r="A195" t="s">
        <v>37</v>
      </c>
      <c r="B195" t="s">
        <v>40</v>
      </c>
      <c r="C195" t="s">
        <v>41</v>
      </c>
      <c r="D195">
        <v>200</v>
      </c>
      <c r="E195">
        <v>0.33689999999999998</v>
      </c>
      <c r="F195">
        <v>0</v>
      </c>
      <c r="G195">
        <v>0</v>
      </c>
      <c r="H195">
        <v>0.33689999999999998</v>
      </c>
      <c r="I195">
        <v>67.38</v>
      </c>
      <c r="J195" s="6">
        <v>46080</v>
      </c>
      <c r="K195">
        <f>Indusmelec_Total[[#This Row],[Prç Uni c/ Desc]]*Indusmelec_Total[[#This Row],[Qtd.]]</f>
        <v>67.38</v>
      </c>
    </row>
    <row r="196" spans="1:11" hidden="1">
      <c r="A196" t="s">
        <v>49</v>
      </c>
      <c r="B196" t="s">
        <v>40</v>
      </c>
      <c r="C196" t="s">
        <v>52</v>
      </c>
      <c r="D196">
        <v>50</v>
      </c>
      <c r="E196">
        <v>0.4</v>
      </c>
      <c r="F196">
        <v>0</v>
      </c>
      <c r="G196">
        <v>0</v>
      </c>
      <c r="H196">
        <v>0.4</v>
      </c>
      <c r="I196">
        <v>20</v>
      </c>
      <c r="J196" s="6">
        <v>45460</v>
      </c>
      <c r="K196">
        <f>Indusmelec_Total[[#This Row],[Prç Uni c/ Desc]]*Indusmelec_Total[[#This Row],[Qtd.]]</f>
        <v>20</v>
      </c>
    </row>
    <row r="197" spans="1:11" hidden="1">
      <c r="A197" t="s">
        <v>71</v>
      </c>
      <c r="B197" t="s">
        <v>40</v>
      </c>
      <c r="C197" t="s">
        <v>41</v>
      </c>
      <c r="D197">
        <v>150</v>
      </c>
      <c r="E197">
        <v>0.4</v>
      </c>
      <c r="F197">
        <v>0</v>
      </c>
      <c r="G197">
        <v>0</v>
      </c>
      <c r="H197">
        <v>0.4</v>
      </c>
      <c r="I197">
        <v>60</v>
      </c>
      <c r="J197" s="6">
        <v>45460</v>
      </c>
      <c r="K197">
        <f>Indusmelec_Total[[#This Row],[Prç Uni c/ Desc]]*Indusmelec_Total[[#This Row],[Qtd.]]</f>
        <v>60</v>
      </c>
    </row>
    <row r="198" spans="1:11" hidden="1">
      <c r="A198" t="s">
        <v>94</v>
      </c>
      <c r="B198" t="s">
        <v>40</v>
      </c>
      <c r="C198" t="s">
        <v>41</v>
      </c>
      <c r="D198">
        <v>100</v>
      </c>
      <c r="E198">
        <v>0.4</v>
      </c>
      <c r="F198">
        <v>0</v>
      </c>
      <c r="G198">
        <v>0</v>
      </c>
      <c r="H198">
        <v>0.4</v>
      </c>
      <c r="I198">
        <v>40</v>
      </c>
      <c r="J198" s="6">
        <v>45534</v>
      </c>
      <c r="K198">
        <f>Indusmelec_Total[[#This Row],[Prç Uni c/ Desc]]*Indusmelec_Total[[#This Row],[Qtd.]]</f>
        <v>40</v>
      </c>
    </row>
    <row r="199" spans="1:11" hidden="1">
      <c r="A199" t="s">
        <v>105</v>
      </c>
      <c r="B199" t="s">
        <v>40</v>
      </c>
      <c r="C199" t="s">
        <v>41</v>
      </c>
      <c r="D199">
        <v>20</v>
      </c>
      <c r="E199">
        <v>1.1399999999999999</v>
      </c>
      <c r="F199">
        <v>0.63</v>
      </c>
      <c r="G199">
        <v>0</v>
      </c>
      <c r="H199">
        <v>0.42179999999999995</v>
      </c>
      <c r="I199">
        <v>8.44</v>
      </c>
      <c r="J199" s="6">
        <v>46079</v>
      </c>
      <c r="K199">
        <f>Indusmelec_Total[[#This Row],[Prç Uni c/ Desc]]*Indusmelec_Total[[#This Row],[Qtd.]]</f>
        <v>8.4359999999999999</v>
      </c>
    </row>
    <row r="200" spans="1:11" hidden="1">
      <c r="A200" t="s">
        <v>864</v>
      </c>
      <c r="B200" t="s">
        <v>40</v>
      </c>
      <c r="C200" t="s">
        <v>41</v>
      </c>
      <c r="D200">
        <v>100</v>
      </c>
      <c r="E200">
        <v>0.34</v>
      </c>
      <c r="F200">
        <v>0</v>
      </c>
      <c r="G200">
        <v>0</v>
      </c>
      <c r="H200">
        <v>0.34</v>
      </c>
      <c r="I200">
        <v>34</v>
      </c>
      <c r="J200" s="6">
        <v>46246</v>
      </c>
      <c r="K200">
        <f>Indusmelec_Total[[#This Row],[Prç Uni c/ Desc]]*Indusmelec_Total[[#This Row],[Qtd.]]</f>
        <v>34</v>
      </c>
    </row>
    <row r="201" spans="1:11" hidden="1">
      <c r="A201" t="s">
        <v>207</v>
      </c>
      <c r="B201" t="s">
        <v>40</v>
      </c>
      <c r="C201" t="s">
        <v>41</v>
      </c>
      <c r="D201">
        <v>50</v>
      </c>
      <c r="E201">
        <v>0.4</v>
      </c>
      <c r="F201">
        <v>0</v>
      </c>
      <c r="G201">
        <v>0</v>
      </c>
      <c r="H201">
        <v>0.4</v>
      </c>
      <c r="J201" s="6">
        <v>45610</v>
      </c>
      <c r="K201">
        <f>Indusmelec_Total[[#This Row],[Prç Uni c/ Desc]]*Indusmelec_Total[[#This Row],[Qtd.]]</f>
        <v>20</v>
      </c>
    </row>
    <row r="202" spans="1:11" hidden="1">
      <c r="A202" t="s">
        <v>263</v>
      </c>
      <c r="B202" t="s">
        <v>40</v>
      </c>
      <c r="C202" t="s">
        <v>41</v>
      </c>
      <c r="D202">
        <v>100</v>
      </c>
      <c r="E202">
        <v>1.1399999999999999</v>
      </c>
      <c r="F202">
        <v>0.6</v>
      </c>
      <c r="G202">
        <v>0</v>
      </c>
      <c r="H202">
        <v>0.45599999999999996</v>
      </c>
      <c r="I202">
        <v>45.6</v>
      </c>
      <c r="J202" s="6">
        <v>46156</v>
      </c>
      <c r="K202">
        <f>Indusmelec_Total[[#This Row],[Prç Uni c/ Desc]]*Indusmelec_Total[[#This Row],[Qtd.]]</f>
        <v>45.599999999999994</v>
      </c>
    </row>
    <row r="203" spans="1:11" hidden="1">
      <c r="A203" t="s">
        <v>290</v>
      </c>
      <c r="B203" t="s">
        <v>40</v>
      </c>
      <c r="C203" t="s">
        <v>41</v>
      </c>
      <c r="D203">
        <v>100</v>
      </c>
      <c r="E203">
        <v>0.34</v>
      </c>
      <c r="F203">
        <v>0</v>
      </c>
      <c r="G203">
        <v>0</v>
      </c>
      <c r="H203">
        <v>0.34</v>
      </c>
      <c r="I203">
        <v>34</v>
      </c>
      <c r="J203" s="6">
        <v>46213</v>
      </c>
      <c r="K203">
        <f>Indusmelec_Total[[#This Row],[Prç Uni c/ Desc]]*Indusmelec_Total[[#This Row],[Qtd.]]</f>
        <v>34</v>
      </c>
    </row>
    <row r="204" spans="1:11" hidden="1">
      <c r="A204" t="s">
        <v>865</v>
      </c>
      <c r="B204" t="s">
        <v>40</v>
      </c>
      <c r="C204" t="s">
        <v>41</v>
      </c>
      <c r="D204">
        <v>200</v>
      </c>
      <c r="E204">
        <v>0.34</v>
      </c>
      <c r="F204">
        <v>0</v>
      </c>
      <c r="G204">
        <v>0</v>
      </c>
      <c r="H204">
        <v>0.34</v>
      </c>
      <c r="I204">
        <v>68</v>
      </c>
      <c r="K204">
        <f>Indusmelec_Total[[#This Row],[Prç Uni c/ Desc]]*Indusmelec_Total[[#This Row],[Qtd.]]</f>
        <v>68</v>
      </c>
    </row>
    <row r="205" spans="1:11" hidden="1">
      <c r="A205" t="s">
        <v>225</v>
      </c>
      <c r="B205" t="s">
        <v>40</v>
      </c>
      <c r="C205" t="s">
        <v>226</v>
      </c>
      <c r="D205">
        <v>40</v>
      </c>
      <c r="E205">
        <v>1.1399999999999999</v>
      </c>
      <c r="F205">
        <v>0.63</v>
      </c>
      <c r="G205">
        <v>0</v>
      </c>
      <c r="H205">
        <v>0.42179999999999995</v>
      </c>
      <c r="I205">
        <v>16.87</v>
      </c>
      <c r="K205">
        <f>Indusmelec_Total[[#This Row],[Prç Uni c/ Desc]]*Indusmelec_Total[[#This Row],[Qtd.]]</f>
        <v>16.872</v>
      </c>
    </row>
    <row r="206" spans="1:11" hidden="1">
      <c r="A206" t="s">
        <v>240</v>
      </c>
      <c r="B206" t="s">
        <v>40</v>
      </c>
      <c r="C206" t="s">
        <v>41</v>
      </c>
      <c r="D206">
        <v>50</v>
      </c>
      <c r="E206">
        <v>1.1399999999999999</v>
      </c>
      <c r="F206">
        <v>0.63</v>
      </c>
      <c r="G206">
        <v>0</v>
      </c>
      <c r="H206">
        <v>0.42179999999999995</v>
      </c>
      <c r="I206">
        <v>21.09</v>
      </c>
      <c r="K206">
        <f>Indusmelec_Total[[#This Row],[Prç Uni c/ Desc]]*Indusmelec_Total[[#This Row],[Qtd.]]</f>
        <v>21.089999999999996</v>
      </c>
    </row>
    <row r="207" spans="1:11" hidden="1">
      <c r="A207" t="s">
        <v>281</v>
      </c>
      <c r="B207" t="s">
        <v>40</v>
      </c>
      <c r="C207" t="s">
        <v>41</v>
      </c>
      <c r="D207">
        <v>100</v>
      </c>
      <c r="E207">
        <v>0.36</v>
      </c>
      <c r="F207">
        <v>0</v>
      </c>
      <c r="G207">
        <v>0</v>
      </c>
      <c r="H207">
        <v>0.36</v>
      </c>
      <c r="I207">
        <v>36</v>
      </c>
      <c r="K207">
        <f>Indusmelec_Total[[#This Row],[Prç Uni c/ Desc]]*Indusmelec_Total[[#This Row],[Qtd.]]</f>
        <v>36</v>
      </c>
    </row>
    <row r="208" spans="1:11" hidden="1">
      <c r="A208" t="s">
        <v>293</v>
      </c>
      <c r="B208" t="s">
        <v>40</v>
      </c>
      <c r="C208" t="s">
        <v>41</v>
      </c>
      <c r="D208">
        <v>100</v>
      </c>
      <c r="E208">
        <v>0.34</v>
      </c>
      <c r="F208">
        <v>0</v>
      </c>
      <c r="G208">
        <v>0</v>
      </c>
      <c r="H208">
        <v>0.34</v>
      </c>
      <c r="I208">
        <v>34</v>
      </c>
      <c r="K208">
        <f>Indusmelec_Total[[#This Row],[Prç Uni c/ Desc]]*Indusmelec_Total[[#This Row],[Qtd.]]</f>
        <v>34</v>
      </c>
    </row>
    <row r="209" spans="1:11" hidden="1">
      <c r="A209" t="s">
        <v>409</v>
      </c>
      <c r="B209" t="s">
        <v>40</v>
      </c>
      <c r="C209" t="s">
        <v>346</v>
      </c>
      <c r="D209">
        <v>150</v>
      </c>
      <c r="E209">
        <v>1.1399999999999999</v>
      </c>
      <c r="F209">
        <v>0.6</v>
      </c>
      <c r="G209">
        <v>0</v>
      </c>
      <c r="H209">
        <v>0.45599999999999996</v>
      </c>
      <c r="I209">
        <v>68.400000000000006</v>
      </c>
      <c r="J209" s="6">
        <v>45750</v>
      </c>
      <c r="K209">
        <f>Indusmelec_Total[[#This Row],[Prç Uni c/ Desc]]*Indusmelec_Total[[#This Row],[Qtd.]]</f>
        <v>68.399999999999991</v>
      </c>
    </row>
    <row r="210" spans="1:11" hidden="1">
      <c r="A210" t="s">
        <v>422</v>
      </c>
      <c r="B210" t="s">
        <v>40</v>
      </c>
      <c r="C210" t="s">
        <v>346</v>
      </c>
      <c r="D210">
        <v>250</v>
      </c>
      <c r="E210">
        <v>0.36</v>
      </c>
      <c r="F210">
        <v>0</v>
      </c>
      <c r="G210">
        <v>0</v>
      </c>
      <c r="H210">
        <v>0.36</v>
      </c>
      <c r="I210">
        <v>90</v>
      </c>
      <c r="J210" s="6">
        <v>45763</v>
      </c>
      <c r="K210">
        <f>Indusmelec_Total[[#This Row],[Prç Uni c/ Desc]]*Indusmelec_Total[[#This Row],[Qtd.]]</f>
        <v>90</v>
      </c>
    </row>
    <row r="211" spans="1:11" hidden="1">
      <c r="A211" t="s">
        <v>509</v>
      </c>
      <c r="B211" t="s">
        <v>40</v>
      </c>
      <c r="C211" t="s">
        <v>510</v>
      </c>
      <c r="D211">
        <v>300</v>
      </c>
      <c r="E211">
        <v>0.39</v>
      </c>
      <c r="F211">
        <v>0</v>
      </c>
      <c r="G211">
        <v>0</v>
      </c>
      <c r="H211">
        <v>0.39</v>
      </c>
      <c r="I211">
        <v>117</v>
      </c>
      <c r="J211" s="6">
        <v>45678</v>
      </c>
      <c r="K211">
        <f>Indusmelec_Total[[#This Row],[Prç Uni c/ Desc]]*Indusmelec_Total[[#This Row],[Qtd.]]</f>
        <v>117</v>
      </c>
    </row>
    <row r="212" spans="1:11" hidden="1">
      <c r="A212" t="s">
        <v>585</v>
      </c>
      <c r="B212" t="s">
        <v>40</v>
      </c>
      <c r="C212" t="s">
        <v>346</v>
      </c>
      <c r="D212">
        <v>200</v>
      </c>
      <c r="E212">
        <v>0.4</v>
      </c>
      <c r="F212">
        <v>0</v>
      </c>
      <c r="G212">
        <v>0</v>
      </c>
      <c r="H212">
        <v>0.4</v>
      </c>
      <c r="I212">
        <v>80</v>
      </c>
      <c r="J212" s="6">
        <v>45629</v>
      </c>
      <c r="K212">
        <f>Indusmelec_Total[[#This Row],[Prç Uni c/ Desc]]*Indusmelec_Total[[#This Row],[Qtd.]]</f>
        <v>80</v>
      </c>
    </row>
    <row r="213" spans="1:11" hidden="1">
      <c r="A213" t="s">
        <v>342</v>
      </c>
      <c r="B213" t="s">
        <v>40</v>
      </c>
      <c r="C213" t="s">
        <v>346</v>
      </c>
      <c r="D213">
        <v>200</v>
      </c>
      <c r="E213">
        <v>1.1399999999999999</v>
      </c>
      <c r="F213">
        <v>0.68</v>
      </c>
      <c r="G213">
        <v>0</v>
      </c>
      <c r="H213">
        <v>0.3647999999999999</v>
      </c>
      <c r="I213">
        <v>72.959999999999994</v>
      </c>
      <c r="K213">
        <f>Indusmelec_Total[[#This Row],[Prç Uni c/ Desc]]*Indusmelec_Total[[#This Row],[Qtd.]]</f>
        <v>72.95999999999998</v>
      </c>
    </row>
    <row r="214" spans="1:11" hidden="1">
      <c r="A214" t="s">
        <v>18</v>
      </c>
      <c r="B214" t="s">
        <v>33</v>
      </c>
      <c r="C214" t="s">
        <v>34</v>
      </c>
      <c r="D214">
        <v>150</v>
      </c>
      <c r="E214">
        <v>0.33</v>
      </c>
      <c r="F214">
        <v>0</v>
      </c>
      <c r="G214">
        <v>0</v>
      </c>
      <c r="H214">
        <v>0.33</v>
      </c>
      <c r="I214">
        <v>49.5</v>
      </c>
      <c r="J214" s="6">
        <v>45910</v>
      </c>
      <c r="K214">
        <f>Indusmelec_Total[[#This Row],[Prç Uni c/ Desc]]*Indusmelec_Total[[#This Row],[Qtd.]]</f>
        <v>49.5</v>
      </c>
    </row>
    <row r="215" spans="1:11" hidden="1">
      <c r="A215" t="s">
        <v>64</v>
      </c>
      <c r="B215" t="s">
        <v>33</v>
      </c>
      <c r="C215" t="s">
        <v>34</v>
      </c>
      <c r="D215">
        <v>40</v>
      </c>
      <c r="E215">
        <v>1.03</v>
      </c>
      <c r="F215">
        <v>0.55000000000000004</v>
      </c>
      <c r="G215">
        <v>0</v>
      </c>
      <c r="H215">
        <v>0.46349999999999997</v>
      </c>
      <c r="I215">
        <v>18.54</v>
      </c>
      <c r="J215" s="6">
        <v>45460</v>
      </c>
      <c r="K215">
        <f>Indusmelec_Total[[#This Row],[Prç Uni c/ Desc]]*Indusmelec_Total[[#This Row],[Qtd.]]</f>
        <v>18.54</v>
      </c>
    </row>
    <row r="216" spans="1:11" hidden="1">
      <c r="A216" t="s">
        <v>71</v>
      </c>
      <c r="B216" t="s">
        <v>33</v>
      </c>
      <c r="C216" t="s">
        <v>34</v>
      </c>
      <c r="D216">
        <v>160</v>
      </c>
      <c r="E216">
        <v>1.03</v>
      </c>
      <c r="F216">
        <v>0.55000000000000004</v>
      </c>
      <c r="G216">
        <v>0</v>
      </c>
      <c r="H216">
        <v>0.46349999999999997</v>
      </c>
      <c r="I216">
        <v>74.16</v>
      </c>
      <c r="J216" s="6">
        <v>45460</v>
      </c>
      <c r="K216">
        <f>Indusmelec_Total[[#This Row],[Prç Uni c/ Desc]]*Indusmelec_Total[[#This Row],[Qtd.]]</f>
        <v>74.16</v>
      </c>
    </row>
    <row r="217" spans="1:11" hidden="1">
      <c r="A217" t="s">
        <v>94</v>
      </c>
      <c r="B217" t="s">
        <v>33</v>
      </c>
      <c r="C217" t="s">
        <v>34</v>
      </c>
      <c r="D217">
        <v>150</v>
      </c>
      <c r="E217">
        <v>1.03</v>
      </c>
      <c r="F217">
        <v>0.55000000000000004</v>
      </c>
      <c r="G217">
        <v>0</v>
      </c>
      <c r="H217">
        <v>0.46349999999999997</v>
      </c>
      <c r="I217">
        <v>69.53</v>
      </c>
      <c r="J217" s="6">
        <v>45534</v>
      </c>
      <c r="K217">
        <f>Indusmelec_Total[[#This Row],[Prç Uni c/ Desc]]*Indusmelec_Total[[#This Row],[Qtd.]]</f>
        <v>69.524999999999991</v>
      </c>
    </row>
    <row r="218" spans="1:11" hidden="1">
      <c r="A218" t="s">
        <v>866</v>
      </c>
      <c r="B218" t="s">
        <v>33</v>
      </c>
      <c r="C218" t="s">
        <v>34</v>
      </c>
      <c r="D218">
        <v>100</v>
      </c>
      <c r="E218">
        <v>1.05</v>
      </c>
      <c r="F218">
        <v>0.63</v>
      </c>
      <c r="G218">
        <v>0</v>
      </c>
      <c r="H218">
        <v>0.38850000000000001</v>
      </c>
      <c r="I218">
        <v>38.85</v>
      </c>
      <c r="J218" s="6">
        <v>46246</v>
      </c>
      <c r="K218">
        <f>Indusmelec_Total[[#This Row],[Prç Uni c/ Desc]]*Indusmelec_Total[[#This Row],[Qtd.]]</f>
        <v>38.85</v>
      </c>
    </row>
    <row r="219" spans="1:11" hidden="1">
      <c r="A219" t="s">
        <v>864</v>
      </c>
      <c r="B219" t="s">
        <v>33</v>
      </c>
      <c r="C219" t="s">
        <v>34</v>
      </c>
      <c r="D219">
        <v>100</v>
      </c>
      <c r="E219">
        <v>0.3</v>
      </c>
      <c r="F219">
        <v>0</v>
      </c>
      <c r="G219">
        <v>0</v>
      </c>
      <c r="H219">
        <v>0.3</v>
      </c>
      <c r="I219">
        <v>30</v>
      </c>
      <c r="J219" s="6">
        <v>46246</v>
      </c>
      <c r="K219">
        <f>Indusmelec_Total[[#This Row],[Prç Uni c/ Desc]]*Indusmelec_Total[[#This Row],[Qtd.]]</f>
        <v>30</v>
      </c>
    </row>
    <row r="220" spans="1:11" hidden="1">
      <c r="A220" t="s">
        <v>167</v>
      </c>
      <c r="B220" t="s">
        <v>33</v>
      </c>
      <c r="C220" t="s">
        <v>170</v>
      </c>
      <c r="D220">
        <v>100</v>
      </c>
      <c r="E220">
        <v>0.36</v>
      </c>
      <c r="F220">
        <v>0</v>
      </c>
      <c r="G220">
        <v>0</v>
      </c>
      <c r="H220">
        <v>0.36</v>
      </c>
      <c r="I220">
        <v>36</v>
      </c>
      <c r="J220" s="6">
        <v>45918</v>
      </c>
      <c r="K220">
        <f>Indusmelec_Total[[#This Row],[Prç Uni c/ Desc]]*Indusmelec_Total[[#This Row],[Qtd.]]</f>
        <v>36</v>
      </c>
    </row>
    <row r="221" spans="1:11" hidden="1">
      <c r="A221" t="s">
        <v>211</v>
      </c>
      <c r="B221" t="s">
        <v>33</v>
      </c>
      <c r="C221" t="s">
        <v>34</v>
      </c>
      <c r="D221">
        <v>80</v>
      </c>
      <c r="E221">
        <v>0.42</v>
      </c>
      <c r="F221">
        <v>0</v>
      </c>
      <c r="G221">
        <v>0</v>
      </c>
      <c r="H221">
        <v>0.42</v>
      </c>
      <c r="J221" s="6">
        <v>46008</v>
      </c>
      <c r="K221">
        <f>Indusmelec_Total[[#This Row],[Prç Uni c/ Desc]]*Indusmelec_Total[[#This Row],[Qtd.]]</f>
        <v>33.6</v>
      </c>
    </row>
    <row r="222" spans="1:11" hidden="1">
      <c r="A222" t="s">
        <v>263</v>
      </c>
      <c r="B222" t="s">
        <v>33</v>
      </c>
      <c r="C222" t="s">
        <v>34</v>
      </c>
      <c r="D222">
        <v>150</v>
      </c>
      <c r="E222">
        <v>1.05</v>
      </c>
      <c r="F222">
        <v>0.5</v>
      </c>
      <c r="G222">
        <v>0</v>
      </c>
      <c r="H222">
        <v>0.52500000000000002</v>
      </c>
      <c r="I222">
        <v>78.75</v>
      </c>
      <c r="J222" s="6">
        <v>46156</v>
      </c>
      <c r="K222">
        <f>Indusmelec_Total[[#This Row],[Prç Uni c/ Desc]]*Indusmelec_Total[[#This Row],[Qtd.]]</f>
        <v>78.75</v>
      </c>
    </row>
    <row r="223" spans="1:11" hidden="1">
      <c r="A223" t="s">
        <v>290</v>
      </c>
      <c r="B223" t="s">
        <v>33</v>
      </c>
      <c r="C223" t="s">
        <v>34</v>
      </c>
      <c r="D223">
        <v>150</v>
      </c>
      <c r="E223">
        <v>0.3</v>
      </c>
      <c r="F223">
        <v>0</v>
      </c>
      <c r="G223">
        <v>0</v>
      </c>
      <c r="H223">
        <v>0.3</v>
      </c>
      <c r="I223">
        <v>45</v>
      </c>
      <c r="J223" s="6">
        <v>46213</v>
      </c>
      <c r="K223">
        <f>Indusmelec_Total[[#This Row],[Prç Uni c/ Desc]]*Indusmelec_Total[[#This Row],[Qtd.]]</f>
        <v>45</v>
      </c>
    </row>
    <row r="224" spans="1:11" hidden="1">
      <c r="A224" t="s">
        <v>865</v>
      </c>
      <c r="B224" t="s">
        <v>33</v>
      </c>
      <c r="C224" t="s">
        <v>34</v>
      </c>
      <c r="D224">
        <v>200</v>
      </c>
      <c r="E224">
        <v>0.3</v>
      </c>
      <c r="F224">
        <v>0</v>
      </c>
      <c r="G224">
        <v>0</v>
      </c>
      <c r="H224">
        <v>0.3</v>
      </c>
      <c r="I224">
        <v>60</v>
      </c>
      <c r="K224">
        <f>Indusmelec_Total[[#This Row],[Prç Uni c/ Desc]]*Indusmelec_Total[[#This Row],[Qtd.]]</f>
        <v>60</v>
      </c>
    </row>
    <row r="225" spans="1:11" hidden="1">
      <c r="A225" t="s">
        <v>225</v>
      </c>
      <c r="B225" t="s">
        <v>33</v>
      </c>
      <c r="C225" t="s">
        <v>34</v>
      </c>
      <c r="D225">
        <v>30</v>
      </c>
      <c r="E225">
        <v>1.05</v>
      </c>
      <c r="F225">
        <v>0.63</v>
      </c>
      <c r="G225">
        <v>0</v>
      </c>
      <c r="H225">
        <v>0.38850000000000001</v>
      </c>
      <c r="I225">
        <v>11.66</v>
      </c>
      <c r="K225">
        <f>Indusmelec_Total[[#This Row],[Prç Uni c/ Desc]]*Indusmelec_Total[[#This Row],[Qtd.]]</f>
        <v>11.655000000000001</v>
      </c>
    </row>
    <row r="226" spans="1:11" hidden="1">
      <c r="A226" t="s">
        <v>409</v>
      </c>
      <c r="B226" t="s">
        <v>33</v>
      </c>
      <c r="C226" t="s">
        <v>421</v>
      </c>
      <c r="D226">
        <v>80</v>
      </c>
      <c r="E226">
        <v>1.05</v>
      </c>
      <c r="F226">
        <v>0.6</v>
      </c>
      <c r="G226">
        <v>0</v>
      </c>
      <c r="H226">
        <v>0.42000000000000004</v>
      </c>
      <c r="I226">
        <v>33.6</v>
      </c>
      <c r="J226" s="6">
        <v>45750</v>
      </c>
      <c r="K226">
        <f>Indusmelec_Total[[#This Row],[Prç Uni c/ Desc]]*Indusmelec_Total[[#This Row],[Qtd.]]</f>
        <v>33.6</v>
      </c>
    </row>
    <row r="227" spans="1:11" hidden="1">
      <c r="A227" t="s">
        <v>422</v>
      </c>
      <c r="B227" t="s">
        <v>33</v>
      </c>
      <c r="C227" t="s">
        <v>347</v>
      </c>
      <c r="D227">
        <v>250</v>
      </c>
      <c r="E227">
        <v>0.33</v>
      </c>
      <c r="F227">
        <v>0</v>
      </c>
      <c r="G227">
        <v>0</v>
      </c>
      <c r="H227">
        <v>0.33</v>
      </c>
      <c r="I227">
        <v>82.5</v>
      </c>
      <c r="J227" s="6">
        <v>45763</v>
      </c>
      <c r="K227">
        <f>Indusmelec_Total[[#This Row],[Prç Uni c/ Desc]]*Indusmelec_Total[[#This Row],[Qtd.]]</f>
        <v>82.5</v>
      </c>
    </row>
    <row r="228" spans="1:11" hidden="1">
      <c r="A228" t="s">
        <v>509</v>
      </c>
      <c r="B228" t="s">
        <v>33</v>
      </c>
      <c r="C228" t="s">
        <v>347</v>
      </c>
      <c r="D228">
        <v>200</v>
      </c>
      <c r="E228">
        <v>0.36</v>
      </c>
      <c r="F228">
        <v>0</v>
      </c>
      <c r="G228">
        <v>0</v>
      </c>
      <c r="H228">
        <v>0.36</v>
      </c>
      <c r="I228">
        <v>72</v>
      </c>
      <c r="J228" s="6">
        <v>45678</v>
      </c>
      <c r="K228">
        <f>Indusmelec_Total[[#This Row],[Prç Uni c/ Desc]]*Indusmelec_Total[[#This Row],[Qtd.]]</f>
        <v>72</v>
      </c>
    </row>
    <row r="229" spans="1:11" hidden="1">
      <c r="A229" t="s">
        <v>559</v>
      </c>
      <c r="B229" t="s">
        <v>33</v>
      </c>
      <c r="C229" t="s">
        <v>347</v>
      </c>
      <c r="D229">
        <v>50</v>
      </c>
      <c r="E229">
        <v>0.3</v>
      </c>
      <c r="F229">
        <v>0</v>
      </c>
      <c r="G229">
        <v>0</v>
      </c>
      <c r="H229">
        <v>0.3</v>
      </c>
      <c r="I229">
        <v>15</v>
      </c>
      <c r="J229" s="6">
        <v>46204</v>
      </c>
      <c r="K229">
        <f>Indusmelec_Total[[#This Row],[Prç Uni c/ Desc]]*Indusmelec_Total[[#This Row],[Qtd.]]</f>
        <v>15</v>
      </c>
    </row>
    <row r="230" spans="1:11" hidden="1">
      <c r="A230" t="s">
        <v>585</v>
      </c>
      <c r="B230" t="s">
        <v>33</v>
      </c>
      <c r="C230" t="s">
        <v>347</v>
      </c>
      <c r="D230">
        <v>150</v>
      </c>
      <c r="E230">
        <v>0.39</v>
      </c>
      <c r="F230">
        <v>0</v>
      </c>
      <c r="G230">
        <v>0</v>
      </c>
      <c r="H230">
        <v>0.39</v>
      </c>
      <c r="I230">
        <v>58.5</v>
      </c>
      <c r="J230" s="6">
        <v>45629</v>
      </c>
      <c r="K230">
        <f>Indusmelec_Total[[#This Row],[Prç Uni c/ Desc]]*Indusmelec_Total[[#This Row],[Qtd.]]</f>
        <v>58.5</v>
      </c>
    </row>
    <row r="231" spans="1:11" hidden="1">
      <c r="A231" t="s">
        <v>342</v>
      </c>
      <c r="B231" t="s">
        <v>33</v>
      </c>
      <c r="C231" t="s">
        <v>347</v>
      </c>
      <c r="D231">
        <v>150</v>
      </c>
      <c r="E231">
        <v>1.05</v>
      </c>
      <c r="F231">
        <v>0.68</v>
      </c>
      <c r="G231">
        <v>0</v>
      </c>
      <c r="H231">
        <v>0.33599999999999997</v>
      </c>
      <c r="I231">
        <v>50.4</v>
      </c>
      <c r="K231">
        <f>Indusmelec_Total[[#This Row],[Prç Uni c/ Desc]]*Indusmelec_Total[[#This Row],[Qtd.]]</f>
        <v>50.399999999999991</v>
      </c>
    </row>
    <row r="232" spans="1:11" hidden="1">
      <c r="A232" t="s">
        <v>281</v>
      </c>
      <c r="B232" t="s">
        <v>283</v>
      </c>
      <c r="C232" t="s">
        <v>284</v>
      </c>
      <c r="D232">
        <v>200</v>
      </c>
      <c r="E232">
        <v>0.36</v>
      </c>
      <c r="F232">
        <v>0</v>
      </c>
      <c r="G232">
        <v>0</v>
      </c>
      <c r="H232">
        <v>0.36</v>
      </c>
      <c r="I232">
        <v>72</v>
      </c>
      <c r="K232">
        <f>Indusmelec_Total[[#This Row],[Prç Uni c/ Desc]]*Indusmelec_Total[[#This Row],[Qtd.]]</f>
        <v>72</v>
      </c>
    </row>
    <row r="233" spans="1:11" hidden="1">
      <c r="A233" t="s">
        <v>293</v>
      </c>
      <c r="B233" t="s">
        <v>283</v>
      </c>
      <c r="C233" t="s">
        <v>284</v>
      </c>
      <c r="D233">
        <v>200</v>
      </c>
      <c r="E233">
        <v>0.3</v>
      </c>
      <c r="F233">
        <v>0</v>
      </c>
      <c r="G233">
        <v>0</v>
      </c>
      <c r="H233">
        <v>0.3</v>
      </c>
      <c r="I233">
        <v>60</v>
      </c>
      <c r="K233">
        <f>Indusmelec_Total[[#This Row],[Prç Uni c/ Desc]]*Indusmelec_Total[[#This Row],[Qtd.]]</f>
        <v>60</v>
      </c>
    </row>
    <row r="234" spans="1:11" hidden="1">
      <c r="A234" t="s">
        <v>18</v>
      </c>
      <c r="B234" t="s">
        <v>31</v>
      </c>
      <c r="C234" t="s">
        <v>32</v>
      </c>
      <c r="D234">
        <v>100</v>
      </c>
      <c r="E234">
        <v>2.27</v>
      </c>
      <c r="F234">
        <v>0</v>
      </c>
      <c r="G234">
        <v>0</v>
      </c>
      <c r="H234">
        <v>2.27</v>
      </c>
      <c r="I234">
        <v>227</v>
      </c>
      <c r="J234" s="6">
        <v>45910</v>
      </c>
      <c r="K234">
        <f>Indusmelec_Total[[#This Row],[Prç Uni c/ Desc]]*Indusmelec_Total[[#This Row],[Qtd.]]</f>
        <v>227</v>
      </c>
    </row>
    <row r="235" spans="1:11" hidden="1">
      <c r="A235" t="s">
        <v>37</v>
      </c>
      <c r="B235" t="s">
        <v>31</v>
      </c>
      <c r="C235" t="s">
        <v>32</v>
      </c>
      <c r="D235">
        <v>100</v>
      </c>
      <c r="E235">
        <v>1.9020999999999999</v>
      </c>
      <c r="F235">
        <v>0</v>
      </c>
      <c r="G235">
        <v>0</v>
      </c>
      <c r="H235">
        <v>1.9020999999999999</v>
      </c>
      <c r="I235">
        <v>190.21</v>
      </c>
      <c r="J235" s="6">
        <v>46080</v>
      </c>
      <c r="K235">
        <f>Indusmelec_Total[[#This Row],[Prç Uni c/ Desc]]*Indusmelec_Total[[#This Row],[Qtd.]]</f>
        <v>190.20999999999998</v>
      </c>
    </row>
    <row r="236" spans="1:11" hidden="1">
      <c r="A236" t="s">
        <v>49</v>
      </c>
      <c r="B236" t="s">
        <v>31</v>
      </c>
      <c r="C236" t="s">
        <v>53</v>
      </c>
      <c r="D236">
        <v>10</v>
      </c>
      <c r="E236">
        <v>2.25</v>
      </c>
      <c r="F236">
        <v>0</v>
      </c>
      <c r="G236">
        <v>0</v>
      </c>
      <c r="H236">
        <v>2.25</v>
      </c>
      <c r="I236">
        <v>22.5</v>
      </c>
      <c r="J236" s="6">
        <v>45460</v>
      </c>
      <c r="K236">
        <f>Indusmelec_Total[[#This Row],[Prç Uni c/ Desc]]*Indusmelec_Total[[#This Row],[Qtd.]]</f>
        <v>22.5</v>
      </c>
    </row>
    <row r="237" spans="1:11" hidden="1">
      <c r="A237" t="s">
        <v>94</v>
      </c>
      <c r="B237" t="s">
        <v>31</v>
      </c>
      <c r="C237" t="s">
        <v>32</v>
      </c>
      <c r="D237">
        <v>100</v>
      </c>
      <c r="E237">
        <v>2.25</v>
      </c>
      <c r="F237">
        <v>0</v>
      </c>
      <c r="G237">
        <v>0</v>
      </c>
      <c r="H237">
        <v>2.25</v>
      </c>
      <c r="I237">
        <v>225</v>
      </c>
      <c r="J237" s="6">
        <v>45534</v>
      </c>
      <c r="K237">
        <f>Indusmelec_Total[[#This Row],[Prç Uni c/ Desc]]*Indusmelec_Total[[#This Row],[Qtd.]]</f>
        <v>225</v>
      </c>
    </row>
    <row r="238" spans="1:11" hidden="1">
      <c r="A238" t="s">
        <v>119</v>
      </c>
      <c r="B238" t="s">
        <v>31</v>
      </c>
      <c r="C238" t="s">
        <v>120</v>
      </c>
      <c r="D238">
        <v>50</v>
      </c>
      <c r="E238">
        <v>6.48</v>
      </c>
      <c r="F238">
        <v>0.6</v>
      </c>
      <c r="G238">
        <v>0</v>
      </c>
      <c r="H238">
        <v>2.5920000000000005</v>
      </c>
      <c r="I238">
        <v>129.6</v>
      </c>
      <c r="J238" s="6">
        <v>45751</v>
      </c>
      <c r="K238">
        <f>Indusmelec_Total[[#This Row],[Prç Uni c/ Desc]]*Indusmelec_Total[[#This Row],[Qtd.]]</f>
        <v>129.60000000000002</v>
      </c>
    </row>
    <row r="239" spans="1:11" hidden="1">
      <c r="A239" t="s">
        <v>136</v>
      </c>
      <c r="B239" t="s">
        <v>31</v>
      </c>
      <c r="C239" t="s">
        <v>32</v>
      </c>
      <c r="D239">
        <v>50</v>
      </c>
      <c r="E239">
        <v>2.27</v>
      </c>
      <c r="F239">
        <v>0</v>
      </c>
      <c r="G239">
        <v>0</v>
      </c>
      <c r="H239">
        <v>2.27</v>
      </c>
      <c r="I239">
        <v>113.5</v>
      </c>
      <c r="J239" s="6">
        <v>45820</v>
      </c>
      <c r="K239">
        <f>Indusmelec_Total[[#This Row],[Prç Uni c/ Desc]]*Indusmelec_Total[[#This Row],[Qtd.]]</f>
        <v>113.5</v>
      </c>
    </row>
    <row r="240" spans="1:11" hidden="1">
      <c r="A240" t="s">
        <v>864</v>
      </c>
      <c r="B240" t="s">
        <v>31</v>
      </c>
      <c r="C240" t="s">
        <v>32</v>
      </c>
      <c r="D240">
        <v>100</v>
      </c>
      <c r="E240">
        <v>1.9</v>
      </c>
      <c r="F240">
        <v>0</v>
      </c>
      <c r="G240">
        <v>0</v>
      </c>
      <c r="H240">
        <v>1.9</v>
      </c>
      <c r="I240">
        <v>190</v>
      </c>
      <c r="J240" s="6">
        <v>46246</v>
      </c>
      <c r="K240">
        <f>Indusmelec_Total[[#This Row],[Prç Uni c/ Desc]]*Indusmelec_Total[[#This Row],[Qtd.]]</f>
        <v>190</v>
      </c>
    </row>
    <row r="241" spans="1:11" hidden="1">
      <c r="A241" t="s">
        <v>263</v>
      </c>
      <c r="B241" t="s">
        <v>31</v>
      </c>
      <c r="C241" t="s">
        <v>32</v>
      </c>
      <c r="D241">
        <v>60</v>
      </c>
      <c r="E241">
        <v>2.54</v>
      </c>
      <c r="F241">
        <v>0</v>
      </c>
      <c r="G241">
        <v>0</v>
      </c>
      <c r="H241">
        <v>2.54</v>
      </c>
      <c r="I241">
        <v>152.4</v>
      </c>
      <c r="J241" s="6">
        <v>46156</v>
      </c>
      <c r="K241">
        <f>Indusmelec_Total[[#This Row],[Prç Uni c/ Desc]]*Indusmelec_Total[[#This Row],[Qtd.]]</f>
        <v>152.4</v>
      </c>
    </row>
    <row r="242" spans="1:11" hidden="1">
      <c r="A242" t="s">
        <v>290</v>
      </c>
      <c r="B242" t="s">
        <v>31</v>
      </c>
      <c r="C242" t="s">
        <v>32</v>
      </c>
      <c r="D242">
        <v>60</v>
      </c>
      <c r="E242">
        <v>1.9</v>
      </c>
      <c r="F242">
        <v>0</v>
      </c>
      <c r="G242">
        <v>0</v>
      </c>
      <c r="H242">
        <v>1.9</v>
      </c>
      <c r="I242">
        <v>114</v>
      </c>
      <c r="J242" s="6">
        <v>46213</v>
      </c>
      <c r="K242">
        <f>Indusmelec_Total[[#This Row],[Prç Uni c/ Desc]]*Indusmelec_Total[[#This Row],[Qtd.]]</f>
        <v>114</v>
      </c>
    </row>
    <row r="243" spans="1:11" hidden="1">
      <c r="A243" t="s">
        <v>865</v>
      </c>
      <c r="B243" t="s">
        <v>31</v>
      </c>
      <c r="C243" t="s">
        <v>32</v>
      </c>
      <c r="D243">
        <v>100</v>
      </c>
      <c r="E243">
        <v>1.9</v>
      </c>
      <c r="F243">
        <v>0</v>
      </c>
      <c r="G243">
        <v>0</v>
      </c>
      <c r="H243">
        <v>1.9</v>
      </c>
      <c r="I243">
        <v>190</v>
      </c>
      <c r="K243">
        <f>Indusmelec_Total[[#This Row],[Prç Uni c/ Desc]]*Indusmelec_Total[[#This Row],[Qtd.]]</f>
        <v>190</v>
      </c>
    </row>
    <row r="244" spans="1:11" hidden="1">
      <c r="A244" t="s">
        <v>225</v>
      </c>
      <c r="B244" t="s">
        <v>31</v>
      </c>
      <c r="C244" t="s">
        <v>32</v>
      </c>
      <c r="D244">
        <v>10</v>
      </c>
      <c r="E244">
        <v>6.48</v>
      </c>
      <c r="F244">
        <v>0.63</v>
      </c>
      <c r="G244">
        <v>0</v>
      </c>
      <c r="H244">
        <v>2.3976000000000002</v>
      </c>
      <c r="I244">
        <v>23.98</v>
      </c>
      <c r="K244">
        <f>Indusmelec_Total[[#This Row],[Prç Uni c/ Desc]]*Indusmelec_Total[[#This Row],[Qtd.]]</f>
        <v>23.976000000000003</v>
      </c>
    </row>
    <row r="245" spans="1:11" hidden="1">
      <c r="A245" t="s">
        <v>281</v>
      </c>
      <c r="B245" t="s">
        <v>31</v>
      </c>
      <c r="C245" t="s">
        <v>32</v>
      </c>
      <c r="D245">
        <v>100</v>
      </c>
      <c r="E245">
        <v>2.0699999999999998</v>
      </c>
      <c r="F245">
        <v>0</v>
      </c>
      <c r="G245">
        <v>0</v>
      </c>
      <c r="H245">
        <v>2.0699999999999998</v>
      </c>
      <c r="I245">
        <v>207</v>
      </c>
      <c r="K245">
        <f>Indusmelec_Total[[#This Row],[Prç Uni c/ Desc]]*Indusmelec_Total[[#This Row],[Qtd.]]</f>
        <v>206.99999999999997</v>
      </c>
    </row>
    <row r="246" spans="1:11" hidden="1">
      <c r="A246" t="s">
        <v>293</v>
      </c>
      <c r="B246" t="s">
        <v>31</v>
      </c>
      <c r="C246" t="s">
        <v>32</v>
      </c>
      <c r="D246">
        <v>100</v>
      </c>
      <c r="E246">
        <v>1.9</v>
      </c>
      <c r="F246">
        <v>0</v>
      </c>
      <c r="G246">
        <v>0</v>
      </c>
      <c r="H246">
        <v>1.9</v>
      </c>
      <c r="I246">
        <v>190</v>
      </c>
      <c r="K246">
        <f>Indusmelec_Total[[#This Row],[Prç Uni c/ Desc]]*Indusmelec_Total[[#This Row],[Qtd.]]</f>
        <v>190</v>
      </c>
    </row>
    <row r="247" spans="1:11" hidden="1">
      <c r="A247" t="s">
        <v>422</v>
      </c>
      <c r="B247" t="s">
        <v>31</v>
      </c>
      <c r="C247" t="s">
        <v>351</v>
      </c>
      <c r="D247">
        <v>100</v>
      </c>
      <c r="E247">
        <v>2.06</v>
      </c>
      <c r="F247">
        <v>0</v>
      </c>
      <c r="G247">
        <v>0</v>
      </c>
      <c r="H247">
        <v>2.06</v>
      </c>
      <c r="I247">
        <v>206</v>
      </c>
      <c r="J247" s="6">
        <v>45763</v>
      </c>
      <c r="K247">
        <f>Indusmelec_Total[[#This Row],[Prç Uni c/ Desc]]*Indusmelec_Total[[#This Row],[Qtd.]]</f>
        <v>206</v>
      </c>
    </row>
    <row r="248" spans="1:11" hidden="1">
      <c r="A248" t="s">
        <v>509</v>
      </c>
      <c r="B248" t="s">
        <v>31</v>
      </c>
      <c r="C248" t="s">
        <v>351</v>
      </c>
      <c r="D248">
        <v>100</v>
      </c>
      <c r="E248">
        <v>2.2200000000000002</v>
      </c>
      <c r="F248">
        <v>0</v>
      </c>
      <c r="G248">
        <v>0</v>
      </c>
      <c r="H248">
        <v>2.2200000000000002</v>
      </c>
      <c r="I248">
        <v>222</v>
      </c>
      <c r="J248" s="6">
        <v>45678</v>
      </c>
      <c r="K248">
        <f>Indusmelec_Total[[#This Row],[Prç Uni c/ Desc]]*Indusmelec_Total[[#This Row],[Qtd.]]</f>
        <v>222.00000000000003</v>
      </c>
    </row>
    <row r="249" spans="1:11" hidden="1">
      <c r="A249" t="s">
        <v>559</v>
      </c>
      <c r="B249" t="s">
        <v>31</v>
      </c>
      <c r="C249" t="s">
        <v>351</v>
      </c>
      <c r="D249">
        <v>50</v>
      </c>
      <c r="E249">
        <v>1.9</v>
      </c>
      <c r="F249">
        <v>0</v>
      </c>
      <c r="G249">
        <v>0</v>
      </c>
      <c r="H249">
        <v>1.9</v>
      </c>
      <c r="I249">
        <v>95</v>
      </c>
      <c r="J249" s="6">
        <v>46204</v>
      </c>
      <c r="K249">
        <f>Indusmelec_Total[[#This Row],[Prç Uni c/ Desc]]*Indusmelec_Total[[#This Row],[Qtd.]]</f>
        <v>95</v>
      </c>
    </row>
    <row r="250" spans="1:11" hidden="1">
      <c r="A250" t="s">
        <v>585</v>
      </c>
      <c r="B250" t="s">
        <v>31</v>
      </c>
      <c r="C250" t="s">
        <v>351</v>
      </c>
      <c r="D250">
        <v>50</v>
      </c>
      <c r="E250">
        <v>2.25</v>
      </c>
      <c r="F250">
        <v>0</v>
      </c>
      <c r="G250">
        <v>0</v>
      </c>
      <c r="H250">
        <v>2.25</v>
      </c>
      <c r="I250">
        <v>112.5</v>
      </c>
      <c r="J250" s="6">
        <v>45629</v>
      </c>
      <c r="K250">
        <f>Indusmelec_Total[[#This Row],[Prç Uni c/ Desc]]*Indusmelec_Total[[#This Row],[Qtd.]]</f>
        <v>112.5</v>
      </c>
    </row>
    <row r="251" spans="1:11" hidden="1">
      <c r="A251" t="s">
        <v>342</v>
      </c>
      <c r="B251" t="s">
        <v>31</v>
      </c>
      <c r="C251" t="s">
        <v>351</v>
      </c>
      <c r="D251">
        <v>75</v>
      </c>
      <c r="E251">
        <v>6.48</v>
      </c>
      <c r="F251">
        <v>0.68</v>
      </c>
      <c r="G251">
        <v>0</v>
      </c>
      <c r="H251">
        <v>2.0735999999999999</v>
      </c>
      <c r="I251">
        <v>155.52000000000001</v>
      </c>
      <c r="K251">
        <f>Indusmelec_Total[[#This Row],[Prç Uni c/ Desc]]*Indusmelec_Total[[#This Row],[Qtd.]]</f>
        <v>155.51999999999998</v>
      </c>
    </row>
    <row r="252" spans="1:11" hidden="1">
      <c r="A252" t="s">
        <v>18</v>
      </c>
      <c r="B252" t="s">
        <v>23</v>
      </c>
      <c r="C252" t="s">
        <v>24</v>
      </c>
      <c r="D252">
        <v>150</v>
      </c>
      <c r="E252">
        <v>2.41</v>
      </c>
      <c r="F252">
        <v>0</v>
      </c>
      <c r="G252">
        <v>0</v>
      </c>
      <c r="H252">
        <v>2.41</v>
      </c>
      <c r="I252">
        <v>361.5</v>
      </c>
      <c r="J252" s="6">
        <v>45910</v>
      </c>
      <c r="K252">
        <f>Indusmelec_Total[[#This Row],[Prç Uni c/ Desc]]*Indusmelec_Total[[#This Row],[Qtd.]]</f>
        <v>361.5</v>
      </c>
    </row>
    <row r="253" spans="1:11" hidden="1">
      <c r="A253" t="s">
        <v>37</v>
      </c>
      <c r="B253" t="s">
        <v>23</v>
      </c>
      <c r="C253" t="s">
        <v>24</v>
      </c>
      <c r="D253">
        <v>300</v>
      </c>
      <c r="E253">
        <v>2.23</v>
      </c>
      <c r="F253">
        <v>0</v>
      </c>
      <c r="G253">
        <v>0</v>
      </c>
      <c r="H253">
        <v>2.23</v>
      </c>
      <c r="I253">
        <v>669</v>
      </c>
      <c r="J253" s="6">
        <v>46080</v>
      </c>
      <c r="K253">
        <f>Indusmelec_Total[[#This Row],[Prç Uni c/ Desc]]*Indusmelec_Total[[#This Row],[Qtd.]]</f>
        <v>669</v>
      </c>
    </row>
    <row r="254" spans="1:11" hidden="1">
      <c r="A254" t="s">
        <v>49</v>
      </c>
      <c r="B254" t="s">
        <v>23</v>
      </c>
      <c r="C254" t="s">
        <v>51</v>
      </c>
      <c r="D254">
        <v>24</v>
      </c>
      <c r="E254">
        <v>2.63</v>
      </c>
      <c r="F254">
        <v>0</v>
      </c>
      <c r="G254">
        <v>0</v>
      </c>
      <c r="H254">
        <v>2.63</v>
      </c>
      <c r="I254">
        <v>63.12</v>
      </c>
      <c r="J254" s="6">
        <v>45460</v>
      </c>
      <c r="K254">
        <f>Indusmelec_Total[[#This Row],[Prç Uni c/ Desc]]*Indusmelec_Total[[#This Row],[Qtd.]]</f>
        <v>63.12</v>
      </c>
    </row>
    <row r="255" spans="1:11" hidden="1">
      <c r="A255" t="s">
        <v>71</v>
      </c>
      <c r="B255" t="s">
        <v>23</v>
      </c>
      <c r="C255" t="s">
        <v>24</v>
      </c>
      <c r="D255">
        <v>48</v>
      </c>
      <c r="E255">
        <v>2.63</v>
      </c>
      <c r="F255">
        <v>0</v>
      </c>
      <c r="G255">
        <v>0</v>
      </c>
      <c r="H255">
        <v>2.63</v>
      </c>
      <c r="I255">
        <v>126.24</v>
      </c>
      <c r="J255" s="6">
        <v>45460</v>
      </c>
      <c r="K255">
        <f>Indusmelec_Total[[#This Row],[Prç Uni c/ Desc]]*Indusmelec_Total[[#This Row],[Qtd.]]</f>
        <v>126.24</v>
      </c>
    </row>
    <row r="256" spans="1:11" hidden="1">
      <c r="A256" t="s">
        <v>72</v>
      </c>
      <c r="B256" t="s">
        <v>23</v>
      </c>
      <c r="C256" t="s">
        <v>24</v>
      </c>
      <c r="D256">
        <v>222</v>
      </c>
      <c r="E256">
        <v>2.63</v>
      </c>
      <c r="F256">
        <v>0</v>
      </c>
      <c r="G256">
        <v>0</v>
      </c>
      <c r="H256">
        <v>2.63</v>
      </c>
      <c r="I256">
        <v>583.86</v>
      </c>
      <c r="J256" s="6">
        <v>45461</v>
      </c>
      <c r="K256">
        <f>Indusmelec_Total[[#This Row],[Prç Uni c/ Desc]]*Indusmelec_Total[[#This Row],[Qtd.]]</f>
        <v>583.86</v>
      </c>
    </row>
    <row r="257" spans="1:11" hidden="1">
      <c r="A257" t="s">
        <v>75</v>
      </c>
      <c r="B257" t="s">
        <v>23</v>
      </c>
      <c r="C257" t="s">
        <v>24</v>
      </c>
      <c r="D257">
        <v>21</v>
      </c>
      <c r="E257">
        <v>7.44</v>
      </c>
      <c r="F257">
        <v>0.6</v>
      </c>
      <c r="G257">
        <v>0</v>
      </c>
      <c r="H257">
        <v>2.9760000000000004</v>
      </c>
      <c r="I257">
        <v>62.5</v>
      </c>
      <c r="J257" s="6">
        <v>45842</v>
      </c>
      <c r="K257">
        <f>Indusmelec_Total[[#This Row],[Prç Uni c/ Desc]]*Indusmelec_Total[[#This Row],[Qtd.]]</f>
        <v>62.496000000000009</v>
      </c>
    </row>
    <row r="258" spans="1:11" hidden="1">
      <c r="A258" t="s">
        <v>94</v>
      </c>
      <c r="B258" t="s">
        <v>23</v>
      </c>
      <c r="C258" t="s">
        <v>24</v>
      </c>
      <c r="D258">
        <v>75</v>
      </c>
      <c r="E258">
        <v>2.63</v>
      </c>
      <c r="F258">
        <v>0</v>
      </c>
      <c r="G258">
        <v>0</v>
      </c>
      <c r="H258">
        <v>2.63</v>
      </c>
      <c r="I258">
        <v>197.25</v>
      </c>
      <c r="J258" s="6">
        <v>45534</v>
      </c>
      <c r="K258">
        <f>Indusmelec_Total[[#This Row],[Prç Uni c/ Desc]]*Indusmelec_Total[[#This Row],[Qtd.]]</f>
        <v>197.25</v>
      </c>
    </row>
    <row r="259" spans="1:11" hidden="1">
      <c r="A259" t="s">
        <v>105</v>
      </c>
      <c r="B259" t="s">
        <v>23</v>
      </c>
      <c r="C259" t="s">
        <v>24</v>
      </c>
      <c r="D259">
        <v>3</v>
      </c>
      <c r="E259">
        <v>7.59</v>
      </c>
      <c r="F259">
        <v>0.63</v>
      </c>
      <c r="G259">
        <v>0</v>
      </c>
      <c r="H259">
        <v>2.8083</v>
      </c>
      <c r="I259">
        <v>8.42</v>
      </c>
      <c r="J259" s="6">
        <v>46079</v>
      </c>
      <c r="K259">
        <f>Indusmelec_Total[[#This Row],[Prç Uni c/ Desc]]*Indusmelec_Total[[#This Row],[Qtd.]]</f>
        <v>8.4249000000000009</v>
      </c>
    </row>
    <row r="260" spans="1:11" hidden="1">
      <c r="A260" t="s">
        <v>112</v>
      </c>
      <c r="B260" t="s">
        <v>23</v>
      </c>
      <c r="C260" t="s">
        <v>24</v>
      </c>
      <c r="D260">
        <v>60</v>
      </c>
      <c r="E260">
        <v>2.83</v>
      </c>
      <c r="F260">
        <v>0</v>
      </c>
      <c r="G260">
        <v>0</v>
      </c>
      <c r="H260">
        <v>2.83</v>
      </c>
      <c r="I260">
        <v>169.8</v>
      </c>
      <c r="J260" s="6">
        <v>45714</v>
      </c>
      <c r="K260">
        <f>Indusmelec_Total[[#This Row],[Prç Uni c/ Desc]]*Indusmelec_Total[[#This Row],[Qtd.]]</f>
        <v>169.8</v>
      </c>
    </row>
    <row r="261" spans="1:11" hidden="1">
      <c r="A261" t="s">
        <v>142</v>
      </c>
      <c r="B261" t="s">
        <v>23</v>
      </c>
      <c r="C261" t="s">
        <v>24</v>
      </c>
      <c r="D261">
        <v>48</v>
      </c>
      <c r="E261">
        <v>2.41</v>
      </c>
      <c r="F261">
        <v>0</v>
      </c>
      <c r="G261">
        <v>0</v>
      </c>
      <c r="H261">
        <v>2.41</v>
      </c>
      <c r="I261">
        <v>115.68</v>
      </c>
      <c r="J261" s="6">
        <v>45832</v>
      </c>
      <c r="K261">
        <f>Indusmelec_Total[[#This Row],[Prç Uni c/ Desc]]*Indusmelec_Total[[#This Row],[Qtd.]]</f>
        <v>115.68</v>
      </c>
    </row>
    <row r="262" spans="1:11" hidden="1">
      <c r="A262" t="s">
        <v>144</v>
      </c>
      <c r="B262" t="s">
        <v>23</v>
      </c>
      <c r="C262" t="s">
        <v>145</v>
      </c>
      <c r="D262">
        <v>453</v>
      </c>
      <c r="E262">
        <v>2.41</v>
      </c>
      <c r="F262">
        <v>0</v>
      </c>
      <c r="G262">
        <v>0</v>
      </c>
      <c r="H262">
        <v>2.41</v>
      </c>
      <c r="I262">
        <v>1091.73</v>
      </c>
      <c r="J262" s="6">
        <v>45838</v>
      </c>
      <c r="K262">
        <f>Indusmelec_Total[[#This Row],[Prç Uni c/ Desc]]*Indusmelec_Total[[#This Row],[Qtd.]]</f>
        <v>1091.73</v>
      </c>
    </row>
    <row r="263" spans="1:11" hidden="1">
      <c r="A263" t="s">
        <v>864</v>
      </c>
      <c r="B263" t="s">
        <v>23</v>
      </c>
      <c r="C263" t="s">
        <v>24</v>
      </c>
      <c r="D263">
        <v>60</v>
      </c>
      <c r="E263">
        <v>2.23</v>
      </c>
      <c r="F263">
        <v>0</v>
      </c>
      <c r="G263">
        <v>0</v>
      </c>
      <c r="H263">
        <v>2.23</v>
      </c>
      <c r="I263">
        <v>133.80000000000001</v>
      </c>
      <c r="J263" s="6">
        <v>46246</v>
      </c>
      <c r="K263">
        <f>Indusmelec_Total[[#This Row],[Prç Uni c/ Desc]]*Indusmelec_Total[[#This Row],[Qtd.]]</f>
        <v>133.80000000000001</v>
      </c>
    </row>
    <row r="264" spans="1:11" hidden="1">
      <c r="A264" t="s">
        <v>204</v>
      </c>
      <c r="B264" t="s">
        <v>23</v>
      </c>
      <c r="C264" t="s">
        <v>24</v>
      </c>
      <c r="D264">
        <v>24</v>
      </c>
      <c r="E264">
        <v>7.59</v>
      </c>
      <c r="F264">
        <v>0.63</v>
      </c>
      <c r="G264">
        <v>0</v>
      </c>
      <c r="H264">
        <v>2.8083</v>
      </c>
      <c r="I264">
        <v>67.400000000000006</v>
      </c>
      <c r="J264" s="6">
        <v>45994</v>
      </c>
      <c r="K264">
        <f>Indusmelec_Total[[#This Row],[Prç Uni c/ Desc]]*Indusmelec_Total[[#This Row],[Qtd.]]</f>
        <v>67.399200000000008</v>
      </c>
    </row>
    <row r="265" spans="1:11" hidden="1">
      <c r="A265" t="s">
        <v>208</v>
      </c>
      <c r="B265" t="s">
        <v>23</v>
      </c>
      <c r="C265" t="s">
        <v>24</v>
      </c>
      <c r="D265">
        <v>30</v>
      </c>
      <c r="E265">
        <v>7.59</v>
      </c>
      <c r="F265">
        <v>0.63</v>
      </c>
      <c r="G265">
        <v>0</v>
      </c>
      <c r="H265">
        <v>2.8083</v>
      </c>
      <c r="I265">
        <v>84.25</v>
      </c>
      <c r="J265" s="6">
        <v>46007</v>
      </c>
      <c r="K265">
        <f>Indusmelec_Total[[#This Row],[Prç Uni c/ Desc]]*Indusmelec_Total[[#This Row],[Qtd.]]</f>
        <v>84.248999999999995</v>
      </c>
    </row>
    <row r="266" spans="1:11" hidden="1">
      <c r="A266" t="s">
        <v>214</v>
      </c>
      <c r="B266" t="s">
        <v>23</v>
      </c>
      <c r="C266" t="s">
        <v>24</v>
      </c>
      <c r="D266">
        <v>12</v>
      </c>
      <c r="E266">
        <v>7.59</v>
      </c>
      <c r="F266">
        <v>0.63</v>
      </c>
      <c r="G266">
        <v>0</v>
      </c>
      <c r="H266">
        <v>2.8083</v>
      </c>
      <c r="I266">
        <v>33.700000000000003</v>
      </c>
      <c r="J266" s="6">
        <v>46009</v>
      </c>
      <c r="K266">
        <f>Indusmelec_Total[[#This Row],[Prç Uni c/ Desc]]*Indusmelec_Total[[#This Row],[Qtd.]]</f>
        <v>33.699600000000004</v>
      </c>
    </row>
    <row r="267" spans="1:11" hidden="1">
      <c r="A267" t="s">
        <v>263</v>
      </c>
      <c r="B267" t="s">
        <v>23</v>
      </c>
      <c r="C267" t="s">
        <v>24</v>
      </c>
      <c r="D267">
        <v>81</v>
      </c>
      <c r="E267">
        <v>7.59</v>
      </c>
      <c r="F267">
        <v>0.6</v>
      </c>
      <c r="G267">
        <v>0</v>
      </c>
      <c r="H267">
        <v>3.036</v>
      </c>
      <c r="I267">
        <v>245.92</v>
      </c>
      <c r="J267" s="6">
        <v>46156</v>
      </c>
      <c r="K267">
        <f>Indusmelec_Total[[#This Row],[Prç Uni c/ Desc]]*Indusmelec_Total[[#This Row],[Qtd.]]</f>
        <v>245.916</v>
      </c>
    </row>
    <row r="268" spans="1:11" hidden="1">
      <c r="A268" t="s">
        <v>290</v>
      </c>
      <c r="B268" t="s">
        <v>23</v>
      </c>
      <c r="C268" t="s">
        <v>24</v>
      </c>
      <c r="D268">
        <v>81</v>
      </c>
      <c r="E268">
        <v>2.23</v>
      </c>
      <c r="F268">
        <v>0</v>
      </c>
      <c r="G268">
        <v>0</v>
      </c>
      <c r="H268">
        <v>2.23</v>
      </c>
      <c r="I268">
        <v>180.63</v>
      </c>
      <c r="J268" s="6">
        <v>46213</v>
      </c>
      <c r="K268">
        <f>Indusmelec_Total[[#This Row],[Prç Uni c/ Desc]]*Indusmelec_Total[[#This Row],[Qtd.]]</f>
        <v>180.63</v>
      </c>
    </row>
    <row r="269" spans="1:11" hidden="1">
      <c r="A269" t="s">
        <v>865</v>
      </c>
      <c r="B269" t="s">
        <v>23</v>
      </c>
      <c r="C269" t="s">
        <v>24</v>
      </c>
      <c r="D269">
        <v>144</v>
      </c>
      <c r="E269">
        <v>2.23</v>
      </c>
      <c r="F269">
        <v>0</v>
      </c>
      <c r="G269">
        <v>0</v>
      </c>
      <c r="H269">
        <v>2.23</v>
      </c>
      <c r="I269">
        <v>321.12</v>
      </c>
      <c r="K269">
        <f>Indusmelec_Total[[#This Row],[Prç Uni c/ Desc]]*Indusmelec_Total[[#This Row],[Qtd.]]</f>
        <v>321.12</v>
      </c>
    </row>
    <row r="270" spans="1:11" hidden="1">
      <c r="A270" t="s">
        <v>225</v>
      </c>
      <c r="B270" t="s">
        <v>23</v>
      </c>
      <c r="C270" t="s">
        <v>24</v>
      </c>
      <c r="D270">
        <v>60</v>
      </c>
      <c r="E270">
        <v>7.59</v>
      </c>
      <c r="F270">
        <v>0.63</v>
      </c>
      <c r="G270">
        <v>0</v>
      </c>
      <c r="H270">
        <v>2.8083</v>
      </c>
      <c r="I270">
        <v>168.5</v>
      </c>
      <c r="K270">
        <f>Indusmelec_Total[[#This Row],[Prç Uni c/ Desc]]*Indusmelec_Total[[#This Row],[Qtd.]]</f>
        <v>168.49799999999999</v>
      </c>
    </row>
    <row r="271" spans="1:11" hidden="1">
      <c r="A271" t="s">
        <v>281</v>
      </c>
      <c r="B271" t="s">
        <v>23</v>
      </c>
      <c r="C271" t="s">
        <v>24</v>
      </c>
      <c r="D271">
        <v>300</v>
      </c>
      <c r="E271">
        <v>2.4300000000000002</v>
      </c>
      <c r="F271">
        <v>0</v>
      </c>
      <c r="G271">
        <v>0</v>
      </c>
      <c r="H271">
        <v>2.4300000000000002</v>
      </c>
      <c r="I271">
        <v>729</v>
      </c>
      <c r="K271">
        <f>Indusmelec_Total[[#This Row],[Prç Uni c/ Desc]]*Indusmelec_Total[[#This Row],[Qtd.]]</f>
        <v>729</v>
      </c>
    </row>
    <row r="272" spans="1:11" hidden="1">
      <c r="A272" t="s">
        <v>293</v>
      </c>
      <c r="B272" t="s">
        <v>23</v>
      </c>
      <c r="C272" t="s">
        <v>24</v>
      </c>
      <c r="D272">
        <v>300</v>
      </c>
      <c r="E272">
        <v>2.23</v>
      </c>
      <c r="F272">
        <v>0</v>
      </c>
      <c r="G272">
        <v>0</v>
      </c>
      <c r="H272">
        <v>2.23</v>
      </c>
      <c r="I272">
        <v>669</v>
      </c>
      <c r="K272">
        <f>Indusmelec_Total[[#This Row],[Prç Uni c/ Desc]]*Indusmelec_Total[[#This Row],[Qtd.]]</f>
        <v>669</v>
      </c>
    </row>
    <row r="273" spans="1:11" hidden="1">
      <c r="A273" t="s">
        <v>409</v>
      </c>
      <c r="B273" t="s">
        <v>23</v>
      </c>
      <c r="C273" t="s">
        <v>413</v>
      </c>
      <c r="D273">
        <v>129</v>
      </c>
      <c r="E273">
        <v>7.44</v>
      </c>
      <c r="F273">
        <v>0.6</v>
      </c>
      <c r="G273">
        <v>0</v>
      </c>
      <c r="H273">
        <v>2.9760000000000004</v>
      </c>
      <c r="I273">
        <v>383.9</v>
      </c>
      <c r="J273" s="6">
        <v>45750</v>
      </c>
      <c r="K273">
        <f>Indusmelec_Total[[#This Row],[Prç Uni c/ Desc]]*Indusmelec_Total[[#This Row],[Qtd.]]</f>
        <v>383.90400000000005</v>
      </c>
    </row>
    <row r="274" spans="1:11" hidden="1">
      <c r="A274" t="s">
        <v>422</v>
      </c>
      <c r="B274" t="s">
        <v>23</v>
      </c>
      <c r="C274" t="s">
        <v>345</v>
      </c>
      <c r="D274">
        <v>66</v>
      </c>
      <c r="E274">
        <v>2.41</v>
      </c>
      <c r="F274">
        <v>0</v>
      </c>
      <c r="G274">
        <v>0</v>
      </c>
      <c r="H274">
        <v>2.41</v>
      </c>
      <c r="I274">
        <v>159.06</v>
      </c>
      <c r="J274" s="6">
        <v>45763</v>
      </c>
      <c r="K274">
        <f>Indusmelec_Total[[#This Row],[Prç Uni c/ Desc]]*Indusmelec_Total[[#This Row],[Qtd.]]</f>
        <v>159.06</v>
      </c>
    </row>
    <row r="275" spans="1:11" hidden="1">
      <c r="A275" t="s">
        <v>423</v>
      </c>
      <c r="B275" t="s">
        <v>23</v>
      </c>
      <c r="C275" t="s">
        <v>345</v>
      </c>
      <c r="D275">
        <v>21</v>
      </c>
      <c r="E275">
        <v>7.44</v>
      </c>
      <c r="F275">
        <v>0.6</v>
      </c>
      <c r="G275">
        <v>0</v>
      </c>
      <c r="H275">
        <v>2.9760000000000004</v>
      </c>
      <c r="J275" s="6">
        <v>45770</v>
      </c>
      <c r="K275">
        <f>Indusmelec_Total[[#This Row],[Prç Uni c/ Desc]]*Indusmelec_Total[[#This Row],[Qtd.]]</f>
        <v>62.496000000000009</v>
      </c>
    </row>
    <row r="276" spans="1:11" hidden="1">
      <c r="A276" t="s">
        <v>424</v>
      </c>
      <c r="B276" t="s">
        <v>23</v>
      </c>
      <c r="C276" t="s">
        <v>345</v>
      </c>
      <c r="D276">
        <v>414</v>
      </c>
      <c r="E276">
        <v>2.41</v>
      </c>
      <c r="F276">
        <v>0</v>
      </c>
      <c r="G276">
        <v>0</v>
      </c>
      <c r="H276">
        <v>2.41</v>
      </c>
      <c r="I276">
        <v>997.74</v>
      </c>
      <c r="J276" s="6">
        <v>45783</v>
      </c>
      <c r="K276">
        <f>Indusmelec_Total[[#This Row],[Prç Uni c/ Desc]]*Indusmelec_Total[[#This Row],[Qtd.]]</f>
        <v>997.74</v>
      </c>
    </row>
    <row r="277" spans="1:11" hidden="1">
      <c r="A277" t="s">
        <v>425</v>
      </c>
      <c r="B277" t="s">
        <v>23</v>
      </c>
      <c r="C277" t="s">
        <v>345</v>
      </c>
      <c r="D277">
        <v>6</v>
      </c>
      <c r="E277">
        <v>2.63</v>
      </c>
      <c r="F277">
        <v>0</v>
      </c>
      <c r="G277">
        <v>0</v>
      </c>
      <c r="H277">
        <v>2.63</v>
      </c>
      <c r="I277">
        <v>15.78</v>
      </c>
      <c r="J277" s="6">
        <v>45454</v>
      </c>
      <c r="K277">
        <f>Indusmelec_Total[[#This Row],[Prç Uni c/ Desc]]*Indusmelec_Total[[#This Row],[Qtd.]]</f>
        <v>15.78</v>
      </c>
    </row>
    <row r="278" spans="1:11" hidden="1">
      <c r="A278" t="s">
        <v>478</v>
      </c>
      <c r="B278" t="s">
        <v>23</v>
      </c>
      <c r="C278" t="s">
        <v>345</v>
      </c>
      <c r="D278">
        <v>129</v>
      </c>
      <c r="E278">
        <v>2.63</v>
      </c>
      <c r="F278">
        <v>0</v>
      </c>
      <c r="G278">
        <v>0</v>
      </c>
      <c r="H278">
        <v>2.63</v>
      </c>
      <c r="I278">
        <v>339.27</v>
      </c>
      <c r="J278" s="6">
        <v>45653</v>
      </c>
      <c r="K278">
        <f>Indusmelec_Total[[#This Row],[Prç Uni c/ Desc]]*Indusmelec_Total[[#This Row],[Qtd.]]</f>
        <v>339.27</v>
      </c>
    </row>
    <row r="279" spans="1:11" hidden="1">
      <c r="A279" t="s">
        <v>557</v>
      </c>
      <c r="B279" t="s">
        <v>23</v>
      </c>
      <c r="C279" t="s">
        <v>558</v>
      </c>
      <c r="D279">
        <v>225</v>
      </c>
      <c r="E279">
        <v>2.63</v>
      </c>
      <c r="F279">
        <v>0</v>
      </c>
      <c r="G279">
        <v>0</v>
      </c>
      <c r="H279">
        <v>2.63</v>
      </c>
      <c r="I279">
        <v>591.75</v>
      </c>
      <c r="J279" s="6">
        <v>45545</v>
      </c>
      <c r="K279">
        <f>Indusmelec_Total[[#This Row],[Prç Uni c/ Desc]]*Indusmelec_Total[[#This Row],[Qtd.]]</f>
        <v>591.75</v>
      </c>
    </row>
    <row r="280" spans="1:11" hidden="1">
      <c r="A280" t="s">
        <v>559</v>
      </c>
      <c r="B280" t="s">
        <v>23</v>
      </c>
      <c r="C280" t="s">
        <v>345</v>
      </c>
      <c r="D280">
        <v>60</v>
      </c>
      <c r="E280">
        <v>2.23</v>
      </c>
      <c r="F280">
        <v>0</v>
      </c>
      <c r="G280">
        <v>0</v>
      </c>
      <c r="H280">
        <v>2.23</v>
      </c>
      <c r="I280">
        <v>133.80000000000001</v>
      </c>
      <c r="J280" s="6">
        <v>46204</v>
      </c>
      <c r="K280">
        <f>Indusmelec_Total[[#This Row],[Prç Uni c/ Desc]]*Indusmelec_Total[[#This Row],[Qtd.]]</f>
        <v>133.80000000000001</v>
      </c>
    </row>
    <row r="281" spans="1:11" hidden="1">
      <c r="A281" t="s">
        <v>585</v>
      </c>
      <c r="B281" t="s">
        <v>23</v>
      </c>
      <c r="C281" t="s">
        <v>345</v>
      </c>
      <c r="D281">
        <v>99</v>
      </c>
      <c r="E281">
        <v>2.63</v>
      </c>
      <c r="F281">
        <v>0</v>
      </c>
      <c r="G281">
        <v>0</v>
      </c>
      <c r="H281">
        <v>2.63</v>
      </c>
      <c r="I281">
        <v>260.37</v>
      </c>
      <c r="J281" s="6">
        <v>45629</v>
      </c>
      <c r="K281">
        <f>Indusmelec_Total[[#This Row],[Prç Uni c/ Desc]]*Indusmelec_Total[[#This Row],[Qtd.]]</f>
        <v>260.37</v>
      </c>
    </row>
    <row r="282" spans="1:11" hidden="1">
      <c r="A282" t="s">
        <v>591</v>
      </c>
      <c r="B282" t="s">
        <v>23</v>
      </c>
      <c r="C282" t="s">
        <v>592</v>
      </c>
      <c r="D282">
        <v>24</v>
      </c>
      <c r="E282">
        <v>2.63</v>
      </c>
      <c r="F282">
        <v>0</v>
      </c>
      <c r="G282">
        <v>0</v>
      </c>
      <c r="H282">
        <v>2.63</v>
      </c>
      <c r="I282">
        <v>63.12</v>
      </c>
      <c r="J282" s="6">
        <v>45631</v>
      </c>
      <c r="K282">
        <f>Indusmelec_Total[[#This Row],[Prç Uni c/ Desc]]*Indusmelec_Total[[#This Row],[Qtd.]]</f>
        <v>63.12</v>
      </c>
    </row>
    <row r="283" spans="1:11" hidden="1">
      <c r="A283" t="s">
        <v>342</v>
      </c>
      <c r="B283" t="s">
        <v>23</v>
      </c>
      <c r="C283" t="s">
        <v>345</v>
      </c>
      <c r="D283">
        <v>450</v>
      </c>
      <c r="E283">
        <v>7.59</v>
      </c>
      <c r="F283">
        <v>0.68</v>
      </c>
      <c r="G283">
        <v>0</v>
      </c>
      <c r="H283">
        <v>2.4287999999999994</v>
      </c>
      <c r="I283">
        <v>1092.96</v>
      </c>
      <c r="K283">
        <f>Indusmelec_Total[[#This Row],[Prç Uni c/ Desc]]*Indusmelec_Total[[#This Row],[Qtd.]]</f>
        <v>1092.9599999999998</v>
      </c>
    </row>
    <row r="284" spans="1:11" hidden="1">
      <c r="A284" t="s">
        <v>12</v>
      </c>
      <c r="B284" t="s">
        <v>13</v>
      </c>
      <c r="C284" t="s">
        <v>14</v>
      </c>
      <c r="D284">
        <v>3</v>
      </c>
      <c r="E284">
        <v>3.62</v>
      </c>
      <c r="F284">
        <v>0</v>
      </c>
      <c r="G284">
        <v>0</v>
      </c>
      <c r="H284">
        <v>3.62</v>
      </c>
      <c r="I284">
        <v>10.86</v>
      </c>
      <c r="J284" s="6">
        <v>45491</v>
      </c>
      <c r="K284">
        <f>Indusmelec_Total[[#This Row],[Prç Uni c/ Desc]]*Indusmelec_Total[[#This Row],[Qtd.]]</f>
        <v>10.86</v>
      </c>
    </row>
    <row r="285" spans="1:11" hidden="1">
      <c r="A285" t="s">
        <v>18</v>
      </c>
      <c r="B285" t="s">
        <v>13</v>
      </c>
      <c r="C285" t="s">
        <v>14</v>
      </c>
      <c r="D285">
        <v>30</v>
      </c>
      <c r="E285">
        <v>10.41</v>
      </c>
      <c r="F285">
        <v>0.65</v>
      </c>
      <c r="G285">
        <v>0</v>
      </c>
      <c r="H285">
        <v>3.6435</v>
      </c>
      <c r="I285">
        <v>109.31</v>
      </c>
      <c r="J285" s="6">
        <v>45910</v>
      </c>
      <c r="K285">
        <f>Indusmelec_Total[[#This Row],[Prç Uni c/ Desc]]*Indusmelec_Total[[#This Row],[Qtd.]]</f>
        <v>109.30499999999999</v>
      </c>
    </row>
    <row r="286" spans="1:11" hidden="1">
      <c r="A286" t="s">
        <v>49</v>
      </c>
      <c r="B286" t="s">
        <v>13</v>
      </c>
      <c r="C286" t="s">
        <v>56</v>
      </c>
      <c r="D286">
        <v>12</v>
      </c>
      <c r="E286">
        <v>3.62</v>
      </c>
      <c r="F286">
        <v>0</v>
      </c>
      <c r="G286">
        <v>0</v>
      </c>
      <c r="H286">
        <v>3.62</v>
      </c>
      <c r="I286">
        <v>43.44</v>
      </c>
      <c r="J286" s="6">
        <v>45460</v>
      </c>
      <c r="K286">
        <f>Indusmelec_Total[[#This Row],[Prç Uni c/ Desc]]*Indusmelec_Total[[#This Row],[Qtd.]]</f>
        <v>43.44</v>
      </c>
    </row>
    <row r="287" spans="1:11" hidden="1">
      <c r="A287" t="s">
        <v>167</v>
      </c>
      <c r="B287" t="s">
        <v>13</v>
      </c>
      <c r="C287" t="s">
        <v>56</v>
      </c>
      <c r="D287">
        <v>60</v>
      </c>
      <c r="E287">
        <v>10.41</v>
      </c>
      <c r="F287">
        <v>0.65</v>
      </c>
      <c r="G287">
        <v>0</v>
      </c>
      <c r="H287">
        <v>3.6435</v>
      </c>
      <c r="I287">
        <v>218.61</v>
      </c>
      <c r="J287" s="6">
        <v>45918</v>
      </c>
      <c r="K287">
        <f>Indusmelec_Total[[#This Row],[Prç Uni c/ Desc]]*Indusmelec_Total[[#This Row],[Qtd.]]</f>
        <v>218.60999999999999</v>
      </c>
    </row>
    <row r="288" spans="1:11" hidden="1">
      <c r="A288" t="s">
        <v>297</v>
      </c>
      <c r="B288" t="s">
        <v>13</v>
      </c>
      <c r="C288" t="s">
        <v>300</v>
      </c>
      <c r="D288">
        <v>3</v>
      </c>
      <c r="E288">
        <v>3.62</v>
      </c>
      <c r="F288">
        <v>0</v>
      </c>
      <c r="G288">
        <v>0</v>
      </c>
      <c r="H288">
        <v>3.62</v>
      </c>
      <c r="I288">
        <v>10.86</v>
      </c>
      <c r="J288" s="6">
        <v>45502</v>
      </c>
      <c r="K288">
        <f>Indusmelec_Total[[#This Row],[Prç Uni c/ Desc]]*Indusmelec_Total[[#This Row],[Qtd.]]</f>
        <v>10.86</v>
      </c>
    </row>
    <row r="289" spans="1:11" hidden="1">
      <c r="A289" t="s">
        <v>431</v>
      </c>
      <c r="B289" t="s">
        <v>13</v>
      </c>
      <c r="C289" t="s">
        <v>300</v>
      </c>
      <c r="D289">
        <v>9</v>
      </c>
      <c r="E289">
        <v>3.62</v>
      </c>
      <c r="F289">
        <v>0</v>
      </c>
      <c r="G289">
        <v>0</v>
      </c>
      <c r="H289">
        <v>3.62</v>
      </c>
      <c r="I289">
        <v>32.58</v>
      </c>
      <c r="J289" s="6">
        <v>45476</v>
      </c>
      <c r="K289">
        <f>Indusmelec_Total[[#This Row],[Prç Uni c/ Desc]]*Indusmelec_Total[[#This Row],[Qtd.]]</f>
        <v>32.58</v>
      </c>
    </row>
    <row r="290" spans="1:11" hidden="1">
      <c r="A290" t="s">
        <v>108</v>
      </c>
      <c r="B290" t="s">
        <v>110</v>
      </c>
      <c r="C290" t="s">
        <v>111</v>
      </c>
      <c r="D290">
        <v>33</v>
      </c>
      <c r="E290">
        <v>3.8260000000000001</v>
      </c>
      <c r="F290">
        <v>0</v>
      </c>
      <c r="G290">
        <v>0</v>
      </c>
      <c r="H290">
        <v>3.8260000000000001</v>
      </c>
      <c r="I290">
        <v>126.26</v>
      </c>
      <c r="J290" s="6">
        <v>46080</v>
      </c>
      <c r="K290">
        <f>Indusmelec_Total[[#This Row],[Prç Uni c/ Desc]]*Indusmelec_Total[[#This Row],[Qtd.]]</f>
        <v>126.258</v>
      </c>
    </row>
    <row r="291" spans="1:11" hidden="1">
      <c r="A291" t="s">
        <v>131</v>
      </c>
      <c r="B291" t="s">
        <v>110</v>
      </c>
      <c r="C291" t="s">
        <v>111</v>
      </c>
      <c r="D291">
        <v>12</v>
      </c>
      <c r="E291">
        <v>13.05</v>
      </c>
      <c r="F291">
        <v>0.7</v>
      </c>
      <c r="G291">
        <v>0</v>
      </c>
      <c r="H291">
        <v>3.9150000000000009</v>
      </c>
      <c r="I291">
        <v>46.98</v>
      </c>
      <c r="J291" s="6">
        <v>46203</v>
      </c>
      <c r="K291">
        <f>Indusmelec_Total[[#This Row],[Prç Uni c/ Desc]]*Indusmelec_Total[[#This Row],[Qtd.]]</f>
        <v>46.980000000000011</v>
      </c>
    </row>
    <row r="292" spans="1:11" hidden="1">
      <c r="A292" t="s">
        <v>224</v>
      </c>
      <c r="B292" t="s">
        <v>110</v>
      </c>
      <c r="C292" t="s">
        <v>111</v>
      </c>
      <c r="D292">
        <v>9</v>
      </c>
      <c r="E292">
        <v>13.05</v>
      </c>
      <c r="F292">
        <v>0.6</v>
      </c>
      <c r="G292">
        <v>0</v>
      </c>
      <c r="H292">
        <v>5.2200000000000006</v>
      </c>
      <c r="J292" s="6">
        <v>46031</v>
      </c>
      <c r="K292">
        <f>Indusmelec_Total[[#This Row],[Prç Uni c/ Desc]]*Indusmelec_Total[[#This Row],[Qtd.]]</f>
        <v>46.980000000000004</v>
      </c>
    </row>
    <row r="293" spans="1:11" hidden="1">
      <c r="A293" t="s">
        <v>239</v>
      </c>
      <c r="B293" t="s">
        <v>110</v>
      </c>
      <c r="C293" t="s">
        <v>111</v>
      </c>
      <c r="D293">
        <v>6</v>
      </c>
      <c r="E293">
        <v>13.05</v>
      </c>
      <c r="F293">
        <v>0.63</v>
      </c>
      <c r="G293">
        <v>0</v>
      </c>
      <c r="H293">
        <v>4.8285</v>
      </c>
      <c r="I293">
        <v>28.97</v>
      </c>
      <c r="J293" s="6">
        <v>46108</v>
      </c>
      <c r="K293">
        <f>Indusmelec_Total[[#This Row],[Prç Uni c/ Desc]]*Indusmelec_Total[[#This Row],[Qtd.]]</f>
        <v>28.971</v>
      </c>
    </row>
    <row r="294" spans="1:11" hidden="1">
      <c r="A294" t="s">
        <v>865</v>
      </c>
      <c r="B294" t="s">
        <v>110</v>
      </c>
      <c r="C294" t="s">
        <v>111</v>
      </c>
      <c r="D294">
        <v>48</v>
      </c>
      <c r="E294">
        <v>3.82</v>
      </c>
      <c r="F294">
        <v>0</v>
      </c>
      <c r="G294">
        <v>0</v>
      </c>
      <c r="H294">
        <v>3.82</v>
      </c>
      <c r="I294">
        <v>183.36</v>
      </c>
      <c r="K294">
        <f>Indusmelec_Total[[#This Row],[Prç Uni c/ Desc]]*Indusmelec_Total[[#This Row],[Qtd.]]</f>
        <v>183.35999999999999</v>
      </c>
    </row>
    <row r="295" spans="1:11" hidden="1">
      <c r="A295" t="s">
        <v>409</v>
      </c>
      <c r="B295" t="s">
        <v>110</v>
      </c>
      <c r="C295" t="s">
        <v>414</v>
      </c>
      <c r="D295">
        <v>102</v>
      </c>
      <c r="E295">
        <v>12.79</v>
      </c>
      <c r="F295">
        <v>0.6</v>
      </c>
      <c r="G295">
        <v>0</v>
      </c>
      <c r="H295">
        <v>5.1159999999999997</v>
      </c>
      <c r="I295">
        <v>521.83000000000004</v>
      </c>
      <c r="J295" s="6">
        <v>45750</v>
      </c>
      <c r="K295">
        <f>Indusmelec_Total[[#This Row],[Prç Uni c/ Desc]]*Indusmelec_Total[[#This Row],[Qtd.]]</f>
        <v>521.83199999999999</v>
      </c>
    </row>
    <row r="296" spans="1:11" hidden="1">
      <c r="A296" t="s">
        <v>509</v>
      </c>
      <c r="B296" t="s">
        <v>110</v>
      </c>
      <c r="C296" t="s">
        <v>512</v>
      </c>
      <c r="D296">
        <v>60</v>
      </c>
      <c r="E296">
        <v>4.4800000000000004</v>
      </c>
      <c r="F296">
        <v>0</v>
      </c>
      <c r="G296">
        <v>0</v>
      </c>
      <c r="H296">
        <v>4.4800000000000004</v>
      </c>
      <c r="I296">
        <v>268.8</v>
      </c>
      <c r="J296" s="6">
        <v>45678</v>
      </c>
      <c r="K296">
        <f>Indusmelec_Total[[#This Row],[Prç Uni c/ Desc]]*Indusmelec_Total[[#This Row],[Qtd.]]</f>
        <v>268.8</v>
      </c>
    </row>
    <row r="297" spans="1:11" hidden="1">
      <c r="A297" t="s">
        <v>559</v>
      </c>
      <c r="B297" t="s">
        <v>110</v>
      </c>
      <c r="C297" t="s">
        <v>512</v>
      </c>
      <c r="D297">
        <v>90</v>
      </c>
      <c r="E297">
        <v>3.82</v>
      </c>
      <c r="F297">
        <v>0</v>
      </c>
      <c r="G297">
        <v>0</v>
      </c>
      <c r="H297">
        <v>3.82</v>
      </c>
      <c r="I297">
        <v>343.8</v>
      </c>
      <c r="J297" s="6">
        <v>46204</v>
      </c>
      <c r="K297">
        <f>Indusmelec_Total[[#This Row],[Prç Uni c/ Desc]]*Indusmelec_Total[[#This Row],[Qtd.]]</f>
        <v>343.8</v>
      </c>
    </row>
    <row r="298" spans="1:11" hidden="1">
      <c r="A298" t="s">
        <v>131</v>
      </c>
      <c r="B298" t="s">
        <v>134</v>
      </c>
      <c r="C298" t="s">
        <v>135</v>
      </c>
      <c r="D298">
        <v>6</v>
      </c>
      <c r="E298">
        <v>7</v>
      </c>
      <c r="F298">
        <v>0</v>
      </c>
      <c r="G298">
        <v>0</v>
      </c>
      <c r="H298">
        <v>7</v>
      </c>
      <c r="I298">
        <v>42</v>
      </c>
      <c r="J298" s="6">
        <v>46203</v>
      </c>
      <c r="K298">
        <f>Indusmelec_Total[[#This Row],[Prç Uni c/ Desc]]*Indusmelec_Total[[#This Row],[Qtd.]]</f>
        <v>42</v>
      </c>
    </row>
    <row r="299" spans="1:11" hidden="1">
      <c r="A299" t="s">
        <v>136</v>
      </c>
      <c r="B299" t="s">
        <v>134</v>
      </c>
      <c r="C299" t="s">
        <v>135</v>
      </c>
      <c r="D299">
        <v>102</v>
      </c>
      <c r="E299">
        <v>7</v>
      </c>
      <c r="F299">
        <v>0</v>
      </c>
      <c r="G299">
        <v>0</v>
      </c>
      <c r="H299">
        <v>7</v>
      </c>
      <c r="I299">
        <v>714</v>
      </c>
      <c r="J299" s="6">
        <v>45820</v>
      </c>
      <c r="K299">
        <f>Indusmelec_Total[[#This Row],[Prç Uni c/ Desc]]*Indusmelec_Total[[#This Row],[Qtd.]]</f>
        <v>714</v>
      </c>
    </row>
    <row r="300" spans="1:11" hidden="1">
      <c r="A300" t="s">
        <v>865</v>
      </c>
      <c r="B300" t="s">
        <v>134</v>
      </c>
      <c r="C300" t="s">
        <v>135</v>
      </c>
      <c r="D300">
        <v>24</v>
      </c>
      <c r="E300">
        <v>5.8695000000000004</v>
      </c>
      <c r="F300">
        <v>0</v>
      </c>
      <c r="G300">
        <v>0</v>
      </c>
      <c r="H300">
        <v>5.8695000000000004</v>
      </c>
      <c r="I300">
        <v>140.87</v>
      </c>
      <c r="K300">
        <f>Indusmelec_Total[[#This Row],[Prç Uni c/ Desc]]*Indusmelec_Total[[#This Row],[Qtd.]]</f>
        <v>140.86799999999999</v>
      </c>
    </row>
    <row r="301" spans="1:11" hidden="1">
      <c r="A301" t="s">
        <v>49</v>
      </c>
      <c r="B301" t="s">
        <v>54</v>
      </c>
      <c r="C301" t="s">
        <v>55</v>
      </c>
      <c r="D301">
        <v>33</v>
      </c>
      <c r="E301">
        <v>3.97</v>
      </c>
      <c r="F301">
        <v>0</v>
      </c>
      <c r="G301">
        <v>0</v>
      </c>
      <c r="H301">
        <v>3.97</v>
      </c>
      <c r="I301">
        <v>131.01</v>
      </c>
      <c r="J301" s="6">
        <v>45460</v>
      </c>
      <c r="K301">
        <f>Indusmelec_Total[[#This Row],[Prç Uni c/ Desc]]*Indusmelec_Total[[#This Row],[Qtd.]]</f>
        <v>131.01000000000002</v>
      </c>
    </row>
    <row r="302" spans="1:11" hidden="1">
      <c r="A302" t="s">
        <v>431</v>
      </c>
      <c r="B302" t="s">
        <v>54</v>
      </c>
      <c r="C302" t="s">
        <v>434</v>
      </c>
      <c r="D302">
        <v>12</v>
      </c>
      <c r="E302">
        <v>3.97</v>
      </c>
      <c r="F302">
        <v>0</v>
      </c>
      <c r="G302">
        <v>0</v>
      </c>
      <c r="H302">
        <v>3.97</v>
      </c>
      <c r="I302">
        <v>47.64</v>
      </c>
      <c r="J302" s="6">
        <v>45476</v>
      </c>
      <c r="K302">
        <f>Indusmelec_Total[[#This Row],[Prç Uni c/ Desc]]*Indusmelec_Total[[#This Row],[Qtd.]]</f>
        <v>47.64</v>
      </c>
    </row>
    <row r="303" spans="1:11" hidden="1">
      <c r="A303" t="s">
        <v>208</v>
      </c>
      <c r="B303" t="s">
        <v>209</v>
      </c>
      <c r="C303" t="s">
        <v>210</v>
      </c>
      <c r="D303">
        <v>30</v>
      </c>
      <c r="E303">
        <v>12.57</v>
      </c>
      <c r="F303">
        <v>0.66</v>
      </c>
      <c r="G303">
        <v>0</v>
      </c>
      <c r="H303">
        <v>4.2737999999999996</v>
      </c>
      <c r="I303">
        <v>128.21</v>
      </c>
      <c r="J303" s="6">
        <v>46007</v>
      </c>
      <c r="K303">
        <f>Indusmelec_Total[[#This Row],[Prç Uni c/ Desc]]*Indusmelec_Total[[#This Row],[Qtd.]]</f>
        <v>128.214</v>
      </c>
    </row>
    <row r="304" spans="1:11" hidden="1">
      <c r="A304" t="s">
        <v>136</v>
      </c>
      <c r="B304" t="s">
        <v>137</v>
      </c>
      <c r="C304" t="s">
        <v>138</v>
      </c>
      <c r="D304">
        <v>400</v>
      </c>
      <c r="E304">
        <v>0.87</v>
      </c>
      <c r="F304">
        <v>0</v>
      </c>
      <c r="G304">
        <v>0</v>
      </c>
      <c r="H304">
        <v>0.87</v>
      </c>
      <c r="I304">
        <v>348</v>
      </c>
      <c r="J304" s="6">
        <v>45820</v>
      </c>
      <c r="K304">
        <f>Indusmelec_Total[[#This Row],[Prç Uni c/ Desc]]*Indusmelec_Total[[#This Row],[Qtd.]]</f>
        <v>348</v>
      </c>
    </row>
    <row r="305" spans="1:11" hidden="1">
      <c r="A305" t="s">
        <v>136</v>
      </c>
      <c r="B305" t="s">
        <v>139</v>
      </c>
      <c r="C305" t="s">
        <v>140</v>
      </c>
      <c r="D305">
        <v>500</v>
      </c>
      <c r="E305">
        <v>2.95</v>
      </c>
      <c r="F305">
        <v>0</v>
      </c>
      <c r="G305">
        <v>0</v>
      </c>
      <c r="H305">
        <v>2.95</v>
      </c>
      <c r="I305">
        <v>1475</v>
      </c>
      <c r="J305" s="6">
        <v>45820</v>
      </c>
      <c r="K305">
        <f>Indusmelec_Total[[#This Row],[Prç Uni c/ Desc]]*Indusmelec_Total[[#This Row],[Qtd.]]</f>
        <v>1475</v>
      </c>
    </row>
    <row r="306" spans="1:11" hidden="1">
      <c r="A306" t="s">
        <v>121</v>
      </c>
      <c r="B306" t="s">
        <v>126</v>
      </c>
      <c r="C306" t="s">
        <v>127</v>
      </c>
      <c r="D306">
        <v>1</v>
      </c>
      <c r="E306">
        <v>2.97</v>
      </c>
      <c r="F306">
        <v>0.5</v>
      </c>
      <c r="G306">
        <v>0</v>
      </c>
      <c r="H306">
        <v>1.4850000000000001</v>
      </c>
      <c r="I306">
        <v>1.49</v>
      </c>
      <c r="J306" s="6">
        <v>45797</v>
      </c>
      <c r="K306">
        <f>Indusmelec_Total[[#This Row],[Prç Uni c/ Desc]]*Indusmelec_Total[[#This Row],[Qtd.]]</f>
        <v>1.4850000000000001</v>
      </c>
    </row>
    <row r="307" spans="1:11" hidden="1">
      <c r="A307" t="s">
        <v>463</v>
      </c>
      <c r="B307" t="s">
        <v>464</v>
      </c>
      <c r="C307" t="s">
        <v>465</v>
      </c>
      <c r="D307">
        <v>30</v>
      </c>
      <c r="E307">
        <v>1.7</v>
      </c>
      <c r="F307">
        <v>0.4</v>
      </c>
      <c r="G307">
        <v>0</v>
      </c>
      <c r="H307">
        <v>1.02</v>
      </c>
      <c r="I307">
        <v>30.6</v>
      </c>
      <c r="J307" s="6">
        <v>46202</v>
      </c>
      <c r="K307">
        <f>Indusmelec_Total[[#This Row],[Prç Uni c/ Desc]]*Indusmelec_Total[[#This Row],[Qtd.]]</f>
        <v>30.6</v>
      </c>
    </row>
    <row r="308" spans="1:11" hidden="1">
      <c r="A308" t="s">
        <v>539</v>
      </c>
      <c r="B308" t="s">
        <v>541</v>
      </c>
      <c r="C308" t="s">
        <v>542</v>
      </c>
      <c r="D308">
        <v>1</v>
      </c>
      <c r="E308">
        <v>59.71</v>
      </c>
      <c r="F308">
        <v>0.4</v>
      </c>
      <c r="G308">
        <v>0.02</v>
      </c>
      <c r="H308">
        <v>35.109479999999998</v>
      </c>
      <c r="I308">
        <v>35.11</v>
      </c>
      <c r="J308" s="6">
        <v>46153</v>
      </c>
      <c r="K308">
        <f>Indusmelec_Total[[#This Row],[Prç Uni c/ Desc]]*Indusmelec_Total[[#This Row],[Qtd.]]</f>
        <v>35.109479999999998</v>
      </c>
    </row>
    <row r="309" spans="1:11" hidden="1">
      <c r="A309" t="s">
        <v>496</v>
      </c>
      <c r="B309" t="s">
        <v>497</v>
      </c>
      <c r="C309" t="s">
        <v>498</v>
      </c>
      <c r="D309">
        <v>3</v>
      </c>
      <c r="E309">
        <v>32</v>
      </c>
      <c r="F309">
        <v>0</v>
      </c>
      <c r="G309">
        <v>0</v>
      </c>
      <c r="H309">
        <v>32</v>
      </c>
      <c r="I309">
        <v>96</v>
      </c>
      <c r="J309" s="6">
        <v>45842</v>
      </c>
      <c r="K309">
        <f>Indusmelec_Total[[#This Row],[Prç Uni c/ Desc]]*Indusmelec_Total[[#This Row],[Qtd.]]</f>
        <v>96</v>
      </c>
    </row>
    <row r="310" spans="1:11" hidden="1">
      <c r="A310" t="s">
        <v>167</v>
      </c>
      <c r="B310" t="s">
        <v>168</v>
      </c>
      <c r="C310" t="s">
        <v>169</v>
      </c>
      <c r="D310">
        <v>50</v>
      </c>
      <c r="E310">
        <v>2.17</v>
      </c>
      <c r="F310">
        <v>0.5</v>
      </c>
      <c r="G310">
        <v>0</v>
      </c>
      <c r="H310">
        <v>1.085</v>
      </c>
      <c r="I310">
        <v>54.25</v>
      </c>
      <c r="J310" s="6">
        <v>45918</v>
      </c>
      <c r="K310">
        <f>Indusmelec_Total[[#This Row],[Prç Uni c/ Desc]]*Indusmelec_Total[[#This Row],[Qtd.]]</f>
        <v>54.25</v>
      </c>
    </row>
    <row r="311" spans="1:11" hidden="1">
      <c r="A311" t="s">
        <v>530</v>
      </c>
      <c r="B311" t="s">
        <v>537</v>
      </c>
      <c r="C311" t="s">
        <v>538</v>
      </c>
      <c r="D311">
        <v>200</v>
      </c>
      <c r="E311">
        <v>1.83</v>
      </c>
      <c r="F311">
        <v>0</v>
      </c>
      <c r="G311">
        <v>0</v>
      </c>
      <c r="H311">
        <v>1.83</v>
      </c>
      <c r="I311">
        <v>366</v>
      </c>
      <c r="J311" s="6">
        <v>46147</v>
      </c>
      <c r="K311">
        <f>Indusmelec_Total[[#This Row],[Prç Uni c/ Desc]]*Indusmelec_Total[[#This Row],[Qtd.]]</f>
        <v>366</v>
      </c>
    </row>
    <row r="312" spans="1:11" hidden="1">
      <c r="A312" t="s">
        <v>530</v>
      </c>
      <c r="B312" t="s">
        <v>531</v>
      </c>
      <c r="C312" t="s">
        <v>532</v>
      </c>
      <c r="D312">
        <v>100</v>
      </c>
      <c r="E312">
        <v>0.4</v>
      </c>
      <c r="F312">
        <v>0</v>
      </c>
      <c r="G312">
        <v>0</v>
      </c>
      <c r="H312">
        <v>0.4</v>
      </c>
      <c r="I312">
        <v>40</v>
      </c>
      <c r="J312" s="6">
        <v>46147</v>
      </c>
      <c r="K312">
        <f>Indusmelec_Total[[#This Row],[Prç Uni c/ Desc]]*Indusmelec_Total[[#This Row],[Qtd.]]</f>
        <v>40</v>
      </c>
    </row>
    <row r="313" spans="1:11" hidden="1">
      <c r="A313" t="s">
        <v>864</v>
      </c>
      <c r="B313" t="s">
        <v>533</v>
      </c>
      <c r="C313" t="s">
        <v>867</v>
      </c>
      <c r="D313">
        <v>50</v>
      </c>
      <c r="E313">
        <v>0.44</v>
      </c>
      <c r="F313">
        <v>0</v>
      </c>
      <c r="G313">
        <v>0</v>
      </c>
      <c r="H313">
        <v>0.44</v>
      </c>
      <c r="I313">
        <v>22</v>
      </c>
      <c r="J313" s="6">
        <v>46246</v>
      </c>
      <c r="K313">
        <f>Indusmelec_Total[[#This Row],[Prç Uni c/ Desc]]*Indusmelec_Total[[#This Row],[Qtd.]]</f>
        <v>22</v>
      </c>
    </row>
    <row r="314" spans="1:11" hidden="1">
      <c r="A314" t="s">
        <v>530</v>
      </c>
      <c r="B314" t="s">
        <v>533</v>
      </c>
      <c r="C314" t="s">
        <v>534</v>
      </c>
      <c r="D314">
        <v>250</v>
      </c>
      <c r="E314">
        <v>0.44</v>
      </c>
      <c r="F314">
        <v>0</v>
      </c>
      <c r="G314">
        <v>0</v>
      </c>
      <c r="H314">
        <v>0.44</v>
      </c>
      <c r="I314">
        <v>110</v>
      </c>
      <c r="J314" s="6">
        <v>46147</v>
      </c>
      <c r="K314">
        <f>Indusmelec_Total[[#This Row],[Prç Uni c/ Desc]]*Indusmelec_Total[[#This Row],[Qtd.]]</f>
        <v>110</v>
      </c>
    </row>
    <row r="315" spans="1:11" hidden="1">
      <c r="A315" t="s">
        <v>287</v>
      </c>
      <c r="B315" t="s">
        <v>288</v>
      </c>
      <c r="C315" t="s">
        <v>289</v>
      </c>
      <c r="D315">
        <v>50</v>
      </c>
      <c r="E315">
        <v>0.42</v>
      </c>
      <c r="F315">
        <v>0</v>
      </c>
      <c r="G315">
        <v>0</v>
      </c>
      <c r="H315">
        <v>0.42</v>
      </c>
      <c r="I315">
        <v>21</v>
      </c>
      <c r="J315" s="6">
        <v>46202</v>
      </c>
      <c r="K315">
        <f>Indusmelec_Total[[#This Row],[Prç Uni c/ Desc]]*Indusmelec_Total[[#This Row],[Qtd.]]</f>
        <v>21</v>
      </c>
    </row>
    <row r="316" spans="1:11" hidden="1">
      <c r="A316" t="s">
        <v>530</v>
      </c>
      <c r="B316" t="s">
        <v>535</v>
      </c>
      <c r="C316" t="s">
        <v>536</v>
      </c>
      <c r="D316">
        <v>250</v>
      </c>
      <c r="E316">
        <v>0.66</v>
      </c>
      <c r="F316">
        <v>0</v>
      </c>
      <c r="G316">
        <v>0</v>
      </c>
      <c r="H316">
        <v>0.66</v>
      </c>
      <c r="I316">
        <v>165</v>
      </c>
      <c r="J316" s="6">
        <v>46147</v>
      </c>
      <c r="K316">
        <f>Indusmelec_Total[[#This Row],[Prç Uni c/ Desc]]*Indusmelec_Total[[#This Row],[Qtd.]]</f>
        <v>165</v>
      </c>
    </row>
    <row r="317" spans="1:11" hidden="1">
      <c r="A317" t="s">
        <v>409</v>
      </c>
      <c r="B317" t="s">
        <v>415</v>
      </c>
      <c r="C317" t="s">
        <v>416</v>
      </c>
      <c r="D317">
        <v>10</v>
      </c>
      <c r="E317">
        <v>2.3199999999999998</v>
      </c>
      <c r="F317">
        <v>0</v>
      </c>
      <c r="G317">
        <v>0</v>
      </c>
      <c r="H317">
        <v>2.3199999999999998</v>
      </c>
      <c r="I317">
        <v>23.2</v>
      </c>
      <c r="J317" s="6">
        <v>45750</v>
      </c>
      <c r="K317">
        <f>Indusmelec_Total[[#This Row],[Prç Uni c/ Desc]]*Indusmelec_Total[[#This Row],[Qtd.]]</f>
        <v>23.2</v>
      </c>
    </row>
    <row r="318" spans="1:11" hidden="1">
      <c r="A318" t="s">
        <v>409</v>
      </c>
      <c r="B318" t="s">
        <v>417</v>
      </c>
      <c r="C318" t="s">
        <v>418</v>
      </c>
      <c r="D318">
        <v>50</v>
      </c>
      <c r="E318">
        <v>1</v>
      </c>
      <c r="F318">
        <v>0</v>
      </c>
      <c r="G318">
        <v>0</v>
      </c>
      <c r="H318">
        <v>1</v>
      </c>
      <c r="I318">
        <v>50</v>
      </c>
      <c r="J318" s="6">
        <v>45750</v>
      </c>
      <c r="K318">
        <f>Indusmelec_Total[[#This Row],[Prç Uni c/ Desc]]*Indusmelec_Total[[#This Row],[Qtd.]]</f>
        <v>50</v>
      </c>
    </row>
    <row r="319" spans="1:11" hidden="1">
      <c r="A319" t="s">
        <v>409</v>
      </c>
      <c r="B319" t="s">
        <v>419</v>
      </c>
      <c r="C319" t="s">
        <v>420</v>
      </c>
      <c r="D319">
        <v>1</v>
      </c>
      <c r="E319">
        <v>5</v>
      </c>
      <c r="F319">
        <v>0</v>
      </c>
      <c r="G319">
        <v>0</v>
      </c>
      <c r="H319">
        <v>5</v>
      </c>
      <c r="I319">
        <v>5</v>
      </c>
      <c r="J319" s="6">
        <v>45750</v>
      </c>
      <c r="K319">
        <f>Indusmelec_Total[[#This Row],[Prç Uni c/ Desc]]*Indusmelec_Total[[#This Row],[Qtd.]]</f>
        <v>5</v>
      </c>
    </row>
    <row r="320" spans="1:11">
      <c r="A320" t="s">
        <v>240</v>
      </c>
      <c r="B320" t="s">
        <v>241</v>
      </c>
      <c r="C320" t="s">
        <v>242</v>
      </c>
      <c r="D320">
        <v>1</v>
      </c>
      <c r="E320">
        <v>3.85</v>
      </c>
      <c r="F320">
        <v>0.45</v>
      </c>
      <c r="G320">
        <v>0</v>
      </c>
      <c r="H320">
        <v>2.1175000000000002</v>
      </c>
      <c r="I320">
        <v>2.12</v>
      </c>
      <c r="K320">
        <f>Indusmelec_Total[[#This Row],[Prç Uni c/ Desc]]*Indusmelec_Total[[#This Row],[Qtd.]]</f>
        <v>2.1175000000000002</v>
      </c>
    </row>
    <row r="321" spans="1:11">
      <c r="A321" t="s">
        <v>240</v>
      </c>
      <c r="B321" t="s">
        <v>243</v>
      </c>
      <c r="C321" t="s">
        <v>244</v>
      </c>
      <c r="D321">
        <v>1</v>
      </c>
      <c r="E321">
        <v>3.85</v>
      </c>
      <c r="F321">
        <v>0.45</v>
      </c>
      <c r="G321">
        <v>0</v>
      </c>
      <c r="H321">
        <v>2.1175000000000002</v>
      </c>
      <c r="I321">
        <v>2.12</v>
      </c>
      <c r="K321">
        <f>Indusmelec_Total[[#This Row],[Prç Uni c/ Desc]]*Indusmelec_Total[[#This Row],[Qtd.]]</f>
        <v>2.1175000000000002</v>
      </c>
    </row>
    <row r="322" spans="1:11">
      <c r="A322" t="s">
        <v>240</v>
      </c>
      <c r="B322" t="s">
        <v>245</v>
      </c>
      <c r="C322" t="s">
        <v>246</v>
      </c>
      <c r="D322">
        <v>1</v>
      </c>
      <c r="E322">
        <v>3.85</v>
      </c>
      <c r="F322">
        <v>0.45</v>
      </c>
      <c r="G322">
        <v>0</v>
      </c>
      <c r="H322">
        <v>2.1175000000000002</v>
      </c>
      <c r="I322">
        <v>2.12</v>
      </c>
      <c r="K322">
        <f>Indusmelec_Total[[#This Row],[Prç Uni c/ Desc]]*Indusmelec_Total[[#This Row],[Qtd.]]</f>
        <v>2.1175000000000002</v>
      </c>
    </row>
    <row r="323" spans="1:11">
      <c r="A323" t="s">
        <v>240</v>
      </c>
      <c r="B323" t="s">
        <v>247</v>
      </c>
      <c r="C323" t="s">
        <v>248</v>
      </c>
      <c r="D323">
        <v>1</v>
      </c>
      <c r="E323">
        <v>3.85</v>
      </c>
      <c r="F323">
        <v>0.45</v>
      </c>
      <c r="G323">
        <v>0</v>
      </c>
      <c r="H323">
        <v>2.1175000000000002</v>
      </c>
      <c r="I323">
        <v>2.12</v>
      </c>
      <c r="K323">
        <f>Indusmelec_Total[[#This Row],[Prç Uni c/ Desc]]*Indusmelec_Total[[#This Row],[Qtd.]]</f>
        <v>2.1175000000000002</v>
      </c>
    </row>
    <row r="324" spans="1:11">
      <c r="A324" t="s">
        <v>240</v>
      </c>
      <c r="B324" t="s">
        <v>249</v>
      </c>
      <c r="C324" t="s">
        <v>250</v>
      </c>
      <c r="D324">
        <v>1</v>
      </c>
      <c r="E324">
        <v>12.33</v>
      </c>
      <c r="F324">
        <v>0.45</v>
      </c>
      <c r="G324">
        <v>0</v>
      </c>
      <c r="H324">
        <v>6.7815000000000003</v>
      </c>
      <c r="I324">
        <v>6.78</v>
      </c>
      <c r="K324">
        <f>Indusmelec_Total[[#This Row],[Prç Uni c/ Desc]]*Indusmelec_Total[[#This Row],[Qtd.]]</f>
        <v>6.7815000000000003</v>
      </c>
    </row>
    <row r="325" spans="1:11">
      <c r="A325" t="s">
        <v>240</v>
      </c>
      <c r="B325" t="s">
        <v>253</v>
      </c>
      <c r="C325" t="s">
        <v>254</v>
      </c>
      <c r="D325">
        <v>1</v>
      </c>
      <c r="E325">
        <v>5.15</v>
      </c>
      <c r="F325">
        <v>0.45</v>
      </c>
      <c r="G325">
        <v>0</v>
      </c>
      <c r="H325">
        <v>2.8325000000000005</v>
      </c>
      <c r="I325">
        <v>2.83</v>
      </c>
      <c r="K325">
        <f>Indusmelec_Total[[#This Row],[Prç Uni c/ Desc]]*Indusmelec_Total[[#This Row],[Qtd.]]</f>
        <v>2.8325000000000005</v>
      </c>
    </row>
    <row r="326" spans="1:11">
      <c r="A326" t="s">
        <v>240</v>
      </c>
      <c r="B326" t="s">
        <v>255</v>
      </c>
      <c r="C326" t="s">
        <v>256</v>
      </c>
      <c r="D326">
        <v>1</v>
      </c>
      <c r="E326">
        <v>5.15</v>
      </c>
      <c r="F326">
        <v>0.45</v>
      </c>
      <c r="G326">
        <v>0</v>
      </c>
      <c r="H326">
        <v>2.8325000000000005</v>
      </c>
      <c r="I326">
        <v>2.83</v>
      </c>
      <c r="K326">
        <f>Indusmelec_Total[[#This Row],[Prç Uni c/ Desc]]*Indusmelec_Total[[#This Row],[Qtd.]]</f>
        <v>2.8325000000000005</v>
      </c>
    </row>
    <row r="327" spans="1:11">
      <c r="A327" t="s">
        <v>240</v>
      </c>
      <c r="B327" t="s">
        <v>257</v>
      </c>
      <c r="C327" t="s">
        <v>258</v>
      </c>
      <c r="D327">
        <v>1</v>
      </c>
      <c r="E327">
        <v>5.15</v>
      </c>
      <c r="F327">
        <v>0.45</v>
      </c>
      <c r="G327">
        <v>0</v>
      </c>
      <c r="H327">
        <v>2.8325000000000005</v>
      </c>
      <c r="I327">
        <v>2.83</v>
      </c>
      <c r="K327">
        <f>Indusmelec_Total[[#This Row],[Prç Uni c/ Desc]]*Indusmelec_Total[[#This Row],[Qtd.]]</f>
        <v>2.8325000000000005</v>
      </c>
    </row>
    <row r="328" spans="1:11">
      <c r="A328" t="s">
        <v>240</v>
      </c>
      <c r="B328" t="s">
        <v>259</v>
      </c>
      <c r="C328" t="s">
        <v>260</v>
      </c>
      <c r="D328">
        <v>1</v>
      </c>
      <c r="E328">
        <v>15.29</v>
      </c>
      <c r="F328">
        <v>0.45</v>
      </c>
      <c r="G328">
        <v>0</v>
      </c>
      <c r="H328">
        <v>8.4094999999999995</v>
      </c>
      <c r="I328">
        <v>8.41</v>
      </c>
      <c r="K328">
        <f>Indusmelec_Total[[#This Row],[Prç Uni c/ Desc]]*Indusmelec_Total[[#This Row],[Qtd.]]</f>
        <v>8.4094999999999995</v>
      </c>
    </row>
    <row r="329" spans="1:11" hidden="1">
      <c r="A329" t="s">
        <v>466</v>
      </c>
      <c r="B329" t="s">
        <v>473</v>
      </c>
      <c r="C329" t="s">
        <v>474</v>
      </c>
      <c r="D329">
        <v>1</v>
      </c>
      <c r="E329">
        <v>239.65</v>
      </c>
      <c r="F329">
        <v>0</v>
      </c>
      <c r="G329">
        <v>0</v>
      </c>
      <c r="H329">
        <v>239.65</v>
      </c>
      <c r="I329">
        <v>239.65</v>
      </c>
      <c r="J329" s="6">
        <v>45596</v>
      </c>
      <c r="K329">
        <f>Indusmelec_Total[[#This Row],[Prç Uni c/ Desc]]*Indusmelec_Total[[#This Row],[Qtd.]]</f>
        <v>239.65</v>
      </c>
    </row>
    <row r="330" spans="1:11" hidden="1">
      <c r="A330" t="s">
        <v>868</v>
      </c>
      <c r="B330" t="s">
        <v>869</v>
      </c>
      <c r="C330" t="s">
        <v>870</v>
      </c>
      <c r="D330">
        <v>150</v>
      </c>
      <c r="E330">
        <v>6.7750000000000004</v>
      </c>
      <c r="F330">
        <v>0.53</v>
      </c>
      <c r="G330">
        <v>0</v>
      </c>
      <c r="H330">
        <v>3.18425</v>
      </c>
      <c r="I330">
        <v>477.64</v>
      </c>
      <c r="J330" s="6">
        <v>46226</v>
      </c>
      <c r="K330">
        <f>Indusmelec_Total[[#This Row],[Prç Uni c/ Desc]]*Indusmelec_Total[[#This Row],[Qtd.]]</f>
        <v>477.63749999999999</v>
      </c>
    </row>
    <row r="331" spans="1:11" hidden="1">
      <c r="A331" t="s">
        <v>868</v>
      </c>
      <c r="B331" t="s">
        <v>871</v>
      </c>
      <c r="C331" t="s">
        <v>872</v>
      </c>
      <c r="D331">
        <v>150</v>
      </c>
      <c r="E331">
        <v>9.65</v>
      </c>
      <c r="F331">
        <v>0.53</v>
      </c>
      <c r="G331">
        <v>0</v>
      </c>
      <c r="H331">
        <v>4.5354999999999999</v>
      </c>
      <c r="I331">
        <v>680.33</v>
      </c>
      <c r="J331" s="6">
        <v>46226</v>
      </c>
      <c r="K331">
        <f>Indusmelec_Total[[#This Row],[Prç Uni c/ Desc]]*Indusmelec_Total[[#This Row],[Qtd.]]</f>
        <v>680.32499999999993</v>
      </c>
    </row>
    <row r="332" spans="1:11" hidden="1">
      <c r="A332" t="s">
        <v>112</v>
      </c>
      <c r="B332" t="s">
        <v>113</v>
      </c>
      <c r="C332" t="s">
        <v>114</v>
      </c>
      <c r="D332">
        <v>1</v>
      </c>
      <c r="E332">
        <v>13.71</v>
      </c>
      <c r="F332">
        <v>0</v>
      </c>
      <c r="G332">
        <v>0</v>
      </c>
      <c r="H332">
        <v>13.71</v>
      </c>
      <c r="I332">
        <v>13.71</v>
      </c>
      <c r="J332" s="6">
        <v>45714</v>
      </c>
      <c r="K332">
        <f>Indusmelec_Total[[#This Row],[Prç Uni c/ Desc]]*Indusmelec_Total[[#This Row],[Qtd.]]</f>
        <v>13.71</v>
      </c>
    </row>
    <row r="333" spans="1:11" hidden="1">
      <c r="A333" t="s">
        <v>539</v>
      </c>
      <c r="B333" t="s">
        <v>113</v>
      </c>
      <c r="C333" t="s">
        <v>540</v>
      </c>
      <c r="D333">
        <v>1</v>
      </c>
      <c r="E333">
        <v>29</v>
      </c>
      <c r="F333">
        <v>0.02</v>
      </c>
      <c r="G333">
        <v>0</v>
      </c>
      <c r="H333">
        <v>28.419999999999998</v>
      </c>
      <c r="I333">
        <v>28.42</v>
      </c>
      <c r="J333" s="6">
        <v>46153</v>
      </c>
      <c r="K333">
        <f>Indusmelec_Total[[#This Row],[Prç Uni c/ Desc]]*Indusmelec_Total[[#This Row],[Qtd.]]</f>
        <v>28.419999999999998</v>
      </c>
    </row>
    <row r="334" spans="1:11" hidden="1">
      <c r="A334" t="s">
        <v>167</v>
      </c>
      <c r="B334" t="s">
        <v>173</v>
      </c>
      <c r="C334" t="s">
        <v>174</v>
      </c>
      <c r="D334">
        <v>1</v>
      </c>
      <c r="E334">
        <v>8.1999999999999993</v>
      </c>
      <c r="F334">
        <v>0</v>
      </c>
      <c r="G334">
        <v>0</v>
      </c>
      <c r="H334">
        <v>8.1999999999999993</v>
      </c>
      <c r="I334">
        <v>8.1999999999999993</v>
      </c>
      <c r="J334" s="6">
        <v>45918</v>
      </c>
      <c r="K334">
        <f>Indusmelec_Total[[#This Row],[Prç Uni c/ Desc]]*Indusmelec_Total[[#This Row],[Qtd.]]</f>
        <v>8.1999999999999993</v>
      </c>
    </row>
    <row r="335" spans="1:11" hidden="1">
      <c r="A335" t="s">
        <v>167</v>
      </c>
      <c r="B335" t="s">
        <v>171</v>
      </c>
      <c r="C335" t="s">
        <v>172</v>
      </c>
      <c r="D335">
        <v>1</v>
      </c>
      <c r="E335">
        <v>26</v>
      </c>
      <c r="F335">
        <v>0</v>
      </c>
      <c r="G335">
        <v>0</v>
      </c>
      <c r="H335">
        <v>26</v>
      </c>
      <c r="I335">
        <v>26</v>
      </c>
      <c r="J335" s="6">
        <v>45918</v>
      </c>
      <c r="K335">
        <f>Indusmelec_Total[[#This Row],[Prç Uni c/ Desc]]*Indusmelec_Total[[#This Row],[Qtd.]]</f>
        <v>26</v>
      </c>
    </row>
    <row r="336" spans="1:11" hidden="1">
      <c r="A336" t="s">
        <v>593</v>
      </c>
      <c r="B336" t="s">
        <v>598</v>
      </c>
      <c r="C336" t="s">
        <v>599</v>
      </c>
      <c r="D336">
        <v>3</v>
      </c>
      <c r="E336">
        <v>44.7</v>
      </c>
      <c r="F336">
        <v>0</v>
      </c>
      <c r="G336">
        <v>0</v>
      </c>
      <c r="H336">
        <v>44.7</v>
      </c>
      <c r="I336">
        <v>134.1</v>
      </c>
      <c r="J336" s="6">
        <v>45637</v>
      </c>
      <c r="K336">
        <f>Indusmelec_Total[[#This Row],[Prç Uni c/ Desc]]*Indusmelec_Total[[#This Row],[Qtd.]]</f>
        <v>134.10000000000002</v>
      </c>
    </row>
    <row r="337" spans="1:11" hidden="1">
      <c r="A337" t="s">
        <v>593</v>
      </c>
      <c r="B337" t="s">
        <v>596</v>
      </c>
      <c r="C337" t="s">
        <v>597</v>
      </c>
      <c r="D337">
        <v>3</v>
      </c>
      <c r="E337">
        <v>39.9</v>
      </c>
      <c r="F337">
        <v>0</v>
      </c>
      <c r="G337">
        <v>0</v>
      </c>
      <c r="H337">
        <v>39.9</v>
      </c>
      <c r="I337">
        <v>119.7</v>
      </c>
      <c r="J337" s="6">
        <v>45637</v>
      </c>
      <c r="K337">
        <f>Indusmelec_Total[[#This Row],[Prç Uni c/ Desc]]*Indusmelec_Total[[#This Row],[Qtd.]]</f>
        <v>119.69999999999999</v>
      </c>
    </row>
    <row r="338" spans="1:11" hidden="1">
      <c r="A338" t="s">
        <v>188</v>
      </c>
      <c r="B338" t="s">
        <v>193</v>
      </c>
      <c r="C338" t="s">
        <v>194</v>
      </c>
      <c r="D338">
        <v>2</v>
      </c>
      <c r="E338">
        <v>2.4</v>
      </c>
      <c r="F338">
        <v>0.3</v>
      </c>
      <c r="G338">
        <v>0</v>
      </c>
      <c r="H338">
        <v>1.68</v>
      </c>
      <c r="I338">
        <v>3.36</v>
      </c>
      <c r="J338" s="6">
        <v>46057</v>
      </c>
      <c r="K338">
        <f>Indusmelec_Total[[#This Row],[Prç Uni c/ Desc]]*Indusmelec_Total[[#This Row],[Qtd.]]</f>
        <v>3.36</v>
      </c>
    </row>
    <row r="339" spans="1:11" hidden="1">
      <c r="A339" t="s">
        <v>316</v>
      </c>
      <c r="B339" t="s">
        <v>193</v>
      </c>
      <c r="C339" t="s">
        <v>321</v>
      </c>
      <c r="D339">
        <v>2</v>
      </c>
      <c r="E339">
        <v>2.2999999999999998</v>
      </c>
      <c r="F339">
        <v>0</v>
      </c>
      <c r="G339">
        <v>0</v>
      </c>
      <c r="H339">
        <v>2.2999999999999998</v>
      </c>
      <c r="I339">
        <v>4.5999999999999996</v>
      </c>
      <c r="J339" s="6">
        <v>46091</v>
      </c>
      <c r="K339">
        <f>Indusmelec_Total[[#This Row],[Prç Uni c/ Desc]]*Indusmelec_Total[[#This Row],[Qtd.]]</f>
        <v>4.5999999999999996</v>
      </c>
    </row>
    <row r="340" spans="1:11" hidden="1">
      <c r="A340" t="s">
        <v>316</v>
      </c>
      <c r="B340" t="s">
        <v>317</v>
      </c>
      <c r="C340" t="s">
        <v>318</v>
      </c>
      <c r="D340">
        <v>1</v>
      </c>
      <c r="E340">
        <v>31.52</v>
      </c>
      <c r="F340">
        <v>0</v>
      </c>
      <c r="G340">
        <v>0</v>
      </c>
      <c r="H340">
        <v>31.52</v>
      </c>
      <c r="I340">
        <v>31.52</v>
      </c>
      <c r="J340" s="6">
        <v>46091</v>
      </c>
      <c r="K340">
        <f>Indusmelec_Total[[#This Row],[Prç Uni c/ Desc]]*Indusmelec_Total[[#This Row],[Qtd.]]</f>
        <v>31.52</v>
      </c>
    </row>
    <row r="341" spans="1:11" hidden="1">
      <c r="A341" t="s">
        <v>316</v>
      </c>
      <c r="B341" t="s">
        <v>322</v>
      </c>
      <c r="C341" t="s">
        <v>323</v>
      </c>
      <c r="D341">
        <v>1</v>
      </c>
      <c r="E341">
        <v>1.98</v>
      </c>
      <c r="F341">
        <v>0</v>
      </c>
      <c r="G341">
        <v>0</v>
      </c>
      <c r="H341">
        <v>1.98</v>
      </c>
      <c r="I341">
        <v>1.98</v>
      </c>
      <c r="J341" s="6">
        <v>46091</v>
      </c>
      <c r="K341">
        <f>Indusmelec_Total[[#This Row],[Prç Uni c/ Desc]]*Indusmelec_Total[[#This Row],[Qtd.]]</f>
        <v>1.98</v>
      </c>
    </row>
    <row r="342" spans="1:11" hidden="1">
      <c r="A342" t="s">
        <v>479</v>
      </c>
      <c r="B342" t="s">
        <v>322</v>
      </c>
      <c r="C342" t="s">
        <v>323</v>
      </c>
      <c r="D342">
        <v>1</v>
      </c>
      <c r="E342">
        <v>1.98</v>
      </c>
      <c r="F342">
        <v>0</v>
      </c>
      <c r="G342">
        <v>0</v>
      </c>
      <c r="H342">
        <v>1.98</v>
      </c>
      <c r="I342">
        <v>1.98</v>
      </c>
      <c r="J342" s="6">
        <v>45691</v>
      </c>
      <c r="K342">
        <f>Indusmelec_Total[[#This Row],[Prç Uni c/ Desc]]*Indusmelec_Total[[#This Row],[Qtd.]]</f>
        <v>1.98</v>
      </c>
    </row>
    <row r="343" spans="1:11" hidden="1">
      <c r="A343" t="s">
        <v>479</v>
      </c>
      <c r="B343" t="s">
        <v>484</v>
      </c>
      <c r="C343" t="s">
        <v>485</v>
      </c>
      <c r="D343">
        <v>1</v>
      </c>
      <c r="E343">
        <v>2.6</v>
      </c>
      <c r="F343">
        <v>0</v>
      </c>
      <c r="G343">
        <v>0</v>
      </c>
      <c r="H343">
        <v>2.6</v>
      </c>
      <c r="I343">
        <v>2.6</v>
      </c>
      <c r="J343" s="6">
        <v>45691</v>
      </c>
      <c r="K343">
        <f>Indusmelec_Total[[#This Row],[Prç Uni c/ Desc]]*Indusmelec_Total[[#This Row],[Qtd.]]</f>
        <v>2.6</v>
      </c>
    </row>
    <row r="344" spans="1:11" hidden="1">
      <c r="A344" t="s">
        <v>78</v>
      </c>
      <c r="B344" t="s">
        <v>85</v>
      </c>
      <c r="C344" t="s">
        <v>86</v>
      </c>
      <c r="D344">
        <v>0.5</v>
      </c>
      <c r="E344">
        <v>18.95</v>
      </c>
      <c r="F344">
        <v>0.35</v>
      </c>
      <c r="G344">
        <v>0</v>
      </c>
      <c r="H344">
        <v>12.317500000000001</v>
      </c>
      <c r="I344">
        <v>6.16</v>
      </c>
      <c r="J344" s="6">
        <v>45464</v>
      </c>
      <c r="K344">
        <f>Indusmelec_Total[[#This Row],[Prç Uni c/ Desc]]*Indusmelec_Total[[#This Row],[Qtd.]]</f>
        <v>6.1587500000000004</v>
      </c>
    </row>
    <row r="345" spans="1:11" hidden="1">
      <c r="A345" t="s">
        <v>567</v>
      </c>
      <c r="B345" t="s">
        <v>570</v>
      </c>
      <c r="C345" t="s">
        <v>571</v>
      </c>
      <c r="D345">
        <v>0</v>
      </c>
      <c r="E345">
        <v>36.799999999999997</v>
      </c>
      <c r="F345">
        <v>0.35</v>
      </c>
      <c r="G345">
        <v>0</v>
      </c>
      <c r="H345">
        <v>23.919999999999998</v>
      </c>
      <c r="J345" s="6">
        <v>45923</v>
      </c>
      <c r="K345">
        <f>Indusmelec_Total[[#This Row],[Prç Uni c/ Desc]]*Indusmelec_Total[[#This Row],[Qtd.]]</f>
        <v>0</v>
      </c>
    </row>
    <row r="346" spans="1:11" hidden="1">
      <c r="A346" t="s">
        <v>479</v>
      </c>
      <c r="B346" t="s">
        <v>480</v>
      </c>
      <c r="C346" t="s">
        <v>481</v>
      </c>
      <c r="D346">
        <v>1</v>
      </c>
      <c r="E346">
        <v>1.2</v>
      </c>
      <c r="F346">
        <v>0</v>
      </c>
      <c r="G346">
        <v>0</v>
      </c>
      <c r="H346">
        <v>1.2</v>
      </c>
      <c r="I346">
        <v>1.2</v>
      </c>
      <c r="J346" s="6">
        <v>45691</v>
      </c>
      <c r="K346">
        <f>Indusmelec_Total[[#This Row],[Prç Uni c/ Desc]]*Indusmelec_Total[[#This Row],[Qtd.]]</f>
        <v>1.2</v>
      </c>
    </row>
    <row r="347" spans="1:11" hidden="1">
      <c r="A347" t="s">
        <v>78</v>
      </c>
      <c r="B347" t="s">
        <v>87</v>
      </c>
      <c r="C347" t="s">
        <v>88</v>
      </c>
      <c r="D347">
        <v>1</v>
      </c>
      <c r="E347">
        <v>7.55</v>
      </c>
      <c r="F347">
        <v>0.35</v>
      </c>
      <c r="G347">
        <v>0</v>
      </c>
      <c r="H347">
        <v>4.9074999999999998</v>
      </c>
      <c r="I347">
        <v>4.91</v>
      </c>
      <c r="J347" s="6">
        <v>45464</v>
      </c>
      <c r="K347">
        <f>Indusmelec_Total[[#This Row],[Prç Uni c/ Desc]]*Indusmelec_Total[[#This Row],[Qtd.]]</f>
        <v>4.9074999999999998</v>
      </c>
    </row>
    <row r="348" spans="1:11" hidden="1">
      <c r="A348" t="s">
        <v>479</v>
      </c>
      <c r="B348" t="s">
        <v>482</v>
      </c>
      <c r="C348" t="s">
        <v>483</v>
      </c>
      <c r="D348">
        <v>1</v>
      </c>
      <c r="E348">
        <v>1.5</v>
      </c>
      <c r="F348">
        <v>0</v>
      </c>
      <c r="G348">
        <v>0</v>
      </c>
      <c r="H348">
        <v>1.5</v>
      </c>
      <c r="I348">
        <v>1.5</v>
      </c>
      <c r="J348" s="6">
        <v>45691</v>
      </c>
      <c r="K348">
        <f>Indusmelec_Total[[#This Row],[Prç Uni c/ Desc]]*Indusmelec_Total[[#This Row],[Qtd.]]</f>
        <v>1.5</v>
      </c>
    </row>
    <row r="349" spans="1:11" hidden="1">
      <c r="A349" t="s">
        <v>501</v>
      </c>
      <c r="B349" t="s">
        <v>502</v>
      </c>
      <c r="C349" t="s">
        <v>503</v>
      </c>
      <c r="D349">
        <v>1</v>
      </c>
      <c r="E349">
        <v>125</v>
      </c>
      <c r="F349">
        <v>0</v>
      </c>
      <c r="G349">
        <v>0</v>
      </c>
      <c r="H349">
        <v>125</v>
      </c>
      <c r="I349">
        <v>125</v>
      </c>
      <c r="J349" s="6">
        <v>45842</v>
      </c>
      <c r="K349">
        <f>Indusmelec_Total[[#This Row],[Prç Uni c/ Desc]]*Indusmelec_Total[[#This Row],[Qtd.]]</f>
        <v>125</v>
      </c>
    </row>
    <row r="350" spans="1:11" hidden="1">
      <c r="A350" t="s">
        <v>188</v>
      </c>
      <c r="B350" t="s">
        <v>191</v>
      </c>
      <c r="C350" t="s">
        <v>192</v>
      </c>
      <c r="D350">
        <v>1</v>
      </c>
      <c r="E350">
        <v>46.51</v>
      </c>
      <c r="F350">
        <v>0.4</v>
      </c>
      <c r="G350">
        <v>0</v>
      </c>
      <c r="H350">
        <v>27.905999999999999</v>
      </c>
      <c r="I350">
        <v>27.91</v>
      </c>
      <c r="J350" s="6">
        <v>46057</v>
      </c>
      <c r="K350">
        <f>Indusmelec_Total[[#This Row],[Prç Uni c/ Desc]]*Indusmelec_Total[[#This Row],[Qtd.]]</f>
        <v>27.905999999999999</v>
      </c>
    </row>
    <row r="351" spans="1:11" hidden="1">
      <c r="A351" t="s">
        <v>211</v>
      </c>
      <c r="B351" t="s">
        <v>212</v>
      </c>
      <c r="C351" t="s">
        <v>213</v>
      </c>
      <c r="D351">
        <v>200</v>
      </c>
      <c r="E351">
        <v>6.7799999999999999E-2</v>
      </c>
      <c r="F351">
        <v>0</v>
      </c>
      <c r="G351">
        <v>0</v>
      </c>
      <c r="H351">
        <v>6.7799999999999999E-2</v>
      </c>
      <c r="J351" s="6">
        <v>46008</v>
      </c>
      <c r="K351">
        <f>Indusmelec_Total[[#This Row],[Prç Uni c/ Desc]]*Indusmelec_Total[[#This Row],[Qtd.]]</f>
        <v>13.56</v>
      </c>
    </row>
    <row r="352" spans="1:11" hidden="1">
      <c r="A352" t="s">
        <v>224</v>
      </c>
      <c r="B352" t="s">
        <v>212</v>
      </c>
      <c r="C352" t="s">
        <v>213</v>
      </c>
      <c r="D352">
        <v>100</v>
      </c>
      <c r="E352">
        <v>6.7799999999999999E-2</v>
      </c>
      <c r="F352">
        <v>0</v>
      </c>
      <c r="G352">
        <v>0</v>
      </c>
      <c r="H352">
        <v>6.7799999999999999E-2</v>
      </c>
      <c r="J352" s="6">
        <v>46031</v>
      </c>
      <c r="K352">
        <f>Indusmelec_Total[[#This Row],[Prç Uni c/ Desc]]*Indusmelec_Total[[#This Row],[Qtd.]]</f>
        <v>6.78</v>
      </c>
    </row>
    <row r="353" spans="1:11" hidden="1">
      <c r="A353" t="s">
        <v>455</v>
      </c>
      <c r="B353" t="s">
        <v>456</v>
      </c>
      <c r="C353" t="s">
        <v>457</v>
      </c>
      <c r="D353">
        <v>1</v>
      </c>
      <c r="E353">
        <v>2.5</v>
      </c>
      <c r="F353">
        <v>0</v>
      </c>
      <c r="G353">
        <v>0</v>
      </c>
      <c r="H353">
        <v>2.5</v>
      </c>
      <c r="J353" s="6">
        <v>45853</v>
      </c>
      <c r="K353">
        <f>Indusmelec_Total[[#This Row],[Prç Uni c/ Desc]]*Indusmelec_Total[[#This Row],[Qtd.]]</f>
        <v>2.5</v>
      </c>
    </row>
    <row r="354" spans="1:11" hidden="1">
      <c r="A354" t="s">
        <v>862</v>
      </c>
      <c r="B354" t="s">
        <v>873</v>
      </c>
      <c r="C354" t="s">
        <v>874</v>
      </c>
      <c r="D354">
        <v>50</v>
      </c>
      <c r="E354">
        <v>1.4066000000000001</v>
      </c>
      <c r="F354">
        <v>0.6</v>
      </c>
      <c r="G354">
        <v>0</v>
      </c>
      <c r="H354">
        <v>0.56264000000000003</v>
      </c>
      <c r="I354">
        <v>28.13</v>
      </c>
      <c r="J354" s="6">
        <v>46247</v>
      </c>
      <c r="K354">
        <f>Indusmelec_Total[[#This Row],[Prç Uni c/ Desc]]*Indusmelec_Total[[#This Row],[Qtd.]]</f>
        <v>28.132000000000001</v>
      </c>
    </row>
    <row r="355" spans="1:11" hidden="1">
      <c r="A355" t="s">
        <v>862</v>
      </c>
      <c r="B355" t="s">
        <v>875</v>
      </c>
      <c r="C355" t="s">
        <v>876</v>
      </c>
      <c r="D355">
        <v>30</v>
      </c>
      <c r="E355">
        <v>1.526</v>
      </c>
      <c r="F355">
        <v>0.6</v>
      </c>
      <c r="G355">
        <v>0</v>
      </c>
      <c r="H355">
        <v>0.61040000000000005</v>
      </c>
      <c r="I355">
        <v>18.309999999999999</v>
      </c>
      <c r="J355" s="6">
        <v>46247</v>
      </c>
      <c r="K355">
        <f>Indusmelec_Total[[#This Row],[Prç Uni c/ Desc]]*Indusmelec_Total[[#This Row],[Qtd.]]</f>
        <v>18.312000000000001</v>
      </c>
    </row>
    <row r="356" spans="1:11" hidden="1">
      <c r="A356" t="s">
        <v>862</v>
      </c>
      <c r="B356" t="s">
        <v>352</v>
      </c>
      <c r="C356" t="s">
        <v>353</v>
      </c>
      <c r="D356">
        <v>100</v>
      </c>
      <c r="E356">
        <v>1.9460999999999999</v>
      </c>
      <c r="F356">
        <v>0.6</v>
      </c>
      <c r="G356">
        <v>0</v>
      </c>
      <c r="H356">
        <v>0.77844000000000002</v>
      </c>
      <c r="I356">
        <v>77.84</v>
      </c>
      <c r="J356" s="6">
        <v>46247</v>
      </c>
      <c r="K356">
        <f>Indusmelec_Total[[#This Row],[Prç Uni c/ Desc]]*Indusmelec_Total[[#This Row],[Qtd.]]</f>
        <v>77.844000000000008</v>
      </c>
    </row>
    <row r="357" spans="1:11" hidden="1">
      <c r="A357" t="s">
        <v>342</v>
      </c>
      <c r="B357" t="s">
        <v>352</v>
      </c>
      <c r="C357" t="s">
        <v>353</v>
      </c>
      <c r="D357">
        <v>100</v>
      </c>
      <c r="E357">
        <v>1.8431999999999999</v>
      </c>
      <c r="F357">
        <v>0.6</v>
      </c>
      <c r="G357">
        <v>0</v>
      </c>
      <c r="H357">
        <v>0.73728000000000005</v>
      </c>
      <c r="I357">
        <v>73.73</v>
      </c>
      <c r="K357">
        <f>Indusmelec_Total[[#This Row],[Prç Uni c/ Desc]]*Indusmelec_Total[[#This Row],[Qtd.]]</f>
        <v>73.728000000000009</v>
      </c>
    </row>
    <row r="358" spans="1:11" hidden="1">
      <c r="A358" t="s">
        <v>862</v>
      </c>
      <c r="B358" t="s">
        <v>354</v>
      </c>
      <c r="C358" t="s">
        <v>355</v>
      </c>
      <c r="D358">
        <v>50</v>
      </c>
      <c r="E358">
        <v>3.2627999999999999</v>
      </c>
      <c r="F358">
        <v>0.6</v>
      </c>
      <c r="G358">
        <v>0</v>
      </c>
      <c r="H358">
        <v>1.3051200000000001</v>
      </c>
      <c r="I358">
        <v>65.260000000000005</v>
      </c>
      <c r="J358" s="6">
        <v>46247</v>
      </c>
      <c r="K358">
        <f>Indusmelec_Total[[#This Row],[Prç Uni c/ Desc]]*Indusmelec_Total[[#This Row],[Qtd.]]</f>
        <v>65.256</v>
      </c>
    </row>
    <row r="359" spans="1:11" hidden="1">
      <c r="A359" t="s">
        <v>342</v>
      </c>
      <c r="B359" t="s">
        <v>354</v>
      </c>
      <c r="C359" t="s">
        <v>355</v>
      </c>
      <c r="D359">
        <v>100</v>
      </c>
      <c r="E359">
        <v>3.0901000000000001</v>
      </c>
      <c r="F359">
        <v>0.6</v>
      </c>
      <c r="G359">
        <v>0</v>
      </c>
      <c r="H359">
        <v>1.23604</v>
      </c>
      <c r="I359">
        <v>123.6</v>
      </c>
      <c r="K359">
        <f>Indusmelec_Total[[#This Row],[Prç Uni c/ Desc]]*Indusmelec_Total[[#This Row],[Qtd.]]</f>
        <v>123.604</v>
      </c>
    </row>
    <row r="360" spans="1:11" hidden="1">
      <c r="A360" t="s">
        <v>862</v>
      </c>
      <c r="B360" t="s">
        <v>356</v>
      </c>
      <c r="C360" t="s">
        <v>357</v>
      </c>
      <c r="D360">
        <v>50</v>
      </c>
      <c r="E360">
        <v>5.4318</v>
      </c>
      <c r="F360">
        <v>0.6</v>
      </c>
      <c r="G360">
        <v>0</v>
      </c>
      <c r="H360">
        <v>2.17272</v>
      </c>
      <c r="I360">
        <v>108.64</v>
      </c>
      <c r="J360" s="6">
        <v>46247</v>
      </c>
      <c r="K360">
        <f>Indusmelec_Total[[#This Row],[Prç Uni c/ Desc]]*Indusmelec_Total[[#This Row],[Qtd.]]</f>
        <v>108.636</v>
      </c>
    </row>
    <row r="361" spans="1:11" hidden="1">
      <c r="A361" t="s">
        <v>342</v>
      </c>
      <c r="B361" t="s">
        <v>356</v>
      </c>
      <c r="C361" t="s">
        <v>357</v>
      </c>
      <c r="D361">
        <v>100</v>
      </c>
      <c r="E361">
        <v>5.1447000000000003</v>
      </c>
      <c r="F361">
        <v>0.6</v>
      </c>
      <c r="G361">
        <v>0</v>
      </c>
      <c r="H361">
        <v>2.0578800000000004</v>
      </c>
      <c r="I361">
        <v>205.79</v>
      </c>
      <c r="K361">
        <f>Indusmelec_Total[[#This Row],[Prç Uni c/ Desc]]*Indusmelec_Total[[#This Row],[Qtd.]]</f>
        <v>205.78800000000004</v>
      </c>
    </row>
    <row r="362" spans="1:11" hidden="1">
      <c r="A362" t="s">
        <v>862</v>
      </c>
      <c r="B362" t="s">
        <v>877</v>
      </c>
      <c r="C362" t="s">
        <v>878</v>
      </c>
      <c r="D362">
        <v>50</v>
      </c>
      <c r="E362">
        <v>8.2867999999999995</v>
      </c>
      <c r="F362">
        <v>0.6</v>
      </c>
      <c r="G362">
        <v>0</v>
      </c>
      <c r="H362">
        <v>3.3147199999999999</v>
      </c>
      <c r="I362">
        <v>165.74</v>
      </c>
      <c r="J362" s="6">
        <v>46247</v>
      </c>
      <c r="K362">
        <f>Indusmelec_Total[[#This Row],[Prç Uni c/ Desc]]*Indusmelec_Total[[#This Row],[Qtd.]]</f>
        <v>165.73599999999999</v>
      </c>
    </row>
    <row r="363" spans="1:11" hidden="1">
      <c r="A363" t="s">
        <v>519</v>
      </c>
      <c r="B363" t="s">
        <v>528</v>
      </c>
      <c r="C363" t="s">
        <v>529</v>
      </c>
      <c r="D363">
        <v>1</v>
      </c>
      <c r="E363">
        <v>0.96</v>
      </c>
      <c r="F363">
        <v>0</v>
      </c>
      <c r="G363">
        <v>0</v>
      </c>
      <c r="H363">
        <v>0.96</v>
      </c>
      <c r="I363">
        <v>0.96</v>
      </c>
      <c r="J363" s="6">
        <v>46146</v>
      </c>
      <c r="K363">
        <f>Indusmelec_Total[[#This Row],[Prç Uni c/ Desc]]*Indusmelec_Total[[#This Row],[Qtd.]]</f>
        <v>0.96</v>
      </c>
    </row>
    <row r="364" spans="1:11" hidden="1">
      <c r="A364" t="s">
        <v>519</v>
      </c>
      <c r="B364" t="s">
        <v>520</v>
      </c>
      <c r="C364" t="s">
        <v>521</v>
      </c>
      <c r="D364">
        <v>1</v>
      </c>
      <c r="E364">
        <v>0.96</v>
      </c>
      <c r="F364">
        <v>0</v>
      </c>
      <c r="G364">
        <v>0</v>
      </c>
      <c r="H364">
        <v>0.96</v>
      </c>
      <c r="I364">
        <v>0.96</v>
      </c>
      <c r="J364" s="6">
        <v>46146</v>
      </c>
      <c r="K364">
        <f>Indusmelec_Total[[#This Row],[Prç Uni c/ Desc]]*Indusmelec_Total[[#This Row],[Qtd.]]</f>
        <v>0.96</v>
      </c>
    </row>
    <row r="365" spans="1:11" hidden="1">
      <c r="A365" t="s">
        <v>519</v>
      </c>
      <c r="B365" t="s">
        <v>522</v>
      </c>
      <c r="C365" t="s">
        <v>523</v>
      </c>
      <c r="D365">
        <v>1</v>
      </c>
      <c r="E365">
        <v>0.96</v>
      </c>
      <c r="F365">
        <v>0</v>
      </c>
      <c r="G365">
        <v>0</v>
      </c>
      <c r="H365">
        <v>0.96</v>
      </c>
      <c r="I365">
        <v>0.96</v>
      </c>
      <c r="J365" s="6">
        <v>46146</v>
      </c>
      <c r="K365">
        <f>Indusmelec_Total[[#This Row],[Prç Uni c/ Desc]]*Indusmelec_Total[[#This Row],[Qtd.]]</f>
        <v>0.96</v>
      </c>
    </row>
    <row r="366" spans="1:11" hidden="1">
      <c r="A366" t="s">
        <v>519</v>
      </c>
      <c r="B366" t="s">
        <v>524</v>
      </c>
      <c r="C366" t="s">
        <v>525</v>
      </c>
      <c r="D366">
        <v>1</v>
      </c>
      <c r="E366">
        <v>0.96</v>
      </c>
      <c r="F366">
        <v>0</v>
      </c>
      <c r="G366">
        <v>0</v>
      </c>
      <c r="H366">
        <v>0.96</v>
      </c>
      <c r="I366">
        <v>0.96</v>
      </c>
      <c r="J366" s="6">
        <v>46146</v>
      </c>
      <c r="K366">
        <f>Indusmelec_Total[[#This Row],[Prç Uni c/ Desc]]*Indusmelec_Total[[#This Row],[Qtd.]]</f>
        <v>0.96</v>
      </c>
    </row>
    <row r="367" spans="1:11" hidden="1">
      <c r="A367" t="s">
        <v>519</v>
      </c>
      <c r="B367" t="s">
        <v>526</v>
      </c>
      <c r="C367" t="s">
        <v>527</v>
      </c>
      <c r="D367">
        <v>1</v>
      </c>
      <c r="E367">
        <v>0.96</v>
      </c>
      <c r="F367">
        <v>0</v>
      </c>
      <c r="G367">
        <v>0</v>
      </c>
      <c r="H367">
        <v>0.96</v>
      </c>
      <c r="I367">
        <v>0.96</v>
      </c>
      <c r="J367" s="6">
        <v>46146</v>
      </c>
      <c r="K367">
        <f>Indusmelec_Total[[#This Row],[Prç Uni c/ Desc]]*Indusmelec_Total[[#This Row],[Qtd.]]</f>
        <v>0.96</v>
      </c>
    </row>
    <row r="368" spans="1:11" hidden="1">
      <c r="A368" t="s">
        <v>361</v>
      </c>
      <c r="B368" t="s">
        <v>362</v>
      </c>
      <c r="C368" t="s">
        <v>363</v>
      </c>
      <c r="D368">
        <v>1</v>
      </c>
      <c r="E368">
        <v>119.95</v>
      </c>
      <c r="F368">
        <v>0</v>
      </c>
      <c r="G368">
        <v>0</v>
      </c>
      <c r="H368">
        <v>119.95</v>
      </c>
      <c r="I368">
        <v>119.95</v>
      </c>
      <c r="J368" s="6">
        <v>45714</v>
      </c>
      <c r="K368">
        <f>Indusmelec_Total[[#This Row],[Prç Uni c/ Desc]]*Indusmelec_Total[[#This Row],[Qtd.]]</f>
        <v>119.95</v>
      </c>
    </row>
    <row r="369" spans="1:11" hidden="1">
      <c r="A369" t="s">
        <v>466</v>
      </c>
      <c r="B369" t="s">
        <v>469</v>
      </c>
      <c r="C369" t="s">
        <v>470</v>
      </c>
      <c r="D369">
        <v>1</v>
      </c>
      <c r="E369">
        <v>672.25</v>
      </c>
      <c r="F369">
        <v>0</v>
      </c>
      <c r="G369">
        <v>0</v>
      </c>
      <c r="H369">
        <v>672.25</v>
      </c>
      <c r="I369">
        <v>672.25</v>
      </c>
      <c r="J369" s="6">
        <v>45596</v>
      </c>
      <c r="K369">
        <f>Indusmelec_Total[[#This Row],[Prç Uni c/ Desc]]*Indusmelec_Total[[#This Row],[Qtd.]]</f>
        <v>672.25</v>
      </c>
    </row>
    <row r="370" spans="1:11" hidden="1">
      <c r="A370" t="s">
        <v>466</v>
      </c>
      <c r="B370" t="s">
        <v>471</v>
      </c>
      <c r="C370" t="s">
        <v>472</v>
      </c>
      <c r="D370">
        <v>1</v>
      </c>
      <c r="E370">
        <v>125</v>
      </c>
      <c r="F370">
        <v>0</v>
      </c>
      <c r="G370">
        <v>0</v>
      </c>
      <c r="H370">
        <v>125</v>
      </c>
      <c r="I370">
        <v>125</v>
      </c>
      <c r="J370" s="6">
        <v>45596</v>
      </c>
      <c r="K370">
        <f>Indusmelec_Total[[#This Row],[Prç Uni c/ Desc]]*Indusmelec_Total[[#This Row],[Qtd.]]</f>
        <v>125</v>
      </c>
    </row>
    <row r="371" spans="1:11" hidden="1">
      <c r="A371" t="s">
        <v>44</v>
      </c>
      <c r="B371" t="s">
        <v>47</v>
      </c>
      <c r="C371" t="s">
        <v>48</v>
      </c>
      <c r="D371">
        <v>12</v>
      </c>
      <c r="E371">
        <v>5.55</v>
      </c>
      <c r="F371">
        <v>0.25</v>
      </c>
      <c r="G371">
        <v>0</v>
      </c>
      <c r="H371">
        <v>4.1624999999999996</v>
      </c>
      <c r="J371" s="6">
        <v>46080</v>
      </c>
      <c r="K371">
        <f>Indusmelec_Total[[#This Row],[Prç Uni c/ Desc]]*Indusmelec_Total[[#This Row],[Qtd.]]</f>
        <v>49.949999999999996</v>
      </c>
    </row>
    <row r="372" spans="1:11" hidden="1">
      <c r="A372" t="s">
        <v>164</v>
      </c>
      <c r="B372" t="s">
        <v>47</v>
      </c>
      <c r="C372" t="s">
        <v>48</v>
      </c>
      <c r="D372">
        <v>12</v>
      </c>
      <c r="E372">
        <v>5.55</v>
      </c>
      <c r="F372">
        <v>0.25</v>
      </c>
      <c r="G372">
        <v>0</v>
      </c>
      <c r="H372">
        <v>4.1624999999999996</v>
      </c>
      <c r="I372">
        <v>49.95</v>
      </c>
      <c r="J372" s="6">
        <v>45918</v>
      </c>
      <c r="K372">
        <f>Indusmelec_Total[[#This Row],[Prç Uni c/ Desc]]*Indusmelec_Total[[#This Row],[Qtd.]]</f>
        <v>49.949999999999996</v>
      </c>
    </row>
    <row r="373" spans="1:11" hidden="1">
      <c r="A373" t="s">
        <v>223</v>
      </c>
      <c r="B373" t="s">
        <v>47</v>
      </c>
      <c r="C373" t="s">
        <v>48</v>
      </c>
      <c r="D373">
        <v>12</v>
      </c>
      <c r="E373">
        <v>5.55</v>
      </c>
      <c r="F373">
        <v>0.25</v>
      </c>
      <c r="G373">
        <v>0</v>
      </c>
      <c r="H373">
        <v>4.1624999999999996</v>
      </c>
      <c r="J373" s="6">
        <v>46031</v>
      </c>
      <c r="K373">
        <f>Indusmelec_Total[[#This Row],[Prç Uni c/ Desc]]*Indusmelec_Total[[#This Row],[Qtd.]]</f>
        <v>49.949999999999996</v>
      </c>
    </row>
    <row r="374" spans="1:11" hidden="1">
      <c r="A374" t="s">
        <v>116</v>
      </c>
      <c r="B374" t="s">
        <v>117</v>
      </c>
      <c r="C374" t="s">
        <v>118</v>
      </c>
      <c r="D374">
        <v>21</v>
      </c>
      <c r="E374">
        <v>5.55</v>
      </c>
      <c r="F374">
        <v>0.25</v>
      </c>
      <c r="G374">
        <v>0</v>
      </c>
      <c r="H374">
        <v>4.1624999999999996</v>
      </c>
      <c r="I374">
        <v>87.41</v>
      </c>
      <c r="J374" s="6">
        <v>45735</v>
      </c>
      <c r="K374">
        <f>Indusmelec_Total[[#This Row],[Prç Uni c/ Desc]]*Indusmelec_Total[[#This Row],[Qtd.]]</f>
        <v>87.412499999999994</v>
      </c>
    </row>
    <row r="375" spans="1:11" hidden="1">
      <c r="A375" t="s">
        <v>44</v>
      </c>
      <c r="B375" t="s">
        <v>45</v>
      </c>
      <c r="C375" t="s">
        <v>46</v>
      </c>
      <c r="D375">
        <v>15</v>
      </c>
      <c r="E375">
        <v>7.23</v>
      </c>
      <c r="F375">
        <v>0.25</v>
      </c>
      <c r="G375">
        <v>0</v>
      </c>
      <c r="H375">
        <v>5.4225000000000003</v>
      </c>
      <c r="J375" s="6">
        <v>46080</v>
      </c>
      <c r="K375">
        <f>Indusmelec_Total[[#This Row],[Prç Uni c/ Desc]]*Indusmelec_Total[[#This Row],[Qtd.]]</f>
        <v>81.337500000000006</v>
      </c>
    </row>
    <row r="376" spans="1:11" hidden="1">
      <c r="A376" t="s">
        <v>164</v>
      </c>
      <c r="B376" t="s">
        <v>45</v>
      </c>
      <c r="C376" t="s">
        <v>46</v>
      </c>
      <c r="D376">
        <v>21</v>
      </c>
      <c r="E376">
        <v>7.23</v>
      </c>
      <c r="F376">
        <v>0.25</v>
      </c>
      <c r="G376">
        <v>0</v>
      </c>
      <c r="H376">
        <v>5.4225000000000003</v>
      </c>
      <c r="I376">
        <v>113.87</v>
      </c>
      <c r="J376" s="6">
        <v>45918</v>
      </c>
      <c r="K376">
        <f>Indusmelec_Total[[#This Row],[Prç Uni c/ Desc]]*Indusmelec_Total[[#This Row],[Qtd.]]</f>
        <v>113.8725</v>
      </c>
    </row>
    <row r="377" spans="1:11" hidden="1">
      <c r="A377" t="s">
        <v>223</v>
      </c>
      <c r="B377" t="s">
        <v>45</v>
      </c>
      <c r="C377" t="s">
        <v>46</v>
      </c>
      <c r="D377">
        <v>9</v>
      </c>
      <c r="E377">
        <v>7.23</v>
      </c>
      <c r="F377">
        <v>0.25</v>
      </c>
      <c r="G377">
        <v>0</v>
      </c>
      <c r="H377">
        <v>5.4225000000000003</v>
      </c>
      <c r="J377" s="6">
        <v>46031</v>
      </c>
      <c r="K377">
        <f>Indusmelec_Total[[#This Row],[Prç Uni c/ Desc]]*Indusmelec_Total[[#This Row],[Qtd.]]</f>
        <v>48.802500000000002</v>
      </c>
    </row>
    <row r="378" spans="1:11" hidden="1">
      <c r="A378" t="s">
        <v>164</v>
      </c>
      <c r="B378" t="s">
        <v>165</v>
      </c>
      <c r="C378" t="s">
        <v>166</v>
      </c>
      <c r="D378">
        <v>21</v>
      </c>
      <c r="E378">
        <v>8.7799999999999994</v>
      </c>
      <c r="F378">
        <v>0.25</v>
      </c>
      <c r="G378">
        <v>0</v>
      </c>
      <c r="H378">
        <v>6.5849999999999991</v>
      </c>
      <c r="I378">
        <v>138.29</v>
      </c>
      <c r="J378" s="6">
        <v>45918</v>
      </c>
      <c r="K378">
        <f>Indusmelec_Total[[#This Row],[Prç Uni c/ Desc]]*Indusmelec_Total[[#This Row],[Qtd.]]</f>
        <v>138.28499999999997</v>
      </c>
    </row>
    <row r="379" spans="1:11" hidden="1">
      <c r="A379" t="s">
        <v>128</v>
      </c>
      <c r="B379" t="s">
        <v>129</v>
      </c>
      <c r="C379" t="s">
        <v>130</v>
      </c>
      <c r="D379">
        <v>9</v>
      </c>
      <c r="E379">
        <v>4.5199999999999996</v>
      </c>
      <c r="F379">
        <v>0.25</v>
      </c>
      <c r="G379">
        <v>0</v>
      </c>
      <c r="H379">
        <v>3.3899999999999997</v>
      </c>
      <c r="I379">
        <v>30.51</v>
      </c>
      <c r="J379" s="6">
        <v>45804</v>
      </c>
      <c r="K379">
        <f>Indusmelec_Total[[#This Row],[Prç Uni c/ Desc]]*Indusmelec_Total[[#This Row],[Qtd.]]</f>
        <v>30.509999999999998</v>
      </c>
    </row>
    <row r="380" spans="1:11" hidden="1">
      <c r="A380" t="s">
        <v>466</v>
      </c>
      <c r="B380" t="s">
        <v>467</v>
      </c>
      <c r="C380" t="s">
        <v>468</v>
      </c>
      <c r="D380">
        <v>1</v>
      </c>
      <c r="E380">
        <v>1847.75</v>
      </c>
      <c r="F380">
        <v>0</v>
      </c>
      <c r="G380">
        <v>0</v>
      </c>
      <c r="H380">
        <v>1847.75</v>
      </c>
      <c r="I380">
        <v>1847.75</v>
      </c>
      <c r="J380" s="6">
        <v>45596</v>
      </c>
      <c r="K380">
        <f>Indusmelec_Total[[#This Row],[Prç Uni c/ Desc]]*Indusmelec_Total[[#This Row],[Qtd.]]</f>
        <v>1847.75</v>
      </c>
    </row>
    <row r="381" spans="1:11" hidden="1">
      <c r="A381" t="s">
        <v>486</v>
      </c>
      <c r="B381" t="s">
        <v>491</v>
      </c>
      <c r="C381" t="s">
        <v>492</v>
      </c>
      <c r="D381">
        <v>1</v>
      </c>
      <c r="E381">
        <v>57.5</v>
      </c>
      <c r="F381">
        <v>0.02</v>
      </c>
      <c r="G381">
        <v>0</v>
      </c>
      <c r="H381">
        <v>56.35</v>
      </c>
      <c r="I381">
        <v>56.35</v>
      </c>
      <c r="J381" s="6">
        <v>46057</v>
      </c>
      <c r="K381">
        <f>Indusmelec_Total[[#This Row],[Prç Uni c/ Desc]]*Indusmelec_Total[[#This Row],[Qtd.]]</f>
        <v>56.35</v>
      </c>
    </row>
    <row r="382" spans="1:11" hidden="1">
      <c r="A382" t="s">
        <v>496</v>
      </c>
      <c r="B382" t="s">
        <v>491</v>
      </c>
      <c r="C382" t="s">
        <v>492</v>
      </c>
      <c r="D382">
        <v>2</v>
      </c>
      <c r="E382">
        <v>55.99</v>
      </c>
      <c r="F382">
        <v>0.05</v>
      </c>
      <c r="G382">
        <v>0.02</v>
      </c>
      <c r="H382">
        <v>52.126689999999996</v>
      </c>
      <c r="I382">
        <v>104.25</v>
      </c>
      <c r="J382" s="6">
        <v>45842</v>
      </c>
      <c r="K382">
        <f>Indusmelec_Total[[#This Row],[Prç Uni c/ Desc]]*Indusmelec_Total[[#This Row],[Qtd.]]</f>
        <v>104.25337999999999</v>
      </c>
    </row>
    <row r="383" spans="1:11" hidden="1">
      <c r="A383" t="s">
        <v>539</v>
      </c>
      <c r="B383" t="s">
        <v>491</v>
      </c>
      <c r="C383" t="s">
        <v>492</v>
      </c>
      <c r="D383">
        <v>1</v>
      </c>
      <c r="E383">
        <v>57.5</v>
      </c>
      <c r="F383">
        <v>0.02</v>
      </c>
      <c r="G383">
        <v>0</v>
      </c>
      <c r="H383">
        <v>56.35</v>
      </c>
      <c r="I383">
        <v>56.35</v>
      </c>
      <c r="J383" s="6">
        <v>46153</v>
      </c>
      <c r="K383">
        <f>Indusmelec_Total[[#This Row],[Prç Uni c/ Desc]]*Indusmelec_Total[[#This Row],[Qtd.]]</f>
        <v>56.35</v>
      </c>
    </row>
    <row r="384" spans="1:11" hidden="1">
      <c r="A384" t="s">
        <v>215</v>
      </c>
      <c r="B384" t="s">
        <v>216</v>
      </c>
      <c r="C384" t="s">
        <v>217</v>
      </c>
      <c r="D384">
        <v>21</v>
      </c>
      <c r="E384">
        <v>6.95</v>
      </c>
      <c r="F384">
        <v>0.28000000000000003</v>
      </c>
      <c r="G384">
        <v>0</v>
      </c>
      <c r="H384">
        <v>5.0039999999999996</v>
      </c>
      <c r="I384">
        <v>105.08</v>
      </c>
      <c r="J384" s="6">
        <v>45625</v>
      </c>
      <c r="K384">
        <f>Indusmelec_Total[[#This Row],[Prç Uni c/ Desc]]*Indusmelec_Total[[#This Row],[Qtd.]]</f>
        <v>105.08399999999999</v>
      </c>
    </row>
    <row r="385" spans="1:11" hidden="1">
      <c r="A385" t="s">
        <v>486</v>
      </c>
      <c r="B385" t="s">
        <v>487</v>
      </c>
      <c r="C385" t="s">
        <v>488</v>
      </c>
      <c r="D385">
        <v>1</v>
      </c>
      <c r="E385">
        <v>143.5</v>
      </c>
      <c r="F385">
        <v>0.02</v>
      </c>
      <c r="G385">
        <v>0</v>
      </c>
      <c r="H385">
        <v>140.63</v>
      </c>
      <c r="I385">
        <v>140.63</v>
      </c>
      <c r="J385" s="6">
        <v>46057</v>
      </c>
      <c r="K385">
        <f>Indusmelec_Total[[#This Row],[Prç Uni c/ Desc]]*Indusmelec_Total[[#This Row],[Qtd.]]</f>
        <v>140.63</v>
      </c>
    </row>
    <row r="386" spans="1:11" hidden="1">
      <c r="A386" t="s">
        <v>496</v>
      </c>
      <c r="B386" t="s">
        <v>487</v>
      </c>
      <c r="C386" t="s">
        <v>488</v>
      </c>
      <c r="D386">
        <v>2</v>
      </c>
      <c r="E386">
        <v>139.9</v>
      </c>
      <c r="F386">
        <v>0.05</v>
      </c>
      <c r="G386">
        <v>0.02</v>
      </c>
      <c r="H386">
        <v>130.24690000000001</v>
      </c>
      <c r="I386">
        <v>260.49</v>
      </c>
      <c r="J386" s="6">
        <v>45842</v>
      </c>
      <c r="K386">
        <f>Indusmelec_Total[[#This Row],[Prç Uni c/ Desc]]*Indusmelec_Total[[#This Row],[Qtd.]]</f>
        <v>260.49380000000002</v>
      </c>
    </row>
    <row r="387" spans="1:11" hidden="1">
      <c r="A387" t="s">
        <v>519</v>
      </c>
      <c r="B387" t="s">
        <v>487</v>
      </c>
      <c r="C387" t="s">
        <v>488</v>
      </c>
      <c r="D387">
        <v>1</v>
      </c>
      <c r="E387">
        <v>143.5</v>
      </c>
      <c r="F387">
        <v>0.02</v>
      </c>
      <c r="G387">
        <v>0</v>
      </c>
      <c r="H387">
        <v>140.63</v>
      </c>
      <c r="I387">
        <v>140.63</v>
      </c>
      <c r="J387" s="6">
        <v>46146</v>
      </c>
      <c r="K387">
        <f>Indusmelec_Total[[#This Row],[Prç Uni c/ Desc]]*Indusmelec_Total[[#This Row],[Qtd.]]</f>
        <v>140.63</v>
      </c>
    </row>
    <row r="388" spans="1:11" hidden="1">
      <c r="A388" t="s">
        <v>358</v>
      </c>
      <c r="B388" t="s">
        <v>359</v>
      </c>
      <c r="C388" t="s">
        <v>360</v>
      </c>
      <c r="D388">
        <v>20</v>
      </c>
      <c r="E388">
        <v>3.1587999999999998</v>
      </c>
      <c r="F388">
        <v>0.25</v>
      </c>
      <c r="G388">
        <v>0</v>
      </c>
      <c r="H388">
        <v>2.3691</v>
      </c>
      <c r="I388">
        <v>47.38</v>
      </c>
      <c r="J388" s="6">
        <v>46104</v>
      </c>
      <c r="K388">
        <f>Indusmelec_Total[[#This Row],[Prç Uni c/ Desc]]*Indusmelec_Total[[#This Row],[Qtd.]]</f>
        <v>47.381999999999998</v>
      </c>
    </row>
    <row r="389" spans="1:11" hidden="1">
      <c r="A389" t="s">
        <v>215</v>
      </c>
      <c r="B389" t="s">
        <v>220</v>
      </c>
      <c r="C389" t="s">
        <v>221</v>
      </c>
      <c r="D389">
        <v>50</v>
      </c>
      <c r="E389">
        <v>2.9336000000000002</v>
      </c>
      <c r="F389">
        <v>0.28000000000000003</v>
      </c>
      <c r="G389">
        <v>0</v>
      </c>
      <c r="H389">
        <v>2.1121920000000003</v>
      </c>
      <c r="I389">
        <v>105.61</v>
      </c>
      <c r="J389" s="6">
        <v>45625</v>
      </c>
      <c r="K389">
        <f>Indusmelec_Total[[#This Row],[Prç Uni c/ Desc]]*Indusmelec_Total[[#This Row],[Qtd.]]</f>
        <v>105.60960000000001</v>
      </c>
    </row>
    <row r="390" spans="1:11" hidden="1">
      <c r="A390" t="s">
        <v>78</v>
      </c>
      <c r="B390" t="s">
        <v>81</v>
      </c>
      <c r="C390" t="s">
        <v>82</v>
      </c>
      <c r="D390">
        <v>20</v>
      </c>
      <c r="E390">
        <v>0.41239999999999999</v>
      </c>
      <c r="F390">
        <v>0.25</v>
      </c>
      <c r="G390">
        <v>0</v>
      </c>
      <c r="H390">
        <v>0.30930000000000002</v>
      </c>
      <c r="I390">
        <v>6.19</v>
      </c>
      <c r="J390" s="6">
        <v>45464</v>
      </c>
      <c r="K390">
        <f>Indusmelec_Total[[#This Row],[Prç Uni c/ Desc]]*Indusmelec_Total[[#This Row],[Qtd.]]</f>
        <v>6.1859999999999999</v>
      </c>
    </row>
    <row r="391" spans="1:11" hidden="1">
      <c r="A391" t="s">
        <v>15</v>
      </c>
      <c r="B391" t="s">
        <v>16</v>
      </c>
      <c r="C391" t="s">
        <v>17</v>
      </c>
      <c r="D391">
        <v>10</v>
      </c>
      <c r="E391">
        <v>7.5282999999999998</v>
      </c>
      <c r="F391">
        <v>0.5</v>
      </c>
      <c r="G391">
        <v>0</v>
      </c>
      <c r="H391">
        <v>3.7641499999999999</v>
      </c>
      <c r="I391">
        <v>37.64</v>
      </c>
      <c r="J391" s="6">
        <v>45909</v>
      </c>
      <c r="K391">
        <f>Indusmelec_Total[[#This Row],[Prç Uni c/ Desc]]*Indusmelec_Total[[#This Row],[Qtd.]]</f>
        <v>37.641500000000001</v>
      </c>
    </row>
    <row r="392" spans="1:11" hidden="1">
      <c r="A392" t="s">
        <v>514</v>
      </c>
      <c r="B392" t="s">
        <v>515</v>
      </c>
      <c r="C392" t="s">
        <v>516</v>
      </c>
      <c r="D392">
        <v>50</v>
      </c>
      <c r="E392">
        <v>0.49869999999999998</v>
      </c>
      <c r="F392">
        <v>0.25</v>
      </c>
      <c r="G392">
        <v>0</v>
      </c>
      <c r="H392">
        <v>0.374025</v>
      </c>
      <c r="I392">
        <v>18.7</v>
      </c>
      <c r="J392" s="6">
        <v>46139</v>
      </c>
      <c r="K392">
        <f>Indusmelec_Total[[#This Row],[Prç Uni c/ Desc]]*Indusmelec_Total[[#This Row],[Qtd.]]</f>
        <v>18.701249999999998</v>
      </c>
    </row>
    <row r="393" spans="1:11" hidden="1">
      <c r="A393" t="s">
        <v>514</v>
      </c>
      <c r="B393" t="s">
        <v>517</v>
      </c>
      <c r="C393" t="s">
        <v>518</v>
      </c>
      <c r="D393">
        <v>50</v>
      </c>
      <c r="E393">
        <v>0.7954</v>
      </c>
      <c r="F393">
        <v>0.25</v>
      </c>
      <c r="G393">
        <v>0</v>
      </c>
      <c r="H393">
        <v>0.59655000000000002</v>
      </c>
      <c r="I393">
        <v>29.83</v>
      </c>
      <c r="J393" s="6">
        <v>46139</v>
      </c>
      <c r="K393">
        <f>Indusmelec_Total[[#This Row],[Prç Uni c/ Desc]]*Indusmelec_Total[[#This Row],[Qtd.]]</f>
        <v>29.827500000000001</v>
      </c>
    </row>
    <row r="394" spans="1:11" hidden="1">
      <c r="A394" t="s">
        <v>78</v>
      </c>
      <c r="B394" t="s">
        <v>83</v>
      </c>
      <c r="C394" t="s">
        <v>84</v>
      </c>
      <c r="D394">
        <v>30</v>
      </c>
      <c r="E394">
        <v>0.70889999999999997</v>
      </c>
      <c r="F394">
        <v>0.25</v>
      </c>
      <c r="G394">
        <v>0</v>
      </c>
      <c r="H394">
        <v>0.53167500000000001</v>
      </c>
      <c r="I394">
        <v>15.95</v>
      </c>
      <c r="J394" s="6">
        <v>45464</v>
      </c>
      <c r="K394">
        <f>Indusmelec_Total[[#This Row],[Prç Uni c/ Desc]]*Indusmelec_Total[[#This Row],[Qtd.]]</f>
        <v>15.95025</v>
      </c>
    </row>
    <row r="395" spans="1:11" hidden="1">
      <c r="A395" t="s">
        <v>567</v>
      </c>
      <c r="B395" t="s">
        <v>568</v>
      </c>
      <c r="C395" t="s">
        <v>569</v>
      </c>
      <c r="D395">
        <v>20</v>
      </c>
      <c r="E395">
        <v>0.95109999999999995</v>
      </c>
      <c r="F395">
        <v>0.25</v>
      </c>
      <c r="G395">
        <v>0</v>
      </c>
      <c r="H395">
        <v>0.71332499999999999</v>
      </c>
      <c r="J395" s="6">
        <v>45923</v>
      </c>
      <c r="K395">
        <f>Indusmelec_Total[[#This Row],[Prç Uni c/ Desc]]*Indusmelec_Total[[#This Row],[Qtd.]]</f>
        <v>14.266500000000001</v>
      </c>
    </row>
    <row r="396" spans="1:11" hidden="1">
      <c r="A396" t="s">
        <v>486</v>
      </c>
      <c r="B396" t="s">
        <v>489</v>
      </c>
      <c r="C396" t="s">
        <v>490</v>
      </c>
      <c r="D396">
        <v>1</v>
      </c>
      <c r="E396">
        <v>57.5</v>
      </c>
      <c r="F396">
        <v>0.02</v>
      </c>
      <c r="G396">
        <v>0</v>
      </c>
      <c r="H396">
        <v>56.35</v>
      </c>
      <c r="I396">
        <v>56.35</v>
      </c>
      <c r="J396" s="6">
        <v>46057</v>
      </c>
      <c r="K396">
        <f>Indusmelec_Total[[#This Row],[Prç Uni c/ Desc]]*Indusmelec_Total[[#This Row],[Qtd.]]</f>
        <v>56.35</v>
      </c>
    </row>
    <row r="397" spans="1:11" hidden="1">
      <c r="A397" t="s">
        <v>496</v>
      </c>
      <c r="B397" t="s">
        <v>489</v>
      </c>
      <c r="C397" t="s">
        <v>490</v>
      </c>
      <c r="D397">
        <v>2</v>
      </c>
      <c r="E397">
        <v>55.99</v>
      </c>
      <c r="F397">
        <v>0.05</v>
      </c>
      <c r="G397">
        <v>0.02</v>
      </c>
      <c r="H397">
        <v>52.126689999999996</v>
      </c>
      <c r="I397">
        <v>104.25</v>
      </c>
      <c r="J397" s="6">
        <v>45842</v>
      </c>
      <c r="K397">
        <f>Indusmelec_Total[[#This Row],[Prç Uni c/ Desc]]*Indusmelec_Total[[#This Row],[Qtd.]]</f>
        <v>104.25337999999999</v>
      </c>
    </row>
    <row r="398" spans="1:11" hidden="1">
      <c r="A398" t="s">
        <v>539</v>
      </c>
      <c r="B398" t="s">
        <v>489</v>
      </c>
      <c r="C398" t="s">
        <v>490</v>
      </c>
      <c r="D398">
        <v>1</v>
      </c>
      <c r="E398">
        <v>57.5</v>
      </c>
      <c r="F398">
        <v>0.02</v>
      </c>
      <c r="G398">
        <v>0</v>
      </c>
      <c r="H398">
        <v>56.35</v>
      </c>
      <c r="I398">
        <v>56.35</v>
      </c>
      <c r="J398" s="6">
        <v>46153</v>
      </c>
      <c r="K398">
        <f>Indusmelec_Total[[#This Row],[Prç Uni c/ Desc]]*Indusmelec_Total[[#This Row],[Qtd.]]</f>
        <v>56.35</v>
      </c>
    </row>
    <row r="399" spans="1:11" hidden="1">
      <c r="A399" t="s">
        <v>158</v>
      </c>
      <c r="B399" t="s">
        <v>159</v>
      </c>
      <c r="C399" t="s">
        <v>160</v>
      </c>
      <c r="D399">
        <v>1</v>
      </c>
      <c r="E399">
        <v>100</v>
      </c>
      <c r="F399">
        <v>0</v>
      </c>
      <c r="G399">
        <v>0</v>
      </c>
      <c r="H399">
        <v>100</v>
      </c>
      <c r="I399">
        <v>100</v>
      </c>
      <c r="J399" s="6">
        <v>45916</v>
      </c>
      <c r="K399">
        <f>Indusmelec_Total[[#This Row],[Prç Uni c/ Desc]]*Indusmelec_Total[[#This Row],[Qtd.]]</f>
        <v>100</v>
      </c>
    </row>
    <row r="400" spans="1:11">
      <c r="A400" t="s">
        <v>606</v>
      </c>
      <c r="B400" t="s">
        <v>609</v>
      </c>
      <c r="C400" t="s">
        <v>610</v>
      </c>
      <c r="D400">
        <v>3</v>
      </c>
      <c r="E400">
        <v>0.49</v>
      </c>
      <c r="F400">
        <v>0</v>
      </c>
      <c r="G400">
        <v>0</v>
      </c>
      <c r="H400">
        <v>0.49</v>
      </c>
      <c r="I400">
        <v>1.47</v>
      </c>
      <c r="J400" s="6">
        <v>46008</v>
      </c>
      <c r="K400">
        <f>Indusmelec_Total[[#This Row],[Prç Uni c/ Desc]]*Indusmelec_Total[[#This Row],[Qtd.]]</f>
        <v>1.47</v>
      </c>
    </row>
    <row r="401" spans="1:11" hidden="1">
      <c r="A401" t="s">
        <v>371</v>
      </c>
      <c r="B401" t="s">
        <v>372</v>
      </c>
      <c r="C401" t="s">
        <v>373</v>
      </c>
      <c r="D401">
        <v>1</v>
      </c>
      <c r="E401">
        <v>3.66</v>
      </c>
      <c r="F401">
        <v>0</v>
      </c>
      <c r="G401">
        <v>0</v>
      </c>
      <c r="H401">
        <v>3.66</v>
      </c>
      <c r="I401">
        <v>3.66</v>
      </c>
      <c r="K401">
        <f>Indusmelec_Total[[#This Row],[Prç Uni c/ Desc]]*Indusmelec_Total[[#This Row],[Qtd.]]</f>
        <v>3.66</v>
      </c>
    </row>
    <row r="402" spans="1:11" hidden="1">
      <c r="A402" t="s">
        <v>371</v>
      </c>
      <c r="B402" t="s">
        <v>374</v>
      </c>
      <c r="C402" t="s">
        <v>375</v>
      </c>
      <c r="D402">
        <v>1</v>
      </c>
      <c r="E402">
        <v>3.66</v>
      </c>
      <c r="F402">
        <v>0</v>
      </c>
      <c r="G402">
        <v>0</v>
      </c>
      <c r="H402">
        <v>3.66</v>
      </c>
      <c r="I402">
        <v>3.66</v>
      </c>
      <c r="K402">
        <f>Indusmelec_Total[[#This Row],[Prç Uni c/ Desc]]*Indusmelec_Total[[#This Row],[Qtd.]]</f>
        <v>3.66</v>
      </c>
    </row>
    <row r="403" spans="1:11" hidden="1">
      <c r="A403" t="s">
        <v>371</v>
      </c>
      <c r="B403" t="s">
        <v>376</v>
      </c>
      <c r="C403" t="s">
        <v>377</v>
      </c>
      <c r="D403">
        <v>1</v>
      </c>
      <c r="E403">
        <v>3.66</v>
      </c>
      <c r="F403">
        <v>0</v>
      </c>
      <c r="G403">
        <v>0</v>
      </c>
      <c r="H403">
        <v>3.66</v>
      </c>
      <c r="I403">
        <v>3.66</v>
      </c>
      <c r="K403">
        <f>Indusmelec_Total[[#This Row],[Prç Uni c/ Desc]]*Indusmelec_Total[[#This Row],[Qtd.]]</f>
        <v>3.66</v>
      </c>
    </row>
    <row r="404" spans="1:11" hidden="1">
      <c r="A404" t="s">
        <v>371</v>
      </c>
      <c r="B404" t="s">
        <v>378</v>
      </c>
      <c r="C404" t="s">
        <v>379</v>
      </c>
      <c r="D404">
        <v>1</v>
      </c>
      <c r="E404">
        <v>3.66</v>
      </c>
      <c r="F404">
        <v>0</v>
      </c>
      <c r="G404">
        <v>0</v>
      </c>
      <c r="H404">
        <v>3.66</v>
      </c>
      <c r="I404">
        <v>3.66</v>
      </c>
      <c r="K404">
        <f>Indusmelec_Total[[#This Row],[Prç Uni c/ Desc]]*Indusmelec_Total[[#This Row],[Qtd.]]</f>
        <v>3.66</v>
      </c>
    </row>
    <row r="405" spans="1:11" hidden="1">
      <c r="A405" t="s">
        <v>371</v>
      </c>
      <c r="B405" t="s">
        <v>380</v>
      </c>
      <c r="C405" t="s">
        <v>381</v>
      </c>
      <c r="D405">
        <v>1</v>
      </c>
      <c r="E405">
        <v>7.74</v>
      </c>
      <c r="F405">
        <v>0</v>
      </c>
      <c r="G405">
        <v>0</v>
      </c>
      <c r="H405">
        <v>7.74</v>
      </c>
      <c r="I405">
        <v>7.74</v>
      </c>
      <c r="K405">
        <f>Indusmelec_Total[[#This Row],[Prç Uni c/ Desc]]*Indusmelec_Total[[#This Row],[Qtd.]]</f>
        <v>7.74</v>
      </c>
    </row>
    <row r="406" spans="1:11">
      <c r="A406" t="s">
        <v>606</v>
      </c>
      <c r="B406" t="s">
        <v>607</v>
      </c>
      <c r="C406" t="s">
        <v>608</v>
      </c>
      <c r="D406">
        <v>6</v>
      </c>
      <c r="E406">
        <v>1.01</v>
      </c>
      <c r="F406">
        <v>0</v>
      </c>
      <c r="G406">
        <v>0</v>
      </c>
      <c r="H406">
        <v>1.01</v>
      </c>
      <c r="I406">
        <v>6.06</v>
      </c>
      <c r="J406" s="6">
        <v>46008</v>
      </c>
      <c r="K406">
        <f>Indusmelec_Total[[#This Row],[Prç Uni c/ Desc]]*Indusmelec_Total[[#This Row],[Qtd.]]</f>
        <v>6.0600000000000005</v>
      </c>
    </row>
    <row r="407" spans="1:11">
      <c r="A407" t="s">
        <v>371</v>
      </c>
      <c r="B407" t="s">
        <v>394</v>
      </c>
      <c r="C407" t="s">
        <v>395</v>
      </c>
      <c r="D407">
        <v>3</v>
      </c>
      <c r="E407">
        <v>1.58</v>
      </c>
      <c r="F407">
        <v>0</v>
      </c>
      <c r="G407">
        <v>0</v>
      </c>
      <c r="H407">
        <v>1.58</v>
      </c>
      <c r="I407">
        <v>4.74</v>
      </c>
      <c r="K407">
        <f>Indusmelec_Total[[#This Row],[Prç Uni c/ Desc]]*Indusmelec_Total[[#This Row],[Qtd.]]</f>
        <v>4.74</v>
      </c>
    </row>
    <row r="408" spans="1:11">
      <c r="A408" t="s">
        <v>371</v>
      </c>
      <c r="B408" t="s">
        <v>396</v>
      </c>
      <c r="C408" t="s">
        <v>397</v>
      </c>
      <c r="D408">
        <v>3</v>
      </c>
      <c r="E408">
        <v>1.58</v>
      </c>
      <c r="F408">
        <v>0</v>
      </c>
      <c r="G408">
        <v>0</v>
      </c>
      <c r="H408">
        <v>1.58</v>
      </c>
      <c r="I408">
        <v>4.74</v>
      </c>
      <c r="K408">
        <f>Indusmelec_Total[[#This Row],[Prç Uni c/ Desc]]*Indusmelec_Total[[#This Row],[Qtd.]]</f>
        <v>4.74</v>
      </c>
    </row>
    <row r="409" spans="1:11">
      <c r="A409" t="s">
        <v>371</v>
      </c>
      <c r="B409" t="s">
        <v>392</v>
      </c>
      <c r="C409" t="s">
        <v>393</v>
      </c>
      <c r="D409">
        <v>3</v>
      </c>
      <c r="E409">
        <v>1.58</v>
      </c>
      <c r="F409">
        <v>0</v>
      </c>
      <c r="G409">
        <v>0</v>
      </c>
      <c r="H409">
        <v>1.58</v>
      </c>
      <c r="I409">
        <v>4.74</v>
      </c>
      <c r="K409">
        <f>Indusmelec_Total[[#This Row],[Prç Uni c/ Desc]]*Indusmelec_Total[[#This Row],[Qtd.]]</f>
        <v>4.74</v>
      </c>
    </row>
    <row r="410" spans="1:11">
      <c r="A410" t="s">
        <v>606</v>
      </c>
      <c r="B410" t="s">
        <v>390</v>
      </c>
      <c r="C410" t="s">
        <v>391</v>
      </c>
      <c r="D410">
        <v>3</v>
      </c>
      <c r="E410">
        <v>6.91</v>
      </c>
      <c r="F410">
        <v>0</v>
      </c>
      <c r="G410">
        <v>0</v>
      </c>
      <c r="H410">
        <v>6.91</v>
      </c>
      <c r="I410">
        <v>20.73</v>
      </c>
      <c r="J410" s="6">
        <v>46008</v>
      </c>
      <c r="K410">
        <f>Indusmelec_Total[[#This Row],[Prç Uni c/ Desc]]*Indusmelec_Total[[#This Row],[Qtd.]]</f>
        <v>20.73</v>
      </c>
    </row>
    <row r="411" spans="1:11">
      <c r="A411" t="s">
        <v>371</v>
      </c>
      <c r="B411" t="s">
        <v>390</v>
      </c>
      <c r="C411" t="s">
        <v>391</v>
      </c>
      <c r="D411">
        <v>1</v>
      </c>
      <c r="E411">
        <v>6.91</v>
      </c>
      <c r="F411">
        <v>0</v>
      </c>
      <c r="G411">
        <v>0</v>
      </c>
      <c r="H411">
        <v>6.91</v>
      </c>
      <c r="I411">
        <v>6.91</v>
      </c>
      <c r="K411">
        <f>Indusmelec_Total[[#This Row],[Prç Uni c/ Desc]]*Indusmelec_Total[[#This Row],[Qtd.]]</f>
        <v>6.91</v>
      </c>
    </row>
    <row r="412" spans="1:11">
      <c r="A412" t="s">
        <v>606</v>
      </c>
      <c r="B412" t="s">
        <v>384</v>
      </c>
      <c r="C412" t="s">
        <v>385</v>
      </c>
      <c r="D412">
        <v>2</v>
      </c>
      <c r="E412">
        <v>2.27</v>
      </c>
      <c r="F412">
        <v>0</v>
      </c>
      <c r="G412">
        <v>0</v>
      </c>
      <c r="H412">
        <v>2.27</v>
      </c>
      <c r="I412">
        <v>4.54</v>
      </c>
      <c r="J412" s="6">
        <v>46008</v>
      </c>
      <c r="K412">
        <f>Indusmelec_Total[[#This Row],[Prç Uni c/ Desc]]*Indusmelec_Total[[#This Row],[Qtd.]]</f>
        <v>4.54</v>
      </c>
    </row>
    <row r="413" spans="1:11">
      <c r="A413" t="s">
        <v>371</v>
      </c>
      <c r="B413" t="s">
        <v>384</v>
      </c>
      <c r="C413" t="s">
        <v>385</v>
      </c>
      <c r="D413">
        <v>1</v>
      </c>
      <c r="E413">
        <v>2.27</v>
      </c>
      <c r="F413">
        <v>0</v>
      </c>
      <c r="G413">
        <v>0</v>
      </c>
      <c r="H413">
        <v>2.27</v>
      </c>
      <c r="I413">
        <v>2.27</v>
      </c>
      <c r="K413">
        <f>Indusmelec_Total[[#This Row],[Prç Uni c/ Desc]]*Indusmelec_Total[[#This Row],[Qtd.]]</f>
        <v>2.27</v>
      </c>
    </row>
    <row r="414" spans="1:11">
      <c r="A414" t="s">
        <v>606</v>
      </c>
      <c r="B414" t="s">
        <v>386</v>
      </c>
      <c r="C414" t="s">
        <v>387</v>
      </c>
      <c r="D414">
        <v>6</v>
      </c>
      <c r="E414">
        <v>2.27</v>
      </c>
      <c r="F414">
        <v>0</v>
      </c>
      <c r="G414">
        <v>0</v>
      </c>
      <c r="H414">
        <v>2.27</v>
      </c>
      <c r="I414">
        <v>13.62</v>
      </c>
      <c r="J414" s="6">
        <v>46008</v>
      </c>
      <c r="K414">
        <f>Indusmelec_Total[[#This Row],[Prç Uni c/ Desc]]*Indusmelec_Total[[#This Row],[Qtd.]]</f>
        <v>13.620000000000001</v>
      </c>
    </row>
    <row r="415" spans="1:11">
      <c r="A415" t="s">
        <v>371</v>
      </c>
      <c r="B415" t="s">
        <v>386</v>
      </c>
      <c r="C415" t="s">
        <v>387</v>
      </c>
      <c r="D415">
        <v>1</v>
      </c>
      <c r="E415">
        <v>2.27</v>
      </c>
      <c r="F415">
        <v>0</v>
      </c>
      <c r="G415">
        <v>0</v>
      </c>
      <c r="H415">
        <v>2.27</v>
      </c>
      <c r="I415">
        <v>2.27</v>
      </c>
      <c r="K415">
        <f>Indusmelec_Total[[#This Row],[Prç Uni c/ Desc]]*Indusmelec_Total[[#This Row],[Qtd.]]</f>
        <v>2.27</v>
      </c>
    </row>
    <row r="416" spans="1:11">
      <c r="A416" t="s">
        <v>606</v>
      </c>
      <c r="B416" t="s">
        <v>382</v>
      </c>
      <c r="C416" t="s">
        <v>383</v>
      </c>
      <c r="D416">
        <v>6</v>
      </c>
      <c r="E416">
        <v>2.27</v>
      </c>
      <c r="F416">
        <v>0</v>
      </c>
      <c r="G416">
        <v>0</v>
      </c>
      <c r="H416">
        <v>2.27</v>
      </c>
      <c r="I416">
        <v>13.62</v>
      </c>
      <c r="J416" s="6">
        <v>46008</v>
      </c>
      <c r="K416">
        <f>Indusmelec_Total[[#This Row],[Prç Uni c/ Desc]]*Indusmelec_Total[[#This Row],[Qtd.]]</f>
        <v>13.620000000000001</v>
      </c>
    </row>
    <row r="417" spans="1:11">
      <c r="A417" t="s">
        <v>371</v>
      </c>
      <c r="B417" t="s">
        <v>382</v>
      </c>
      <c r="C417" t="s">
        <v>383</v>
      </c>
      <c r="D417">
        <v>1</v>
      </c>
      <c r="E417">
        <v>2.27</v>
      </c>
      <c r="F417">
        <v>0</v>
      </c>
      <c r="G417">
        <v>0</v>
      </c>
      <c r="H417">
        <v>2.27</v>
      </c>
      <c r="I417">
        <v>2.27</v>
      </c>
      <c r="K417">
        <f>Indusmelec_Total[[#This Row],[Prç Uni c/ Desc]]*Indusmelec_Total[[#This Row],[Qtd.]]</f>
        <v>2.27</v>
      </c>
    </row>
    <row r="418" spans="1:11">
      <c r="A418" t="s">
        <v>606</v>
      </c>
      <c r="B418" t="s">
        <v>388</v>
      </c>
      <c r="C418" t="s">
        <v>389</v>
      </c>
      <c r="D418">
        <v>5</v>
      </c>
      <c r="E418">
        <v>2.27</v>
      </c>
      <c r="F418">
        <v>0</v>
      </c>
      <c r="G418">
        <v>0</v>
      </c>
      <c r="H418">
        <v>2.27</v>
      </c>
      <c r="I418">
        <v>11.35</v>
      </c>
      <c r="J418" s="6">
        <v>46008</v>
      </c>
      <c r="K418">
        <f>Indusmelec_Total[[#This Row],[Prç Uni c/ Desc]]*Indusmelec_Total[[#This Row],[Qtd.]]</f>
        <v>11.35</v>
      </c>
    </row>
    <row r="419" spans="1:11">
      <c r="A419" t="s">
        <v>371</v>
      </c>
      <c r="B419" t="s">
        <v>388</v>
      </c>
      <c r="C419" t="s">
        <v>389</v>
      </c>
      <c r="D419">
        <v>1</v>
      </c>
      <c r="E419">
        <v>2.27</v>
      </c>
      <c r="F419">
        <v>0</v>
      </c>
      <c r="G419">
        <v>0</v>
      </c>
      <c r="H419">
        <v>2.27</v>
      </c>
      <c r="I419">
        <v>2.27</v>
      </c>
      <c r="K419">
        <f>Indusmelec_Total[[#This Row],[Prç Uni c/ Desc]]*Indusmelec_Total[[#This Row],[Qtd.]]</f>
        <v>2.27</v>
      </c>
    </row>
    <row r="420" spans="1:11" hidden="1">
      <c r="A420" t="s">
        <v>316</v>
      </c>
      <c r="B420" t="s">
        <v>319</v>
      </c>
      <c r="C420" t="s">
        <v>320</v>
      </c>
      <c r="D420">
        <v>2</v>
      </c>
      <c r="E420">
        <v>2.13</v>
      </c>
      <c r="F420">
        <v>0</v>
      </c>
      <c r="G420">
        <v>0</v>
      </c>
      <c r="H420">
        <v>2.13</v>
      </c>
      <c r="I420">
        <v>4.26</v>
      </c>
      <c r="J420" s="6">
        <v>46091</v>
      </c>
      <c r="K420">
        <f>Indusmelec_Total[[#This Row],[Prç Uni c/ Desc]]*Indusmelec_Total[[#This Row],[Qtd.]]</f>
        <v>4.26</v>
      </c>
    </row>
    <row r="421" spans="1:11" hidden="1">
      <c r="A421" t="s">
        <v>78</v>
      </c>
      <c r="B421" t="s">
        <v>91</v>
      </c>
      <c r="C421" t="s">
        <v>92</v>
      </c>
      <c r="D421">
        <v>3</v>
      </c>
      <c r="E421">
        <v>0.99</v>
      </c>
      <c r="F421">
        <v>0.5</v>
      </c>
      <c r="G421">
        <v>0</v>
      </c>
      <c r="H421">
        <v>0.495</v>
      </c>
      <c r="I421">
        <v>1.49</v>
      </c>
      <c r="J421" s="6">
        <v>45464</v>
      </c>
      <c r="K421">
        <f>Indusmelec_Total[[#This Row],[Prç Uni c/ Desc]]*Indusmelec_Total[[#This Row],[Qtd.]]</f>
        <v>1.4849999999999999</v>
      </c>
    </row>
    <row r="422" spans="1:11" hidden="1">
      <c r="A422" t="s">
        <v>95</v>
      </c>
      <c r="B422" t="s">
        <v>91</v>
      </c>
      <c r="C422" t="s">
        <v>92</v>
      </c>
      <c r="D422">
        <v>30</v>
      </c>
      <c r="E422">
        <v>0.4</v>
      </c>
      <c r="F422">
        <v>0</v>
      </c>
      <c r="G422">
        <v>0</v>
      </c>
      <c r="H422">
        <v>0.4</v>
      </c>
      <c r="I422">
        <v>12</v>
      </c>
      <c r="J422" s="6">
        <v>45576</v>
      </c>
      <c r="K422">
        <f>Indusmelec_Total[[#This Row],[Prç Uni c/ Desc]]*Indusmelec_Total[[#This Row],[Qtd.]]</f>
        <v>12</v>
      </c>
    </row>
    <row r="423" spans="1:11" hidden="1">
      <c r="A423" t="s">
        <v>176</v>
      </c>
      <c r="B423" t="s">
        <v>91</v>
      </c>
      <c r="C423" t="s">
        <v>177</v>
      </c>
      <c r="D423">
        <v>3</v>
      </c>
      <c r="E423">
        <v>0.4</v>
      </c>
      <c r="F423">
        <v>0</v>
      </c>
      <c r="G423">
        <v>0</v>
      </c>
      <c r="H423">
        <v>0.4</v>
      </c>
      <c r="I423">
        <v>1.2</v>
      </c>
      <c r="J423" s="6">
        <v>45537</v>
      </c>
      <c r="K423">
        <f>Indusmelec_Total[[#This Row],[Prç Uni c/ Desc]]*Indusmelec_Total[[#This Row],[Qtd.]]</f>
        <v>1.2000000000000002</v>
      </c>
    </row>
    <row r="424" spans="1:11" hidden="1">
      <c r="A424" t="s">
        <v>301</v>
      </c>
      <c r="B424" t="s">
        <v>91</v>
      </c>
      <c r="C424" t="s">
        <v>306</v>
      </c>
      <c r="D424">
        <v>6</v>
      </c>
      <c r="E424">
        <v>0.36</v>
      </c>
      <c r="F424">
        <v>0</v>
      </c>
      <c r="G424">
        <v>0</v>
      </c>
      <c r="H424">
        <v>0.36</v>
      </c>
      <c r="I424">
        <v>2.16</v>
      </c>
      <c r="J424" s="6">
        <v>45457</v>
      </c>
      <c r="K424">
        <f>Indusmelec_Total[[#This Row],[Prç Uni c/ Desc]]*Indusmelec_Total[[#This Row],[Qtd.]]</f>
        <v>2.16</v>
      </c>
    </row>
    <row r="425" spans="1:11" hidden="1">
      <c r="A425" t="s">
        <v>316</v>
      </c>
      <c r="B425" t="s">
        <v>91</v>
      </c>
      <c r="C425" t="s">
        <v>306</v>
      </c>
      <c r="D425">
        <v>3</v>
      </c>
      <c r="E425">
        <v>0.4</v>
      </c>
      <c r="F425">
        <v>0</v>
      </c>
      <c r="G425">
        <v>0</v>
      </c>
      <c r="H425">
        <v>0.4</v>
      </c>
      <c r="I425">
        <v>1.2</v>
      </c>
      <c r="J425" s="6">
        <v>46091</v>
      </c>
      <c r="K425">
        <f>Indusmelec_Total[[#This Row],[Prç Uni c/ Desc]]*Indusmelec_Total[[#This Row],[Qtd.]]</f>
        <v>1.2000000000000002</v>
      </c>
    </row>
    <row r="426" spans="1:11" hidden="1">
      <c r="A426" t="s">
        <v>479</v>
      </c>
      <c r="B426" t="s">
        <v>91</v>
      </c>
      <c r="C426" t="s">
        <v>306</v>
      </c>
      <c r="D426">
        <v>30</v>
      </c>
      <c r="E426">
        <v>0.4</v>
      </c>
      <c r="F426">
        <v>0</v>
      </c>
      <c r="G426">
        <v>0</v>
      </c>
      <c r="H426">
        <v>0.4</v>
      </c>
      <c r="I426">
        <v>12</v>
      </c>
      <c r="J426" s="6">
        <v>45691</v>
      </c>
      <c r="K426">
        <f>Indusmelec_Total[[#This Row],[Prç Uni c/ Desc]]*Indusmelec_Total[[#This Row],[Qtd.]]</f>
        <v>12</v>
      </c>
    </row>
    <row r="427" spans="1:11" hidden="1">
      <c r="A427" t="s">
        <v>78</v>
      </c>
      <c r="B427" t="s">
        <v>89</v>
      </c>
      <c r="C427" t="s">
        <v>90</v>
      </c>
      <c r="D427">
        <v>1</v>
      </c>
      <c r="E427">
        <v>25.77</v>
      </c>
      <c r="F427">
        <v>0.5</v>
      </c>
      <c r="G427">
        <v>0</v>
      </c>
      <c r="H427">
        <v>12.885</v>
      </c>
      <c r="I427">
        <v>12.89</v>
      </c>
      <c r="J427" s="6">
        <v>45464</v>
      </c>
      <c r="K427">
        <f>Indusmelec_Total[[#This Row],[Prç Uni c/ Desc]]*Indusmelec_Total[[#This Row],[Qtd.]]</f>
        <v>12.885</v>
      </c>
    </row>
    <row r="428" spans="1:11" hidden="1">
      <c r="A428" t="s">
        <v>95</v>
      </c>
      <c r="B428" t="s">
        <v>89</v>
      </c>
      <c r="C428" t="s">
        <v>90</v>
      </c>
      <c r="D428">
        <v>10</v>
      </c>
      <c r="E428">
        <v>12.37</v>
      </c>
      <c r="F428">
        <v>0</v>
      </c>
      <c r="G428">
        <v>0</v>
      </c>
      <c r="H428">
        <v>12.37</v>
      </c>
      <c r="I428">
        <v>123.7</v>
      </c>
      <c r="J428" s="6">
        <v>45576</v>
      </c>
      <c r="K428">
        <f>Indusmelec_Total[[#This Row],[Prç Uni c/ Desc]]*Indusmelec_Total[[#This Row],[Qtd.]]</f>
        <v>123.69999999999999</v>
      </c>
    </row>
    <row r="429" spans="1:11" hidden="1">
      <c r="A429" t="s">
        <v>301</v>
      </c>
      <c r="B429" t="s">
        <v>89</v>
      </c>
      <c r="C429" t="s">
        <v>305</v>
      </c>
      <c r="D429">
        <v>2</v>
      </c>
      <c r="E429">
        <v>12.37</v>
      </c>
      <c r="F429">
        <v>0</v>
      </c>
      <c r="G429">
        <v>0</v>
      </c>
      <c r="H429">
        <v>12.37</v>
      </c>
      <c r="I429">
        <v>24.74</v>
      </c>
      <c r="J429" s="6">
        <v>45457</v>
      </c>
      <c r="K429">
        <f>Indusmelec_Total[[#This Row],[Prç Uni c/ Desc]]*Indusmelec_Total[[#This Row],[Qtd.]]</f>
        <v>24.74</v>
      </c>
    </row>
    <row r="430" spans="1:11" hidden="1">
      <c r="A430" t="s">
        <v>316</v>
      </c>
      <c r="B430" t="s">
        <v>89</v>
      </c>
      <c r="C430" t="s">
        <v>305</v>
      </c>
      <c r="D430">
        <v>1</v>
      </c>
      <c r="E430">
        <v>13.64</v>
      </c>
      <c r="F430">
        <v>0</v>
      </c>
      <c r="G430">
        <v>0</v>
      </c>
      <c r="H430">
        <v>13.64</v>
      </c>
      <c r="I430">
        <v>13.64</v>
      </c>
      <c r="J430" s="6">
        <v>46091</v>
      </c>
      <c r="K430">
        <f>Indusmelec_Total[[#This Row],[Prç Uni c/ Desc]]*Indusmelec_Total[[#This Row],[Qtd.]]</f>
        <v>13.64</v>
      </c>
    </row>
    <row r="431" spans="1:11" hidden="1">
      <c r="A431" t="s">
        <v>479</v>
      </c>
      <c r="B431" t="s">
        <v>89</v>
      </c>
      <c r="C431" t="s">
        <v>305</v>
      </c>
      <c r="D431">
        <v>10</v>
      </c>
      <c r="E431">
        <v>13.64</v>
      </c>
      <c r="F431">
        <v>0</v>
      </c>
      <c r="G431">
        <v>0</v>
      </c>
      <c r="H431">
        <v>13.64</v>
      </c>
      <c r="I431">
        <v>136.4</v>
      </c>
      <c r="J431" s="6">
        <v>45691</v>
      </c>
      <c r="K431">
        <f>Indusmelec_Total[[#This Row],[Prç Uni c/ Desc]]*Indusmelec_Total[[#This Row],[Qtd.]]</f>
        <v>136.4</v>
      </c>
    </row>
    <row r="432" spans="1:11" hidden="1">
      <c r="A432" t="s">
        <v>307</v>
      </c>
      <c r="B432" t="s">
        <v>308</v>
      </c>
      <c r="C432" t="s">
        <v>309</v>
      </c>
      <c r="D432">
        <v>1</v>
      </c>
      <c r="E432">
        <v>39.53</v>
      </c>
      <c r="F432">
        <v>0</v>
      </c>
      <c r="G432">
        <v>0</v>
      </c>
      <c r="H432">
        <v>39.53</v>
      </c>
      <c r="I432">
        <v>39.53</v>
      </c>
      <c r="J432" s="6">
        <v>45457</v>
      </c>
      <c r="K432">
        <f>Indusmelec_Total[[#This Row],[Prç Uni c/ Desc]]*Indusmelec_Total[[#This Row],[Qtd.]]</f>
        <v>39.53</v>
      </c>
    </row>
    <row r="433" spans="1:11" hidden="1">
      <c r="A433" t="s">
        <v>545</v>
      </c>
      <c r="B433" t="s">
        <v>546</v>
      </c>
      <c r="C433" t="s">
        <v>547</v>
      </c>
      <c r="D433">
        <v>1</v>
      </c>
      <c r="E433">
        <v>75.39</v>
      </c>
      <c r="F433">
        <v>0.02</v>
      </c>
      <c r="G433">
        <v>0</v>
      </c>
      <c r="H433">
        <v>73.882199999999997</v>
      </c>
      <c r="I433">
        <v>73.88</v>
      </c>
      <c r="J433" s="6">
        <v>46155</v>
      </c>
      <c r="K433">
        <f>Indusmelec_Total[[#This Row],[Prç Uni c/ Desc]]*Indusmelec_Total[[#This Row],[Qtd.]]</f>
        <v>73.882199999999997</v>
      </c>
    </row>
    <row r="434" spans="1:11" hidden="1">
      <c r="A434" t="s">
        <v>545</v>
      </c>
      <c r="B434" t="s">
        <v>548</v>
      </c>
      <c r="C434" t="s">
        <v>549</v>
      </c>
      <c r="D434">
        <v>2</v>
      </c>
      <c r="E434">
        <v>145</v>
      </c>
      <c r="F434">
        <v>0</v>
      </c>
      <c r="G434">
        <v>0</v>
      </c>
      <c r="H434">
        <v>145</v>
      </c>
      <c r="I434">
        <v>290</v>
      </c>
      <c r="J434" s="6">
        <v>46155</v>
      </c>
      <c r="K434">
        <f>Indusmelec_Total[[#This Row],[Prç Uni c/ Desc]]*Indusmelec_Total[[#This Row],[Qtd.]]</f>
        <v>290</v>
      </c>
    </row>
    <row r="435" spans="1:11" hidden="1">
      <c r="A435" t="s">
        <v>18</v>
      </c>
      <c r="B435" t="s">
        <v>35</v>
      </c>
      <c r="C435" t="s">
        <v>36</v>
      </c>
      <c r="D435">
        <v>1</v>
      </c>
      <c r="E435">
        <v>160</v>
      </c>
      <c r="F435">
        <v>0</v>
      </c>
      <c r="G435">
        <v>0</v>
      </c>
      <c r="H435">
        <v>160</v>
      </c>
      <c r="I435">
        <v>160</v>
      </c>
      <c r="J435" s="6">
        <v>45910</v>
      </c>
      <c r="K435">
        <f>Indusmelec_Total[[#This Row],[Prç Uni c/ Desc]]*Indusmelec_Total[[#This Row],[Qtd.]]</f>
        <v>160</v>
      </c>
    </row>
    <row r="436" spans="1:11" hidden="1">
      <c r="A436" t="s">
        <v>136</v>
      </c>
      <c r="B436" t="s">
        <v>35</v>
      </c>
      <c r="C436" t="s">
        <v>141</v>
      </c>
      <c r="D436">
        <v>1</v>
      </c>
      <c r="E436">
        <v>125</v>
      </c>
      <c r="F436">
        <v>0</v>
      </c>
      <c r="G436">
        <v>0</v>
      </c>
      <c r="H436">
        <v>125</v>
      </c>
      <c r="I436">
        <v>125</v>
      </c>
      <c r="J436" s="6">
        <v>45820</v>
      </c>
      <c r="K436">
        <f>Indusmelec_Total[[#This Row],[Prç Uni c/ Desc]]*Indusmelec_Total[[#This Row],[Qtd.]]</f>
        <v>125</v>
      </c>
    </row>
    <row r="437" spans="1:11" hidden="1">
      <c r="A437" t="s">
        <v>310</v>
      </c>
      <c r="B437" t="s">
        <v>311</v>
      </c>
      <c r="C437" t="s">
        <v>312</v>
      </c>
      <c r="D437">
        <v>1</v>
      </c>
      <c r="E437">
        <v>67.81</v>
      </c>
      <c r="F437">
        <v>0.53</v>
      </c>
      <c r="G437">
        <v>0</v>
      </c>
      <c r="H437">
        <v>31.870699999999999</v>
      </c>
      <c r="I437">
        <v>31.87</v>
      </c>
      <c r="J437" s="6">
        <v>45910</v>
      </c>
      <c r="K437">
        <f>Indusmelec_Total[[#This Row],[Prç Uni c/ Desc]]*Indusmelec_Total[[#This Row],[Qtd.]]</f>
        <v>31.870699999999999</v>
      </c>
    </row>
    <row r="438" spans="1:11" hidden="1">
      <c r="A438" t="s">
        <v>161</v>
      </c>
      <c r="B438" t="s">
        <v>162</v>
      </c>
      <c r="C438" t="s">
        <v>163</v>
      </c>
      <c r="D438">
        <v>3</v>
      </c>
      <c r="E438">
        <v>39.74</v>
      </c>
      <c r="F438">
        <v>0.45</v>
      </c>
      <c r="G438">
        <v>0</v>
      </c>
      <c r="H438">
        <v>21.857000000000003</v>
      </c>
      <c r="I438">
        <v>65.569999999999993</v>
      </c>
      <c r="J438" s="6">
        <v>45916</v>
      </c>
      <c r="K438">
        <f>Indusmelec_Total[[#This Row],[Prç Uni c/ Desc]]*Indusmelec_Total[[#This Row],[Qtd.]]</f>
        <v>65.571000000000012</v>
      </c>
    </row>
    <row r="439" spans="1:11" hidden="1">
      <c r="A439" t="s">
        <v>324</v>
      </c>
      <c r="B439" t="s">
        <v>325</v>
      </c>
      <c r="C439" t="s">
        <v>326</v>
      </c>
      <c r="D439">
        <v>1</v>
      </c>
      <c r="E439">
        <v>15.39</v>
      </c>
      <c r="F439">
        <v>0.53</v>
      </c>
      <c r="G439">
        <v>0</v>
      </c>
      <c r="H439">
        <v>7.2332999999999998</v>
      </c>
      <c r="I439">
        <v>7.23</v>
      </c>
      <c r="J439" s="6">
        <v>46091</v>
      </c>
      <c r="K439">
        <f>Indusmelec_Total[[#This Row],[Prç Uni c/ Desc]]*Indusmelec_Total[[#This Row],[Qtd.]]</f>
        <v>7.2332999999999998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44026-2AEA-49F8-9D78-FE222F92837A}">
  <sheetPr filterMode="1"/>
  <dimension ref="A1:E218"/>
  <sheetViews>
    <sheetView workbookViewId="0">
      <selection activeCell="I12" sqref="I12"/>
    </sheetView>
  </sheetViews>
  <sheetFormatPr defaultRowHeight="15"/>
  <cols>
    <col min="1" max="1" width="20" bestFit="1" customWidth="1"/>
    <col min="2" max="2" width="120.85546875" customWidth="1"/>
    <col min="4" max="4" width="11.42578125" bestFit="1" customWidth="1"/>
    <col min="5" max="5" width="10.5703125" bestFit="1" customWidth="1"/>
  </cols>
  <sheetData>
    <row r="1" spans="1:5">
      <c r="A1" t="s">
        <v>1</v>
      </c>
      <c r="B1" t="s">
        <v>2</v>
      </c>
      <c r="C1" t="s">
        <v>3</v>
      </c>
      <c r="D1" t="s">
        <v>879</v>
      </c>
      <c r="E1" t="s">
        <v>880</v>
      </c>
    </row>
    <row r="2" spans="1:5" hidden="1">
      <c r="A2" t="str" cm="1">
        <f t="array" ref="A2:A218">_xlfn.UNIQUE(Indusmelec_Total[Referência])</f>
        <v>001.06CMT</v>
      </c>
      <c r="B2" t="str">
        <f>_xlfn.XLOOKUP(A2,Indusmelec_Total[Referência],Indusmelec_Total[Designação], "")</f>
        <v xml:space="preserve">06CMT CX DE MEDIÇÃO DE TERRA </v>
      </c>
      <c r="C2" cm="1">
        <f t="array" ref="C2:C218">SUMIF(Indusmelec_Total[Referência],_xlfn.ANCHORARRAY( A2), Indusmelec_Total[Qtd.])</f>
        <v>1</v>
      </c>
      <c r="D2" s="11">
        <f>_xlfn.MINIFS(Indusmelec_Total[Prç Uni c/ Desc], Indusmelec_Total[Referência], A2)</f>
        <v>4.75</v>
      </c>
      <c r="E2" s="11">
        <f>C2*D2</f>
        <v>4.75</v>
      </c>
    </row>
    <row r="3" spans="1:5" hidden="1">
      <c r="A3" t="str">
        <v>001.221-415</v>
      </c>
      <c r="B3" t="str">
        <f>_xlfn.XLOOKUP(A3,Indusmelec_Total[Referência],Indusmelec_Total[Designação], "")</f>
        <v xml:space="preserve">LIGADOR WAGO 5x2.5 </v>
      </c>
      <c r="C3">
        <v>20</v>
      </c>
      <c r="D3" s="11">
        <f>_xlfn.MINIFS(Indusmelec_Total[Prç Uni c/ Desc], Indusmelec_Total[Referência], A3)</f>
        <v>0.65</v>
      </c>
      <c r="E3" s="11">
        <f t="shared" ref="E3:E66" si="0">C3*D3</f>
        <v>13</v>
      </c>
    </row>
    <row r="4" spans="1:5" hidden="1">
      <c r="A4" t="str">
        <v>001.422477</v>
      </c>
      <c r="B4" t="str">
        <f>_xlfn.XLOOKUP(A4,Indusmelec_Total[Referência],Indusmelec_Total[Designação], "")</f>
        <v xml:space="preserve">BUCHA NYLON 4 SEG M8  </v>
      </c>
      <c r="C4">
        <v>100</v>
      </c>
      <c r="D4" s="11">
        <f>_xlfn.MINIFS(Indusmelec_Total[Prç Uni c/ Desc], Indusmelec_Total[Referência], A4)</f>
        <v>0.05</v>
      </c>
      <c r="E4" s="11">
        <f t="shared" si="0"/>
        <v>5</v>
      </c>
    </row>
    <row r="5" spans="1:5" hidden="1">
      <c r="A5" t="str">
        <v>001.499.2902A</v>
      </c>
      <c r="B5" t="str">
        <f>_xlfn.XLOOKUP(A5,Indusmelec_Total[Referência],Indusmelec_Total[Designação], "")</f>
        <v xml:space="preserve">TUBO POLIAMIDA PA6-PG 29 NEGRO (ABIERTO) </v>
      </c>
      <c r="C5">
        <v>50</v>
      </c>
      <c r="D5" s="11">
        <f>_xlfn.MINIFS(Indusmelec_Total[Prç Uni c/ Desc], Indusmelec_Total[Referência], A5)</f>
        <v>1.53</v>
      </c>
      <c r="E5" s="11">
        <f t="shared" si="0"/>
        <v>76.5</v>
      </c>
    </row>
    <row r="6" spans="1:5" hidden="1">
      <c r="A6" t="str">
        <v>001.50/26AZ</v>
      </c>
      <c r="B6" t="str">
        <f>_xlfn.XLOOKUP(A6,Indusmelec_Total[Referência],Indusmelec_Total[Designação], "")</f>
        <v xml:space="preserve"> 50/26 AZUL TUBO TERMORETRATIL </v>
      </c>
      <c r="C6">
        <v>1</v>
      </c>
      <c r="D6" s="11">
        <f>_xlfn.MINIFS(Indusmelec_Total[Prç Uni c/ Desc], Indusmelec_Total[Referência], A6)</f>
        <v>2.8325000000000005</v>
      </c>
      <c r="E6" s="11">
        <f t="shared" si="0"/>
        <v>2.8325000000000005</v>
      </c>
    </row>
    <row r="7" spans="1:5" hidden="1">
      <c r="A7" t="str">
        <v>001.623928</v>
      </c>
      <c r="B7" t="str">
        <f>_xlfn.XLOOKUP(A7,Indusmelec_Total[Referência],Indusmelec_Total[Designação], "")</f>
        <v xml:space="preserve">PARAFUSO ZINCADO CAB. EMBEBER 4X40mm  </v>
      </c>
      <c r="C7">
        <v>1</v>
      </c>
      <c r="D7" s="11">
        <f>_xlfn.MINIFS(Indusmelec_Total[Prç Uni c/ Desc], Indusmelec_Total[Referência], A7)</f>
        <v>1.5</v>
      </c>
      <c r="E7" s="11">
        <f t="shared" si="0"/>
        <v>1.5</v>
      </c>
    </row>
    <row r="8" spans="1:5" hidden="1">
      <c r="A8" t="str">
        <v>001.907602055</v>
      </c>
      <c r="B8" t="str">
        <f>_xlfn.XLOOKUP(A8,Indusmelec_Total[Referência],Indusmelec_Total[Designação], "")</f>
        <v xml:space="preserve">TUBO CORRUGADO 160 MM VERMELHO </v>
      </c>
      <c r="C8">
        <v>50</v>
      </c>
      <c r="D8" s="11">
        <f>_xlfn.MINIFS(Indusmelec_Total[Prç Uni c/ Desc], Indusmelec_Total[Referência], A8)</f>
        <v>3.4</v>
      </c>
      <c r="E8" s="11">
        <f t="shared" si="0"/>
        <v>170</v>
      </c>
    </row>
    <row r="9" spans="1:5" hidden="1">
      <c r="A9" t="str">
        <v>001.ABS270X46PT</v>
      </c>
      <c r="B9" t="str">
        <f>_xlfn.XLOOKUP(A9,Indusmelec_Total[Referência],Indusmelec_Total[Designação], "")</f>
        <v xml:space="preserve">ABS270X4.6-PT 270X4.6-PT ABRAÇADEIRA SERRILHA  </v>
      </c>
      <c r="C9">
        <v>1</v>
      </c>
      <c r="D9" s="11">
        <f>_xlfn.MINIFS(Indusmelec_Total[Prç Uni c/ Desc], Indusmelec_Total[Referência], A9)</f>
        <v>2.3650000000000002</v>
      </c>
      <c r="E9" s="11">
        <f t="shared" si="0"/>
        <v>2.3650000000000002</v>
      </c>
    </row>
    <row r="10" spans="1:5" hidden="1">
      <c r="A10" t="str">
        <v>001.ABS385X7.6-PT</v>
      </c>
      <c r="B10" t="str">
        <f>_xlfn.XLOOKUP(A10,Indusmelec_Total[Referência],Indusmelec_Total[Designação], "")</f>
        <v xml:space="preserve">ABS385X7.6-PT 385X7.6-PT ABRAÇADEIRA SERRILHA  </v>
      </c>
      <c r="C10">
        <v>1</v>
      </c>
      <c r="D10" s="11">
        <f>_xlfn.MINIFS(Indusmelec_Total[Prç Uni c/ Desc], Indusmelec_Total[Referência], A10)</f>
        <v>6.58</v>
      </c>
      <c r="E10" s="11">
        <f t="shared" si="0"/>
        <v>6.58</v>
      </c>
    </row>
    <row r="11" spans="1:5" hidden="1">
      <c r="A11" t="str">
        <v>001.E100105</v>
      </c>
      <c r="B11" t="str">
        <f>_xlfn.XLOOKUP(A11,Indusmelec_Total[Referência],Indusmelec_Total[Designação], "")</f>
        <v xml:space="preserve">EXPERT CHAVE DIN. </v>
      </c>
      <c r="C11">
        <v>1</v>
      </c>
      <c r="D11" s="11">
        <f>_xlfn.MINIFS(Indusmelec_Total[Prç Uni c/ Desc], Indusmelec_Total[Referência], A11)</f>
        <v>108</v>
      </c>
      <c r="E11" s="11">
        <f t="shared" si="0"/>
        <v>108</v>
      </c>
    </row>
    <row r="12" spans="1:5" hidden="1">
      <c r="A12" t="str">
        <v>001.E100108</v>
      </c>
      <c r="B12" t="str">
        <f>_xlfn.XLOOKUP(A12,Indusmelec_Total[Referência],Indusmelec_Total[Designação], "")</f>
        <v xml:space="preserve">EXPERT CHAVE DIN. </v>
      </c>
      <c r="C12">
        <v>1</v>
      </c>
      <c r="D12" s="11">
        <f>_xlfn.MINIFS(Indusmelec_Total[Prç Uni c/ Desc], Indusmelec_Total[Referência], A12)</f>
        <v>113</v>
      </c>
      <c r="E12" s="11">
        <f t="shared" si="0"/>
        <v>113</v>
      </c>
    </row>
    <row r="13" spans="1:5" hidden="1">
      <c r="A13" t="str">
        <v>001.E2</v>
      </c>
      <c r="B13" t="str">
        <f>_xlfn.XLOOKUP(A13,Indusmelec_Total[Referência],Indusmelec_Total[Designação], "")</f>
        <v xml:space="preserve">ELECTRODO TERRA C/ 2M </v>
      </c>
      <c r="C13">
        <v>1</v>
      </c>
      <c r="D13" s="11">
        <f>_xlfn.MINIFS(Indusmelec_Total[Prç Uni c/ Desc], Indusmelec_Total[Referência], A13)</f>
        <v>7.8</v>
      </c>
      <c r="E13" s="11">
        <f t="shared" si="0"/>
        <v>7.8</v>
      </c>
    </row>
    <row r="14" spans="1:5" hidden="1">
      <c r="A14" t="str">
        <v>001.GERLLGT2</v>
      </c>
      <c r="B14" t="str">
        <f>_xlfn.XLOOKUP(A14,Indusmelec_Total[Referência],Indusmelec_Total[Designação], "")</f>
        <v xml:space="preserve">Guia Transp. s/ Prç no. 5907 de 26.09.2025
Encomenda de Cliente nº KYOTEC de 09.09.2025
GERLLGT2 - LIGADOR LINGUA DE GATO </v>
      </c>
      <c r="C14">
        <v>50</v>
      </c>
      <c r="D14" s="11">
        <f>_xlfn.MINIFS(Indusmelec_Total[Prç Uni c/ Desc], Indusmelec_Total[Referência], A14)</f>
        <v>1.48</v>
      </c>
      <c r="E14" s="11">
        <f t="shared" si="0"/>
        <v>74</v>
      </c>
    </row>
    <row r="15" spans="1:5" hidden="1">
      <c r="A15" t="str">
        <v>001.GERSFLEX40C</v>
      </c>
      <c r="B15" t="str">
        <f>_xlfn.XLOOKUP(A15,Indusmelec_Total[Referência],Indusmelec_Total[Designação], "")</f>
        <v xml:space="preserve">SOUDAFLEX 40FC - COLA E VEDA BRANCO (300ML)  </v>
      </c>
      <c r="C15">
        <v>1</v>
      </c>
      <c r="D15" s="11">
        <f>_xlfn.MINIFS(Indusmelec_Total[Prç Uni c/ Desc], Indusmelec_Total[Referência], A15)</f>
        <v>5.7</v>
      </c>
      <c r="E15" s="11">
        <f t="shared" si="0"/>
        <v>5.7</v>
      </c>
    </row>
    <row r="16" spans="1:5" hidden="1">
      <c r="A16" t="str">
        <v>001.GERSFOAM1K</v>
      </c>
      <c r="B16" t="str">
        <f>_xlfn.XLOOKUP(A16,Indusmelec_Total[Referência],Indusmelec_Total[Designação], "")</f>
        <v xml:space="preserve">SOUDAFOAM 1K - ESPUMA POLIURETANO (750ML)  </v>
      </c>
      <c r="C16">
        <v>2</v>
      </c>
      <c r="D16" s="11">
        <f>_xlfn.MINIFS(Indusmelec_Total[Prç Uni c/ Desc], Indusmelec_Total[Referência], A16)</f>
        <v>5.25</v>
      </c>
      <c r="E16" s="11">
        <f t="shared" si="0"/>
        <v>10.5</v>
      </c>
    </row>
    <row r="17" spans="1:5" hidden="1">
      <c r="A17" t="str">
        <v>001.GG5004</v>
      </c>
      <c r="B17" t="str">
        <f>_xlfn.XLOOKUP(A17,Indusmelec_Total[Referência],Indusmelec_Total[Designação], "")</f>
        <v xml:space="preserve">ARMARIO C/PORTA CEGA 500x400x175mm-CINZA  </v>
      </c>
      <c r="C17">
        <v>69</v>
      </c>
      <c r="D17" s="11">
        <f>_xlfn.MINIFS(Indusmelec_Total[Prç Uni c/ Desc], Indusmelec_Total[Referência], A17)</f>
        <v>52</v>
      </c>
      <c r="E17" s="11">
        <f t="shared" si="0"/>
        <v>3588</v>
      </c>
    </row>
    <row r="18" spans="1:5" hidden="1">
      <c r="A18" t="str">
        <v>001.GH30117020325</v>
      </c>
      <c r="B18" t="str">
        <f>_xlfn.XLOOKUP(A18,Indusmelec_Total[Referência],Indusmelec_Total[Designação], "")</f>
        <v xml:space="preserve">WL-PA6-S(350N) TUBO FLEX. POLIAMIDA (NW23) PRETO  </v>
      </c>
      <c r="C18">
        <v>100</v>
      </c>
      <c r="D18" s="11">
        <f>_xlfn.MINIFS(Indusmelec_Total[Prç Uni c/ Desc], Indusmelec_Total[Referência], A18)</f>
        <v>1.8134999999999999</v>
      </c>
      <c r="E18" s="11">
        <f t="shared" si="0"/>
        <v>181.35</v>
      </c>
    </row>
    <row r="19" spans="1:5" hidden="1">
      <c r="A19" t="str">
        <v>001.GH31417320325</v>
      </c>
      <c r="B19" t="str">
        <f>_xlfn.XLOOKUP(A19,Indusmelec_Total[Referência],Indusmelec_Total[Designação], "")</f>
        <v xml:space="preserve">WLH CLIP DE SUPORTE POLIAMIDA (NW23) PRETO  </v>
      </c>
      <c r="C19">
        <v>50</v>
      </c>
      <c r="D19" s="11">
        <f>_xlfn.MINIFS(Indusmelec_Total[Prç Uni c/ Desc], Indusmelec_Total[Referência], A19)</f>
        <v>1.0169999999999999</v>
      </c>
      <c r="E19" s="11">
        <f t="shared" si="0"/>
        <v>50.849999999999994</v>
      </c>
    </row>
    <row r="20" spans="1:5" hidden="1">
      <c r="A20" t="str">
        <v>001.GH31427320325</v>
      </c>
      <c r="B20" t="str">
        <f>_xlfn.XLOOKUP(A20,Indusmelec_Total[Referência],Indusmelec_Total[Designação], "")</f>
        <v xml:space="preserve">WLHD TAMPA P/ CLIP DE SUPORTE (NW23) PRETO  </v>
      </c>
      <c r="C20">
        <v>100</v>
      </c>
      <c r="D20" s="11">
        <f>_xlfn.MINIFS(Indusmelec_Total[Prç Uni c/ Desc], Indusmelec_Total[Referência], A20)</f>
        <v>0.36899999999999994</v>
      </c>
      <c r="E20" s="11">
        <f t="shared" si="0"/>
        <v>36.899999999999991</v>
      </c>
    </row>
    <row r="21" spans="1:5" hidden="1">
      <c r="A21" t="str">
        <v>001.HTPVISOTEST</v>
      </c>
      <c r="B21" t="str">
        <f>_xlfn.XLOOKUP(A21,Indusmelec_Total[Referência],Indusmelec_Total[Designação], "")</f>
        <v xml:space="preserve">Encomenda de Cliente nº Tommaso de 03.07.2025
Orçamento no. 10465 de 03.07.2025
INSTR. HT PV-ISOTEST PARA TESTE DE SEG. ELECT. E </v>
      </c>
      <c r="C21">
        <v>1</v>
      </c>
      <c r="D21" s="11">
        <f>_xlfn.MINIFS(Indusmelec_Total[Prç Uni c/ Desc], Indusmelec_Total[Referência], A21)</f>
        <v>1490.8999999999999</v>
      </c>
      <c r="E21" s="11">
        <f t="shared" si="0"/>
        <v>1490.8999999999999</v>
      </c>
    </row>
    <row r="22" spans="1:5" hidden="1">
      <c r="A22" t="str">
        <v>001.IEABR</v>
      </c>
      <c r="B22" t="str">
        <f>_xlfn.XLOOKUP(A22,Indusmelec_Total[Referência],Indusmelec_Total[Designação], "")</f>
        <v xml:space="preserve">ABR ABRAÇADEIRA C/ PARAFUSO P/ ELECTRODO </v>
      </c>
      <c r="C22">
        <v>1</v>
      </c>
      <c r="D22" s="11">
        <f>_xlfn.MINIFS(Indusmelec_Total[Prç Uni c/ Desc], Indusmelec_Total[Referência], A22)</f>
        <v>1.1499999999999999</v>
      </c>
      <c r="E22" s="11">
        <f t="shared" si="0"/>
        <v>1.1499999999999999</v>
      </c>
    </row>
    <row r="23" spans="1:5" hidden="1">
      <c r="A23" t="str">
        <v>001.KEL96307</v>
      </c>
      <c r="B23" t="str">
        <f>_xlfn.XLOOKUP(A23,Indusmelec_Total[Referência],Indusmelec_Total[Designação], "")</f>
        <v xml:space="preserve">H-LINE ENROLADOR C/PROT. 3G1,5 50MTS. 4XSCHUKO </v>
      </c>
      <c r="C23">
        <v>1</v>
      </c>
      <c r="D23" s="11">
        <f>_xlfn.MINIFS(Indusmelec_Total[Prç Uni c/ Desc], Indusmelec_Total[Referência], A23)</f>
        <v>81.731999999999985</v>
      </c>
      <c r="E23" s="11">
        <f t="shared" si="0"/>
        <v>81.731999999999985</v>
      </c>
    </row>
    <row r="24" spans="1:5" hidden="1">
      <c r="A24" t="str">
        <v>001.KEL98687</v>
      </c>
      <c r="B24" t="str">
        <f>_xlfn.XLOOKUP(A24,Indusmelec_Total[Referência],Indusmelec_Total[Designação], "")</f>
        <v xml:space="preserve">PRO/ ENROLADOR C/ PROT. 3G2.5 40MTS 4X SCHUKO  </v>
      </c>
      <c r="C24">
        <v>1</v>
      </c>
      <c r="D24" s="11">
        <f>_xlfn.MINIFS(Indusmelec_Total[Prç Uni c/ Desc], Indusmelec_Total[Referência], A24)</f>
        <v>136.30500000000001</v>
      </c>
      <c r="E24" s="11">
        <f t="shared" si="0"/>
        <v>136.30500000000001</v>
      </c>
    </row>
    <row r="25" spans="1:5" hidden="1">
      <c r="A25" t="str">
        <v>001.TBF95</v>
      </c>
      <c r="B25" t="str">
        <f>_xlfn.XLOOKUP(A25,Indusmelec_Total[Referência],Indusmelec_Total[Designação], "")</f>
        <v xml:space="preserve">TERMINAIS BIMETALICOS TBF 95 Ø12  </v>
      </c>
      <c r="C25">
        <v>10</v>
      </c>
      <c r="D25" s="11">
        <f>_xlfn.MINIFS(Indusmelec_Total[Prç Uni c/ Desc], Indusmelec_Total[Referência], A25)</f>
        <v>3.11</v>
      </c>
      <c r="E25" s="11">
        <f t="shared" si="0"/>
        <v>31.099999999999998</v>
      </c>
    </row>
    <row r="26" spans="1:5" hidden="1">
      <c r="A26" t="str">
        <v>001.TC110VM</v>
      </c>
      <c r="B26" t="str">
        <f>_xlfn.XLOOKUP(A26,Indusmelec_Total[Referência],Indusmelec_Total[Designação], "")</f>
        <v xml:space="preserve">TUBO CORRUGADO C/ GUIA 110VM </v>
      </c>
      <c r="C26">
        <v>50</v>
      </c>
      <c r="D26" s="11">
        <f>_xlfn.MINIFS(Indusmelec_Total[Prç Uni c/ Desc], Indusmelec_Total[Referência], A26)</f>
        <v>1.36</v>
      </c>
      <c r="E26" s="11">
        <f t="shared" si="0"/>
        <v>68</v>
      </c>
    </row>
    <row r="27" spans="1:5" hidden="1">
      <c r="A27" t="str">
        <v>001.TC32VM</v>
      </c>
      <c r="B27" t="str">
        <f>_xlfn.XLOOKUP(A27,Indusmelec_Total[Referência],Indusmelec_Total[Designação], "")</f>
        <v xml:space="preserve">TUBO CORRUGADO C/ GUIA 32VM </v>
      </c>
      <c r="C27">
        <v>50</v>
      </c>
      <c r="D27" s="11">
        <f>_xlfn.MINIFS(Indusmelec_Total[Prç Uni c/ Desc], Indusmelec_Total[Referência], A27)</f>
        <v>0.52</v>
      </c>
      <c r="E27" s="11">
        <f t="shared" si="0"/>
        <v>26</v>
      </c>
    </row>
    <row r="28" spans="1:5" hidden="1">
      <c r="A28" t="str">
        <v>001.TC50VM</v>
      </c>
      <c r="B28" t="str">
        <f>_xlfn.XLOOKUP(A28,Indusmelec_Total[Referência],Indusmelec_Total[Designação], "")</f>
        <v xml:space="preserve">TUBO CORRUGADO C/ GUIA 50VM </v>
      </c>
      <c r="C28">
        <v>50</v>
      </c>
      <c r="D28" s="11">
        <f>_xlfn.MINIFS(Indusmelec_Total[Prç Uni c/ Desc], Indusmelec_Total[Referência], A28)</f>
        <v>0.61</v>
      </c>
      <c r="E28" s="11">
        <f t="shared" si="0"/>
        <v>30.5</v>
      </c>
    </row>
    <row r="29" spans="1:5" hidden="1">
      <c r="A29" t="str">
        <v>001.TC75VM</v>
      </c>
      <c r="B29" t="str">
        <f>_xlfn.XLOOKUP(A29,Indusmelec_Total[Referência],Indusmelec_Total[Designação], "")</f>
        <v xml:space="preserve">TUBO CORRUGADO C/ GUIA 75VM </v>
      </c>
      <c r="C29">
        <v>50</v>
      </c>
      <c r="D29" s="11">
        <f>_xlfn.MINIFS(Indusmelec_Total[Prç Uni c/ Desc], Indusmelec_Total[Referência], A29)</f>
        <v>1.1499999999999999</v>
      </c>
      <c r="E29" s="11">
        <f t="shared" si="0"/>
        <v>57.499999999999993</v>
      </c>
    </row>
    <row r="30" spans="1:5" hidden="1">
      <c r="A30" t="str">
        <v>001.TEMFLEX155A</v>
      </c>
      <c r="B30" t="str">
        <f>_xlfn.XLOOKUP(A30,Indusmelec_Total[Referência],Indusmelec_Total[Designação], "")</f>
        <v xml:space="preserve">TEMFLEX 155 FITA ISOLADORA (0.13mm X 19mm X 20Mts  </v>
      </c>
      <c r="C30">
        <v>2</v>
      </c>
      <c r="D30" s="11">
        <f>_xlfn.MINIFS(Indusmelec_Total[Prç Uni c/ Desc], Indusmelec_Total[Referência], A30)</f>
        <v>0.88</v>
      </c>
      <c r="E30" s="11">
        <f t="shared" si="0"/>
        <v>1.76</v>
      </c>
    </row>
    <row r="31" spans="1:5" hidden="1">
      <c r="A31" t="str">
        <v>001.TEMFLEX155AM</v>
      </c>
      <c r="B31" t="str">
        <f>_xlfn.XLOOKUP(A31,Indusmelec_Total[Referência],Indusmelec_Total[Designação], "")</f>
        <v xml:space="preserve">TEMFLEX 155 FITA ISOLADORA (0.13mm X 19mm X 20Mts  </v>
      </c>
      <c r="C31">
        <v>2</v>
      </c>
      <c r="D31" s="11">
        <f>_xlfn.MINIFS(Indusmelec_Total[Prç Uni c/ Desc], Indusmelec_Total[Referência], A31)</f>
        <v>0.88</v>
      </c>
      <c r="E31" s="11">
        <f t="shared" si="0"/>
        <v>1.76</v>
      </c>
    </row>
    <row r="32" spans="1:5" hidden="1">
      <c r="A32" t="str">
        <v>001.TEMFLEX155B</v>
      </c>
      <c r="B32" t="str">
        <f>_xlfn.XLOOKUP(A32,Indusmelec_Total[Referência],Indusmelec_Total[Designação], "")</f>
        <v xml:space="preserve">TEMFLEX 155 FITA ISOLADORA (0.13mm X 19mm X 20Mts  </v>
      </c>
      <c r="C32">
        <v>2</v>
      </c>
      <c r="D32" s="11">
        <f>_xlfn.MINIFS(Indusmelec_Total[Prç Uni c/ Desc], Indusmelec_Total[Referência], A32)</f>
        <v>0.88</v>
      </c>
      <c r="E32" s="11">
        <f t="shared" si="0"/>
        <v>1.76</v>
      </c>
    </row>
    <row r="33" spans="1:5" hidden="1">
      <c r="A33" t="str">
        <v>001.TEMFLEX155C</v>
      </c>
      <c r="B33" t="str">
        <f>_xlfn.XLOOKUP(A33,Indusmelec_Total[Referência],Indusmelec_Total[Designação], "")</f>
        <v xml:space="preserve">TEMFLEX 155 FITA ISOLADORA (0.13mm X 19mm X 20Mts  </v>
      </c>
      <c r="C33">
        <v>2</v>
      </c>
      <c r="D33" s="11">
        <f>_xlfn.MINIFS(Indusmelec_Total[Prç Uni c/ Desc], Indusmelec_Total[Referência], A33)</f>
        <v>0.88</v>
      </c>
      <c r="E33" s="11">
        <f t="shared" si="0"/>
        <v>1.76</v>
      </c>
    </row>
    <row r="34" spans="1:5" hidden="1">
      <c r="A34" t="str">
        <v>001.TEMFLEX155CT</v>
      </c>
      <c r="B34" t="str">
        <f>_xlfn.XLOOKUP(A34,Indusmelec_Total[Referência],Indusmelec_Total[Designação], "")</f>
        <v xml:space="preserve">TEMFLEX 155 FITA ISOLADORA (0.13mm X 19mm X 20Mts  </v>
      </c>
      <c r="C34">
        <v>2</v>
      </c>
      <c r="D34" s="11">
        <f>_xlfn.MINIFS(Indusmelec_Total[Prç Uni c/ Desc], Indusmelec_Total[Referência], A34)</f>
        <v>0.88</v>
      </c>
      <c r="E34" s="11">
        <f t="shared" si="0"/>
        <v>1.76</v>
      </c>
    </row>
    <row r="35" spans="1:5" hidden="1">
      <c r="A35" t="str">
        <v>001.TEMFLEX155P</v>
      </c>
      <c r="B35" t="str">
        <f>_xlfn.XLOOKUP(A35,Indusmelec_Total[Referência],Indusmelec_Total[Designação], "")</f>
        <v xml:space="preserve">TEMFLEX 155 FITA ISOLADORA (0.13mm X 19mm X 20Mts  </v>
      </c>
      <c r="C35">
        <v>2</v>
      </c>
      <c r="D35" s="11">
        <f>_xlfn.MINIFS(Indusmelec_Total[Prç Uni c/ Desc], Indusmelec_Total[Referência], A35)</f>
        <v>0.88</v>
      </c>
      <c r="E35" s="11">
        <f t="shared" si="0"/>
        <v>1.76</v>
      </c>
    </row>
    <row r="36" spans="1:5" hidden="1">
      <c r="A36" t="str">
        <v>001.TEMFLEX155V</v>
      </c>
      <c r="B36" t="str">
        <f>_xlfn.XLOOKUP(A36,Indusmelec_Total[Referência],Indusmelec_Total[Designação], "")</f>
        <v xml:space="preserve">TEMFLEX 155 FITA ISOLADORA (0.13mm X 19mm X 20Mts)  </v>
      </c>
      <c r="C36">
        <v>2</v>
      </c>
      <c r="D36" s="11">
        <f>_xlfn.MINIFS(Indusmelec_Total[Prç Uni c/ Desc], Indusmelec_Total[Referência], A36)</f>
        <v>0.88</v>
      </c>
      <c r="E36" s="11">
        <f t="shared" si="0"/>
        <v>1.76</v>
      </c>
    </row>
    <row r="37" spans="1:5" hidden="1">
      <c r="A37" t="str">
        <v>001.TEMFLEX155VD</v>
      </c>
      <c r="B37" t="str">
        <f>_xlfn.XLOOKUP(A37,Indusmelec_Total[Referência],Indusmelec_Total[Designação], "")</f>
        <v xml:space="preserve">TEMFLEX 155 FITA ISOLADORA (0.13mm X 19mm X 20Mts)  </v>
      </c>
      <c r="C37">
        <v>2</v>
      </c>
      <c r="D37" s="11">
        <f>_xlfn.MINIFS(Indusmelec_Total[Prç Uni c/ Desc], Indusmelec_Total[Referência], A37)</f>
        <v>0.88</v>
      </c>
      <c r="E37" s="11">
        <f t="shared" si="0"/>
        <v>1.76</v>
      </c>
    </row>
    <row r="38" spans="1:5" hidden="1">
      <c r="A38" t="str">
        <v>001.TG43 T-10</v>
      </c>
      <c r="B38" t="str">
        <f>_xlfn.XLOOKUP(A38,Indusmelec_Total[Referência],Indusmelec_Total[Designação], "")</f>
        <v xml:space="preserve">TG43 T-10 SIB-LUVA ISOLANTE CL-00 500-2500V </v>
      </c>
      <c r="C38">
        <v>3</v>
      </c>
      <c r="D38" s="11">
        <f>_xlfn.MINIFS(Indusmelec_Total[Prç Uni c/ Desc], Indusmelec_Total[Referência], A38)</f>
        <v>24</v>
      </c>
      <c r="E38" s="11">
        <f t="shared" si="0"/>
        <v>72</v>
      </c>
    </row>
    <row r="39" spans="1:5" hidden="1">
      <c r="A39" t="str">
        <v>001.TUBOAF23PT</v>
      </c>
      <c r="B39" t="str">
        <f>_xlfn.XLOOKUP(A39,Indusmelec_Total[Referência],Indusmelec_Total[Designação], "")</f>
        <v xml:space="preserve">TUBO ANELADO FLEXIVEL ABERTO 23MM PT </v>
      </c>
      <c r="C39">
        <v>450</v>
      </c>
      <c r="D39" s="11">
        <f>_xlfn.MINIFS(Indusmelec_Total[Prç Uni c/ Desc], Indusmelec_Total[Referência], A39)</f>
        <v>1.57725</v>
      </c>
      <c r="E39" s="11">
        <f t="shared" si="0"/>
        <v>709.76250000000005</v>
      </c>
    </row>
    <row r="40" spans="1:5" hidden="1">
      <c r="A40" t="str">
        <v>001.TUBOAF36PT</v>
      </c>
      <c r="B40" t="str">
        <f>_xlfn.XLOOKUP(A40,Indusmelec_Total[Referência],Indusmelec_Total[Designação], "")</f>
        <v xml:space="preserve">TUBO ANELADO FLEXIVEL ABERTO 36MM PT </v>
      </c>
      <c r="C40">
        <v>50</v>
      </c>
      <c r="D40" s="11">
        <f>_xlfn.MINIFS(Indusmelec_Total[Prç Uni c/ Desc], Indusmelec_Total[Referência], A40)</f>
        <v>2.84</v>
      </c>
      <c r="E40" s="11">
        <f t="shared" si="0"/>
        <v>142</v>
      </c>
    </row>
    <row r="41" spans="1:5" hidden="1">
      <c r="A41" t="str">
        <v>001.TUBOPA6</v>
      </c>
      <c r="B41" t="str">
        <f>_xlfn.XLOOKUP(A41,Indusmelec_Total[Referência],Indusmelec_Total[Designação], "")</f>
        <v xml:space="preserve">Guia Transp. s/ Prç no. 3225 de 15.07.2024
Encomenda de Cliente nº Duarte de 09.07.2024
Orçamento nº 11624 de 08.07.2024
Tubo flexivel PA6 ABERTO - diametro int.48mm </v>
      </c>
      <c r="C41">
        <v>50</v>
      </c>
      <c r="D41" s="11">
        <f>_xlfn.MINIFS(Indusmelec_Total[Prç Uni c/ Desc], Indusmelec_Total[Referência], A41)</f>
        <v>4.51</v>
      </c>
      <c r="E41" s="11">
        <f t="shared" si="0"/>
        <v>225.5</v>
      </c>
    </row>
    <row r="42" spans="1:5" hidden="1">
      <c r="A42" t="str">
        <v>001.TX13852</v>
      </c>
      <c r="B42" t="str">
        <f>_xlfn.XLOOKUP(A42,Indusmelec_Total[Referência],Indusmelec_Total[Designação], "")</f>
        <v xml:space="preserve">PACK 4 MARCADORES PERMANENTE 3MM PRETO  </v>
      </c>
      <c r="C42">
        <v>1</v>
      </c>
      <c r="D42" s="11">
        <f>_xlfn.MINIFS(Indusmelec_Total[Prç Uni c/ Desc], Indusmelec_Total[Referência], A42)</f>
        <v>2.8</v>
      </c>
      <c r="E42" s="11">
        <f t="shared" si="0"/>
        <v>2.8</v>
      </c>
    </row>
    <row r="43" spans="1:5" hidden="1">
      <c r="A43" t="str">
        <v>001.UC16</v>
      </c>
      <c r="B43" t="str">
        <f>_xlfn.XLOOKUP(A43,Indusmelec_Total[Referência],Indusmelec_Total[Designação], "")</f>
        <v xml:space="preserve">UC - UNIAO COBRE 16  </v>
      </c>
      <c r="C43">
        <v>2</v>
      </c>
      <c r="D43" s="11">
        <f>_xlfn.MINIFS(Indusmelec_Total[Prç Uni c/ Desc], Indusmelec_Total[Referência], A43)</f>
        <v>0.18010000000000001</v>
      </c>
      <c r="E43" s="11">
        <f t="shared" si="0"/>
        <v>0.36020000000000002</v>
      </c>
    </row>
    <row r="44" spans="1:5">
      <c r="A44" t="str">
        <v>002.10060FBR</v>
      </c>
      <c r="B44" t="str">
        <f>_xlfn.XLOOKUP(A44,Indusmelec_Total[Referência],Indusmelec_Total[Designação], "")</f>
        <v xml:space="preserve">CALHA ADESIVA 40X16 BRANCA  </v>
      </c>
      <c r="C44">
        <v>10</v>
      </c>
      <c r="D44" s="11">
        <f>_xlfn.MINIFS(Indusmelec_Total[Prç Uni c/ Desc], Indusmelec_Total[Referência], A44)</f>
        <v>1.87</v>
      </c>
      <c r="E44" s="11">
        <f t="shared" si="0"/>
        <v>18.700000000000003</v>
      </c>
    </row>
    <row r="45" spans="1:5" hidden="1">
      <c r="A45" t="str">
        <v>002.10062ABR</v>
      </c>
      <c r="B45" t="str">
        <f>_xlfn.XLOOKUP(A45,Indusmelec_Total[Referência],Indusmelec_Total[Designação], "")</f>
        <v xml:space="preserve">ÂNGULO INTERIOR PARA CALHA 40x16 BRANCO  </v>
      </c>
      <c r="C45">
        <v>2</v>
      </c>
      <c r="D45" s="11">
        <f>_xlfn.MINIFS(Indusmelec_Total[Prç Uni c/ Desc], Indusmelec_Total[Referência], A45)</f>
        <v>0.40700000000000003</v>
      </c>
      <c r="E45" s="11">
        <f t="shared" si="0"/>
        <v>0.81400000000000006</v>
      </c>
    </row>
    <row r="46" spans="1:5" hidden="1">
      <c r="A46" t="str">
        <v>002.10063ABR</v>
      </c>
      <c r="B46" t="str">
        <f>_xlfn.XLOOKUP(A46,Indusmelec_Total[Referência],Indusmelec_Total[Designação], "")</f>
        <v xml:space="preserve">ÂNGULO PLANO PARA CALHA 40x16 BRANCO  </v>
      </c>
      <c r="C46">
        <v>2</v>
      </c>
      <c r="D46" s="11">
        <f>_xlfn.MINIFS(Indusmelec_Total[Prç Uni c/ Desc], Indusmelec_Total[Referência], A46)</f>
        <v>0.40700000000000003</v>
      </c>
      <c r="E46" s="11">
        <f t="shared" si="0"/>
        <v>0.81400000000000006</v>
      </c>
    </row>
    <row r="47" spans="1:5">
      <c r="A47" t="str">
        <v>002.10090RBR</v>
      </c>
      <c r="B47" t="str">
        <f>_xlfn.XLOOKUP(A47,Indusmelec_Total[Referência],Indusmelec_Total[Designação], "")</f>
        <v xml:space="preserve"> CALHA 110x50 BRANCA </v>
      </c>
      <c r="C47">
        <v>4</v>
      </c>
      <c r="D47" s="11">
        <f>_xlfn.MINIFS(Indusmelec_Total[Prç Uni c/ Desc], Indusmelec_Total[Referência], A47)</f>
        <v>3.85</v>
      </c>
      <c r="E47" s="11">
        <f t="shared" si="0"/>
        <v>15.4</v>
      </c>
    </row>
    <row r="48" spans="1:5" hidden="1">
      <c r="A48" t="str">
        <v>002.10096RBR</v>
      </c>
      <c r="B48" t="str">
        <f>_xlfn.XLOOKUP(A48,Indusmelec_Total[Referência],Indusmelec_Total[Designação], "")</f>
        <v xml:space="preserve">10096 RBR ÂNGULO EXTERIOR VAR P/CALHA 110X50 </v>
      </c>
      <c r="C48">
        <v>2</v>
      </c>
      <c r="D48" s="11">
        <f>_xlfn.MINIFS(Indusmelec_Total[Prç Uni c/ Desc], Indusmelec_Total[Referência], A48)</f>
        <v>1.84</v>
      </c>
      <c r="E48" s="11">
        <f t="shared" si="0"/>
        <v>3.68</v>
      </c>
    </row>
    <row r="49" spans="1:5">
      <c r="A49" t="str">
        <v>002.13010CBR</v>
      </c>
      <c r="B49" t="str">
        <f>_xlfn.XLOOKUP(A49,Indusmelec_Total[Referência],Indusmelec_Total[Designação], "")</f>
        <v xml:space="preserve">CALHA 25x30 BRANCA  </v>
      </c>
      <c r="C49">
        <v>18</v>
      </c>
      <c r="D49" s="11">
        <f>_xlfn.MINIFS(Indusmelec_Total[Prç Uni c/ Desc], Indusmelec_Total[Referência], A49)</f>
        <v>1.276</v>
      </c>
      <c r="E49" s="11">
        <f t="shared" si="0"/>
        <v>22.968</v>
      </c>
    </row>
    <row r="50" spans="1:5" hidden="1">
      <c r="A50" t="str">
        <v>002.13012ABR</v>
      </c>
      <c r="B50" t="str">
        <f>_xlfn.XLOOKUP(A50,Indusmelec_Total[Referência],Indusmelec_Total[Designação], "")</f>
        <v xml:space="preserve">ANGULO INTERIOR VARIAVEL P/ CALHA 25X30  </v>
      </c>
      <c r="C50">
        <v>3</v>
      </c>
      <c r="D50" s="11">
        <f>_xlfn.MINIFS(Indusmelec_Total[Prç Uni c/ Desc], Indusmelec_Total[Referência], A50)</f>
        <v>0.38500000000000001</v>
      </c>
      <c r="E50" s="11">
        <f t="shared" si="0"/>
        <v>1.155</v>
      </c>
    </row>
    <row r="51" spans="1:5" hidden="1">
      <c r="A51" t="str">
        <v>002.13013ABR</v>
      </c>
      <c r="B51" t="str">
        <f>_xlfn.XLOOKUP(A51,Indusmelec_Total[Referência],Indusmelec_Total[Designação], "")</f>
        <v xml:space="preserve">13013 ABR  </v>
      </c>
      <c r="C51">
        <v>5</v>
      </c>
      <c r="D51" s="11">
        <f>_xlfn.MINIFS(Indusmelec_Total[Prç Uni c/ Desc], Indusmelec_Total[Referência], A51)</f>
        <v>0.38500000000000001</v>
      </c>
      <c r="E51" s="11">
        <f t="shared" si="0"/>
        <v>1.925</v>
      </c>
    </row>
    <row r="52" spans="1:5" hidden="1">
      <c r="A52" t="str">
        <v>002.13016ABR</v>
      </c>
      <c r="B52" t="str">
        <f>_xlfn.XLOOKUP(A52,Indusmelec_Total[Referência],Indusmelec_Total[Designação], "")</f>
        <v xml:space="preserve">ANGULO EXTERNO VARIAVEL P/ CALHA 25X30  </v>
      </c>
      <c r="C52">
        <v>1</v>
      </c>
      <c r="D52" s="11">
        <f>_xlfn.MINIFS(Indusmelec_Total[Prç Uni c/ Desc], Indusmelec_Total[Referência], A52)</f>
        <v>0.38500000000000001</v>
      </c>
      <c r="E52" s="11">
        <f t="shared" si="0"/>
        <v>0.38500000000000001</v>
      </c>
    </row>
    <row r="53" spans="1:5" hidden="1">
      <c r="A53" t="str">
        <v>002.PLSCX11511560B</v>
      </c>
      <c r="B53" t="str">
        <f>_xlfn.XLOOKUP(A53,Indusmelec_Total[Referência],Indusmelec_Total[Designação], "")</f>
        <v xml:space="preserve">PLSCX11511560BC - CAIXA DE DERIVAÇÃO C/ BUCINS  </v>
      </c>
      <c r="C53">
        <v>1</v>
      </c>
      <c r="D53" s="11">
        <f>_xlfn.MINIFS(Indusmelec_Total[Prç Uni c/ Desc], Indusmelec_Total[Referência], A53)</f>
        <v>1.56</v>
      </c>
      <c r="E53" s="11">
        <f t="shared" si="0"/>
        <v>1.56</v>
      </c>
    </row>
    <row r="54" spans="1:5" hidden="1">
      <c r="A54" t="str">
        <v>004.NSYTRV352PE</v>
      </c>
      <c r="B54" t="str">
        <f>_xlfn.XLOOKUP(A54,Indusmelec_Total[Referência],Indusmelec_Total[Designação], "")</f>
        <v xml:space="preserve">BORNE TERR 35MM2 VERD/AM 1P 1X1 </v>
      </c>
      <c r="C54">
        <v>1</v>
      </c>
      <c r="D54" s="11">
        <f>_xlfn.MINIFS(Indusmelec_Total[Prç Uni c/ Desc], Indusmelec_Total[Referência], A54)</f>
        <v>5.6</v>
      </c>
      <c r="E54" s="11">
        <f t="shared" si="0"/>
        <v>5.6</v>
      </c>
    </row>
    <row r="55" spans="1:5" hidden="1">
      <c r="A55" t="str">
        <v>008.038024</v>
      </c>
      <c r="B55" t="str">
        <f>_xlfn.XLOOKUP(A55,Indusmelec_Total[Referência],Indusmelec_Total[Designação], "")</f>
        <v xml:space="preserve">BOT.SAL.VIDRO QUEBRAVEL C/SIN. </v>
      </c>
      <c r="C55">
        <v>6</v>
      </c>
      <c r="D55" s="11">
        <f>_xlfn.MINIFS(Indusmelec_Total[Prç Uni c/ Desc], Indusmelec_Total[Referência], A55)</f>
        <v>127.18299999999999</v>
      </c>
      <c r="E55" s="11">
        <f t="shared" si="0"/>
        <v>763.09799999999996</v>
      </c>
    </row>
    <row r="56" spans="1:5" hidden="1">
      <c r="A56" t="str">
        <v>008.038091</v>
      </c>
      <c r="B56" t="str">
        <f>_xlfn.XLOOKUP(A56,Indusmelec_Total[Referência],Indusmelec_Total[Designação], "")</f>
        <v xml:space="preserve">MARTELO P/BOTON. VIDRO </v>
      </c>
      <c r="C56">
        <v>1</v>
      </c>
      <c r="D56" s="11">
        <f>_xlfn.MINIFS(Indusmelec_Total[Prç Uni c/ Desc], Indusmelec_Total[Referência], A56)</f>
        <v>20.37</v>
      </c>
      <c r="E56" s="11">
        <f t="shared" si="0"/>
        <v>20.37</v>
      </c>
    </row>
    <row r="57" spans="1:5" hidden="1">
      <c r="A57" t="str">
        <v>011.KEL98525</v>
      </c>
      <c r="B57" t="str">
        <f>_xlfn.XLOOKUP(A57,Indusmelec_Total[Referência],Indusmelec_Total[Designação], "")</f>
        <v xml:space="preserve">LANTERNA LED PORTATIL 360º C/ BASE MAGNET + </v>
      </c>
      <c r="C57">
        <v>1</v>
      </c>
      <c r="D57" s="11">
        <f>_xlfn.MINIFS(Indusmelec_Total[Prç Uni c/ Desc], Indusmelec_Total[Referência], A57)</f>
        <v>17.49888</v>
      </c>
      <c r="E57" s="11">
        <f t="shared" si="0"/>
        <v>17.49888</v>
      </c>
    </row>
    <row r="58" spans="1:5" hidden="1">
      <c r="A58" t="str">
        <v>015.C4AU240</v>
      </c>
      <c r="B58" t="str">
        <f>_xlfn.XLOOKUP(A58,Indusmelec_Total[Referência],Indusmelec_Total[Designação], "")</f>
        <v xml:space="preserve">TERMINAIS BIMETALICOS 240mm2  </v>
      </c>
      <c r="C58">
        <v>21</v>
      </c>
      <c r="D58" s="11">
        <f>_xlfn.MINIFS(Indusmelec_Total[Prç Uni c/ Desc], Indusmelec_Total[Referência], A58)</f>
        <v>6.0767999999999995</v>
      </c>
      <c r="E58" s="11">
        <f t="shared" si="0"/>
        <v>127.61279999999999</v>
      </c>
    </row>
    <row r="59" spans="1:5" hidden="1">
      <c r="A59" t="str">
        <v>017.120304015</v>
      </c>
      <c r="B59" t="str">
        <f>_xlfn.XLOOKUP(A59,Indusmelec_Total[Referência],Indusmelec_Total[Designação], "")</f>
        <v xml:space="preserve">Encomenda de Cliente nº Rafael de 27.06.2025
FXG FRS 4G1,5 LR MT  </v>
      </c>
      <c r="C59">
        <v>840</v>
      </c>
      <c r="D59" s="11">
        <f>_xlfn.MINIFS(Indusmelec_Total[Prç Uni c/ Desc], Indusmelec_Total[Referência], A59)</f>
        <v>1.6</v>
      </c>
      <c r="E59" s="11">
        <f t="shared" si="0"/>
        <v>1344</v>
      </c>
    </row>
    <row r="60" spans="1:5" hidden="1">
      <c r="A60" t="str">
        <v>017.20327864</v>
      </c>
      <c r="B60" t="str">
        <f>_xlfn.XLOOKUP(A60,Indusmelec_Total[Referência],Indusmelec_Total[Designação], "")</f>
        <v xml:space="preserve">XZ1-Al (S) Eca 1kV AC-1,5kV DC 1x120 1,000KV  </v>
      </c>
      <c r="C60">
        <v>265</v>
      </c>
      <c r="D60" s="11">
        <f>_xlfn.MINIFS(Indusmelec_Total[Prç Uni c/ Desc], Indusmelec_Total[Referência], A60)</f>
        <v>1.83</v>
      </c>
      <c r="E60" s="11">
        <f t="shared" si="0"/>
        <v>484.95000000000005</v>
      </c>
    </row>
    <row r="61" spans="1:5" hidden="1">
      <c r="A61" t="str">
        <v>017.20327867</v>
      </c>
      <c r="B61" t="str">
        <f>_xlfn.XLOOKUP(A61,Indusmelec_Total[Referência],Indusmelec_Total[Designação], "")</f>
        <v xml:space="preserve">XZ1-Al (S) Eca 1kV AC-1,5kV DC 1x240 1,000kV  </v>
      </c>
      <c r="C61">
        <v>360</v>
      </c>
      <c r="D61" s="11">
        <f>_xlfn.MINIFS(Indusmelec_Total[Prç Uni c/ Desc], Indusmelec_Total[Referência], A61)</f>
        <v>3.4</v>
      </c>
      <c r="E61" s="11">
        <f t="shared" si="0"/>
        <v>1224</v>
      </c>
    </row>
    <row r="62" spans="1:5" hidden="1">
      <c r="A62" t="str">
        <v>017.31012017</v>
      </c>
      <c r="B62" t="str">
        <f>_xlfn.XLOOKUP(A62,Indusmelec_Total[Referência],Indusmelec_Total[Designação], "")</f>
        <v xml:space="preserve">CABO UTP CAT 6 LSZH (cx c/ 305mts) </v>
      </c>
      <c r="C62">
        <v>305</v>
      </c>
      <c r="D62" s="11">
        <f>_xlfn.MINIFS(Indusmelec_Total[Prç Uni c/ Desc], Indusmelec_Total[Referência], A62)</f>
        <v>0.36</v>
      </c>
      <c r="E62" s="11">
        <f t="shared" si="0"/>
        <v>109.8</v>
      </c>
    </row>
    <row r="63" spans="1:5" hidden="1">
      <c r="A63" t="str">
        <v>017.50101202</v>
      </c>
      <c r="B63" t="str">
        <f>_xlfn.XLOOKUP(A63,Indusmelec_Total[Referência],Indusmelec_Total[Designação], "")</f>
        <v xml:space="preserve">CABO LiYCY 2x1.5 </v>
      </c>
      <c r="C63">
        <v>300</v>
      </c>
      <c r="D63" s="11">
        <f>_xlfn.MINIFS(Indusmelec_Total[Prç Uni c/ Desc], Indusmelec_Total[Referência], A63)</f>
        <v>0.59</v>
      </c>
      <c r="E63" s="11">
        <f t="shared" si="0"/>
        <v>177</v>
      </c>
    </row>
    <row r="64" spans="1:5" hidden="1">
      <c r="A64" t="str">
        <v>017.678002115W</v>
      </c>
      <c r="B64" t="str">
        <f>_xlfn.XLOOKUP(A64,Indusmelec_Total[Referência],Indusmelec_Total[Designação], "")</f>
        <v xml:space="preserve">CABO LiYCY-DIN 2x1,5 mm2 CZ Eca </v>
      </c>
      <c r="C64">
        <v>200</v>
      </c>
      <c r="D64" s="11">
        <f>_xlfn.MINIFS(Indusmelec_Total[Prç Uni c/ Desc], Indusmelec_Total[Referência], A64)</f>
        <v>0.66</v>
      </c>
      <c r="E64" s="11">
        <f t="shared" si="0"/>
        <v>132</v>
      </c>
    </row>
    <row r="65" spans="1:5" hidden="1">
      <c r="A65" t="str">
        <v>017.DWX721210Z</v>
      </c>
      <c r="B65" t="str">
        <f>_xlfn.XLOOKUP(A65,Indusmelec_Total[Referência],Indusmelec_Total[Designação], "")</f>
        <v xml:space="preserve">BOBINA GC PINTADA TIPO 10 721210Z  </v>
      </c>
      <c r="C65">
        <v>1</v>
      </c>
      <c r="D65" s="11">
        <f>_xlfn.MINIFS(Indusmelec_Total[Prç Uni c/ Desc], Indusmelec_Total[Referência], A65)</f>
        <v>135</v>
      </c>
      <c r="E65" s="11">
        <f t="shared" si="0"/>
        <v>135</v>
      </c>
    </row>
    <row r="66" spans="1:5" hidden="1">
      <c r="A66" t="str">
        <v>017.DWX750084J</v>
      </c>
      <c r="B66" t="str">
        <f>_xlfn.XLOOKUP(A66,Indusmelec_Total[Referência],Indusmelec_Total[Designação], "")</f>
        <v xml:space="preserve">BOBINA GC PINTADA TIPO 08 750084J  </v>
      </c>
      <c r="C66">
        <v>1</v>
      </c>
      <c r="D66" s="11">
        <f>_xlfn.MINIFS(Indusmelec_Total[Prç Uni c/ Desc], Indusmelec_Total[Referência], A66)</f>
        <v>90</v>
      </c>
      <c r="E66" s="11">
        <f t="shared" si="0"/>
        <v>90</v>
      </c>
    </row>
    <row r="67" spans="1:5" hidden="1">
      <c r="A67" t="str">
        <v>017.FV6VALHPRYS</v>
      </c>
      <c r="B67" t="str">
        <f>_xlfn.XLOOKUP(A67,Indusmelec_Total[Referência],Indusmelec_Total[Designação], "")</f>
        <v xml:space="preserve">CABO FV 6 LIVRE HALOGENEO VD/AM </v>
      </c>
      <c r="C67">
        <v>1200</v>
      </c>
      <c r="D67" s="11">
        <f>_xlfn.MINIFS(Indusmelec_Total[Prç Uni c/ Desc], Indusmelec_Total[Referência], A67)</f>
        <v>0.63300000000000001</v>
      </c>
      <c r="E67" s="11">
        <f t="shared" ref="E67:E130" si="1">C67*D67</f>
        <v>759.6</v>
      </c>
    </row>
    <row r="68" spans="1:5" hidden="1">
      <c r="A68" t="str">
        <v>017.HP1307</v>
      </c>
      <c r="B68" t="str">
        <f>_xlfn.XLOOKUP(A68,Indusmelec_Total[Referência],Indusmelec_Total[Designação], "")</f>
        <v xml:space="preserve">SZ1-K(AS+) 0,6/1kV 2X2,5 LR  </v>
      </c>
      <c r="C68">
        <v>224</v>
      </c>
      <c r="D68" s="11">
        <f>_xlfn.MINIFS(Indusmelec_Total[Prç Uni c/ Desc], Indusmelec_Total[Referência], A68)</f>
        <v>1.1499999999999999</v>
      </c>
      <c r="E68" s="11">
        <f t="shared" si="1"/>
        <v>257.59999999999997</v>
      </c>
    </row>
    <row r="69" spans="1:5" hidden="1">
      <c r="A69" t="str">
        <v>017.LIYCY215</v>
      </c>
      <c r="B69" t="str">
        <f>_xlfn.XLOOKUP(A69,Indusmelec_Total[Referência],Indusmelec_Total[Designação], "")</f>
        <v xml:space="preserve">Encomenda de Cliente nº Rafael de 29.08.2024
CABO BLINDADO LIYCY 2X1,5  </v>
      </c>
      <c r="C69">
        <v>400</v>
      </c>
      <c r="D69" s="11">
        <f>_xlfn.MINIFS(Indusmelec_Total[Prç Uni c/ Desc], Indusmelec_Total[Referência], A69)</f>
        <v>0.59</v>
      </c>
      <c r="E69" s="11">
        <f t="shared" si="1"/>
        <v>236</v>
      </c>
    </row>
    <row r="70" spans="1:5" hidden="1">
      <c r="A70" t="str">
        <v>017.LXV1X50PT</v>
      </c>
      <c r="B70" t="str">
        <f>_xlfn.XLOOKUP(A70,Indusmelec_Total[Referência],Indusmelec_Total[Designação], "")</f>
        <v xml:space="preserve">CABO LXV 1x50 PT </v>
      </c>
      <c r="C70">
        <v>200</v>
      </c>
      <c r="D70" s="11">
        <f>_xlfn.MINIFS(Indusmelec_Total[Prç Uni c/ Desc], Indusmelec_Total[Referência], A70)</f>
        <v>0.93</v>
      </c>
      <c r="E70" s="11">
        <f t="shared" si="1"/>
        <v>186</v>
      </c>
    </row>
    <row r="71" spans="1:5" hidden="1">
      <c r="A71" t="str">
        <v>017.RVK52,5</v>
      </c>
      <c r="B71" t="str">
        <f>_xlfn.XLOOKUP(A71,Indusmelec_Total[Referência],Indusmelec_Total[Designação], "")</f>
        <v xml:space="preserve">CABO RVK 5G2,5 PT </v>
      </c>
      <c r="C71">
        <v>5</v>
      </c>
      <c r="D71" s="11">
        <f>_xlfn.MINIFS(Indusmelec_Total[Prç Uni c/ Desc], Indusmelec_Total[Referência], A71)</f>
        <v>1.75</v>
      </c>
      <c r="E71" s="11">
        <f t="shared" si="1"/>
        <v>8.75</v>
      </c>
    </row>
    <row r="72" spans="1:5" hidden="1">
      <c r="A72" t="str">
        <v>017.RVK56</v>
      </c>
      <c r="B72" t="str">
        <f>_xlfn.XLOOKUP(A72,Indusmelec_Total[Referência],Indusmelec_Total[Designação], "")</f>
        <v xml:space="preserve">CABO RVK 5G6 PT  </v>
      </c>
      <c r="C72">
        <v>20</v>
      </c>
      <c r="D72" s="11">
        <f>_xlfn.MINIFS(Indusmelec_Total[Prç Uni c/ Desc], Indusmelec_Total[Referência], A72)</f>
        <v>4.5</v>
      </c>
      <c r="E72" s="11">
        <f t="shared" si="1"/>
        <v>90</v>
      </c>
    </row>
    <row r="73" spans="1:5" hidden="1">
      <c r="A73" t="str">
        <v>017.RZ1K1X35LHVD</v>
      </c>
      <c r="B73" t="str">
        <f>_xlfn.XLOOKUP(A73,Indusmelec_Total[Referência],Indusmelec_Total[Designação], "")</f>
        <v xml:space="preserve">CABO RZ1-K 1X35 LH VD </v>
      </c>
      <c r="C73">
        <v>100</v>
      </c>
      <c r="D73" s="11">
        <f>_xlfn.MINIFS(Indusmelec_Total[Prç Uni c/ Desc], Indusmelec_Total[Referência], A73)</f>
        <v>3.93</v>
      </c>
      <c r="E73" s="11">
        <f t="shared" si="1"/>
        <v>393</v>
      </c>
    </row>
    <row r="74" spans="1:5" hidden="1">
      <c r="A74" t="str">
        <v>017.RZ1K3G2,5VD</v>
      </c>
      <c r="B74" t="str">
        <f>_xlfn.XLOOKUP(A74,Indusmelec_Total[Referência],Indusmelec_Total[Designação], "")</f>
        <v xml:space="preserve">RZ1-K 3G2,5 VD XG-06/1KV </v>
      </c>
      <c r="C74">
        <v>5</v>
      </c>
      <c r="D74" s="11">
        <f>_xlfn.MINIFS(Indusmelec_Total[Prç Uni c/ Desc], Indusmelec_Total[Referência], A74)</f>
        <v>1.33</v>
      </c>
      <c r="E74" s="11">
        <f t="shared" si="1"/>
        <v>6.65</v>
      </c>
    </row>
    <row r="75" spans="1:5" hidden="1">
      <c r="A75" t="str">
        <v>017.RZ1K5G10</v>
      </c>
      <c r="B75" t="str">
        <f>_xlfn.XLOOKUP(A75,Indusmelec_Total[Referência],Indusmelec_Total[Designação], "")</f>
        <v xml:space="preserve">RZ1K5G10 CABO 5G10  </v>
      </c>
      <c r="C75">
        <v>20</v>
      </c>
      <c r="D75" s="11">
        <f>_xlfn.MINIFS(Indusmelec_Total[Prç Uni c/ Desc], Indusmelec_Total[Referência], A75)</f>
        <v>6.5</v>
      </c>
      <c r="E75" s="11">
        <f t="shared" si="1"/>
        <v>130</v>
      </c>
    </row>
    <row r="76" spans="1:5" hidden="1">
      <c r="A76" t="str">
        <v>017.RZ1K5G16</v>
      </c>
      <c r="B76" t="str">
        <f>_xlfn.XLOOKUP(A76,Indusmelec_Total[Referência],Indusmelec_Total[Designação], "")</f>
        <v xml:space="preserve">Guia Acompanhamento CL no. 1159 de 27.11.2025
Orçamento no. 18153 de 27.11.2025
RZ1K5G16 CABO 5G16  </v>
      </c>
      <c r="C76">
        <v>20</v>
      </c>
      <c r="D76" s="11">
        <f>_xlfn.MINIFS(Indusmelec_Total[Prç Uni c/ Desc], Indusmelec_Total[Referência], A76)</f>
        <v>9.4499999999999993</v>
      </c>
      <c r="E76" s="11">
        <f t="shared" si="1"/>
        <v>189</v>
      </c>
    </row>
    <row r="77" spans="1:5" hidden="1">
      <c r="A77" t="str">
        <v>017.RZ1K5G6VD</v>
      </c>
      <c r="B77" t="str">
        <f>_xlfn.XLOOKUP(A77,Indusmelec_Total[Referência],Indusmelec_Total[Designação], "")</f>
        <v xml:space="preserve">CABO RZ1-K 5G6 VERDE
Entregue na Guia nº3132 da Solcoraction  </v>
      </c>
      <c r="C77">
        <v>80</v>
      </c>
      <c r="D77" s="11">
        <f>_xlfn.MINIFS(Indusmelec_Total[Prç Uni c/ Desc], Indusmelec_Total[Referência], A77)</f>
        <v>4.0999999999999996</v>
      </c>
      <c r="E77" s="11">
        <f t="shared" si="1"/>
        <v>328</v>
      </c>
    </row>
    <row r="78" spans="1:5" hidden="1">
      <c r="A78" t="str">
        <v>017.SZ1K4G1,5</v>
      </c>
      <c r="B78" t="str">
        <f>_xlfn.XLOOKUP(A78,Indusmelec_Total[Referência],Indusmelec_Total[Designação], "")</f>
        <v xml:space="preserve">Guia Transp. s/ Prç no. 1527 de 10.03.2026
Encomenda de Cliente nº Rafael de 06.03.2026
Orçamento no. 3241 de 04.03.2026
CABO SZ1-K 4G1,5 </v>
      </c>
      <c r="C78">
        <v>300</v>
      </c>
      <c r="D78" s="11">
        <f>_xlfn.MINIFS(Indusmelec_Total[Prç Uni c/ Desc], Indusmelec_Total[Referência], A78)</f>
        <v>2.0299999999999998</v>
      </c>
      <c r="E78" s="11">
        <f t="shared" si="1"/>
        <v>608.99999999999989</v>
      </c>
    </row>
    <row r="79" spans="1:5" hidden="1">
      <c r="A79" t="str">
        <v>017.UTPCAT6E</v>
      </c>
      <c r="B79" t="str">
        <f>_xlfn.XLOOKUP(A79,Indusmelec_Total[Referência],Indusmelec_Total[Designação], "")</f>
        <v xml:space="preserve">Guia Transp. s/ Prç no. 6131 de 09.10.2025
Orçamento no. 15434 de 08.10.2025
CABO UTP CAT 6 - E
^em stock </v>
      </c>
      <c r="C79">
        <v>260</v>
      </c>
      <c r="D79" s="11">
        <f>_xlfn.MINIFS(Indusmelec_Total[Prç Uni c/ Desc], Indusmelec_Total[Referência], A79)</f>
        <v>0.35</v>
      </c>
      <c r="E79" s="11">
        <f t="shared" si="1"/>
        <v>91</v>
      </c>
    </row>
    <row r="80" spans="1:5" hidden="1">
      <c r="A80" t="str">
        <v>017.XZ1ALSEC1X35</v>
      </c>
      <c r="B80" t="str">
        <f>_xlfn.XLOOKUP(A80,Indusmelec_Total[Referência],Indusmelec_Total[Designação], "")</f>
        <v xml:space="preserve">XZ1-AL (S) ECA 1X35 PONTA UNICA STOCK FABRICA </v>
      </c>
      <c r="C80">
        <v>208</v>
      </c>
      <c r="D80" s="11">
        <f>_xlfn.MINIFS(Indusmelec_Total[Prç Uni c/ Desc], Indusmelec_Total[Referência], A80)</f>
        <v>0.88</v>
      </c>
      <c r="E80" s="11">
        <f t="shared" si="1"/>
        <v>183.04</v>
      </c>
    </row>
    <row r="81" spans="1:5" hidden="1">
      <c r="A81" t="str">
        <v>019.GW42216</v>
      </c>
      <c r="B81" t="str">
        <f>_xlfn.XLOOKUP(A81,Indusmelec_Total[Referência],Indusmelec_Total[Designação], "")</f>
        <v xml:space="preserve">MARTELO QUEBRA VIDROS </v>
      </c>
      <c r="C81">
        <v>6</v>
      </c>
      <c r="D81" s="11">
        <f>_xlfn.MINIFS(Indusmelec_Total[Prç Uni c/ Desc], Indusmelec_Total[Referência], A81)</f>
        <v>18.5</v>
      </c>
      <c r="E81" s="11">
        <f t="shared" si="1"/>
        <v>111</v>
      </c>
    </row>
    <row r="82" spans="1:5" hidden="1">
      <c r="A82" t="str">
        <v>020.21061120</v>
      </c>
      <c r="B82" t="str">
        <f>_xlfn.XLOOKUP(A82,Indusmelec_Total[Referência],Indusmelec_Total[Designação], "")</f>
        <v xml:space="preserve">BUCIM M12 </v>
      </c>
      <c r="C82">
        <v>100</v>
      </c>
      <c r="D82" s="11">
        <f>_xlfn.MINIFS(Indusmelec_Total[Prç Uni c/ Desc], Indusmelec_Total[Referência], A82)</f>
        <v>0.45</v>
      </c>
      <c r="E82" s="11">
        <f t="shared" si="1"/>
        <v>45</v>
      </c>
    </row>
    <row r="83" spans="1:5" hidden="1">
      <c r="A83" t="str">
        <v>020.21061160</v>
      </c>
      <c r="B83" t="str">
        <f>_xlfn.XLOOKUP(A83,Indusmelec_Total[Referência],Indusmelec_Total[Designação], "")</f>
        <v xml:space="preserve">21061160 M16 BUCIM PVC S/PORCA </v>
      </c>
      <c r="C83">
        <v>100</v>
      </c>
      <c r="D83" s="11">
        <f>_xlfn.MINIFS(Indusmelec_Total[Prç Uni c/ Desc], Indusmelec_Total[Referência], A83)</f>
        <v>0.48</v>
      </c>
      <c r="E83" s="11">
        <f t="shared" si="1"/>
        <v>48</v>
      </c>
    </row>
    <row r="84" spans="1:5" hidden="1">
      <c r="A84" t="str">
        <v>020.21061200</v>
      </c>
      <c r="B84" t="str">
        <f>_xlfn.XLOOKUP(A84,Indusmelec_Total[Referência],Indusmelec_Total[Designação], "")</f>
        <v xml:space="preserve"> 21061200 M20 BUCIN PVC S/PORCA P/CABO</v>
      </c>
      <c r="C84">
        <v>100</v>
      </c>
      <c r="D84" s="11">
        <f>_xlfn.MINIFS(Indusmelec_Total[Prç Uni c/ Desc], Indusmelec_Total[Referência], A84)</f>
        <v>0.55000000000000004</v>
      </c>
      <c r="E84" s="11">
        <f t="shared" si="1"/>
        <v>55.000000000000007</v>
      </c>
    </row>
    <row r="85" spans="1:5" hidden="1">
      <c r="A85" t="str">
        <v>020.21061250</v>
      </c>
      <c r="B85" t="str">
        <f>_xlfn.XLOOKUP(A85,Indusmelec_Total[Referência],Indusmelec_Total[Designação], "")</f>
        <v>21061250 M25 BUCIM PVC S/PORCA</v>
      </c>
      <c r="C85">
        <v>100</v>
      </c>
      <c r="D85" s="11">
        <f>_xlfn.MINIFS(Indusmelec_Total[Prç Uni c/ Desc], Indusmelec_Total[Referência], A85)</f>
        <v>0.94</v>
      </c>
      <c r="E85" s="11">
        <f t="shared" si="1"/>
        <v>94</v>
      </c>
    </row>
    <row r="86" spans="1:5" hidden="1">
      <c r="A86" t="str">
        <v>020.21061320</v>
      </c>
      <c r="B86" t="str">
        <f>_xlfn.XLOOKUP(A86,Indusmelec_Total[Referência],Indusmelec_Total[Designação], "")</f>
        <v xml:space="preserve"> 21061320 BUCIM M32</v>
      </c>
      <c r="C86">
        <v>50</v>
      </c>
      <c r="D86" s="11">
        <f>_xlfn.MINIFS(Indusmelec_Total[Prç Uni c/ Desc], Indusmelec_Total[Referência], A86)</f>
        <v>1.88</v>
      </c>
      <c r="E86" s="11">
        <f t="shared" si="1"/>
        <v>94</v>
      </c>
    </row>
    <row r="87" spans="1:5" hidden="1">
      <c r="A87" t="str">
        <v>020.21061400</v>
      </c>
      <c r="B87" t="str">
        <f>_xlfn.XLOOKUP(A87,Indusmelec_Total[Referência],Indusmelec_Total[Designação], "")</f>
        <v xml:space="preserve"> BUCIM M40 PVC</v>
      </c>
      <c r="C87">
        <v>20</v>
      </c>
      <c r="D87" s="11">
        <f>_xlfn.MINIFS(Indusmelec_Total[Prç Uni c/ Desc], Indusmelec_Total[Referência], A87)</f>
        <v>3.96</v>
      </c>
      <c r="E87" s="11">
        <f t="shared" si="1"/>
        <v>79.2</v>
      </c>
    </row>
    <row r="88" spans="1:5" hidden="1">
      <c r="A88" t="str">
        <v>020.40027120</v>
      </c>
      <c r="B88" t="str">
        <f>_xlfn.XLOOKUP(A88,Indusmelec_Total[Referência],Indusmelec_Total[Designação], "")</f>
        <v xml:space="preserve">PORCA M12 </v>
      </c>
      <c r="C88">
        <v>100</v>
      </c>
      <c r="D88" s="11">
        <f>_xlfn.MINIFS(Indusmelec_Total[Prç Uni c/ Desc], Indusmelec_Total[Referência], A88)</f>
        <v>0.11</v>
      </c>
      <c r="E88" s="11">
        <f t="shared" si="1"/>
        <v>11</v>
      </c>
    </row>
    <row r="89" spans="1:5" hidden="1">
      <c r="A89" t="str">
        <v>020.40027160</v>
      </c>
      <c r="B89" t="str">
        <f>_xlfn.XLOOKUP(A89,Indusmelec_Total[Referência],Indusmelec_Total[Designação], "")</f>
        <v xml:space="preserve">PORCA TCP PVC P/ BUCIN M16 </v>
      </c>
      <c r="C89">
        <v>100</v>
      </c>
      <c r="D89" s="11">
        <f>_xlfn.MINIFS(Indusmelec_Total[Prç Uni c/ Desc], Indusmelec_Total[Referência], A89)</f>
        <v>0.115</v>
      </c>
      <c r="E89" s="11">
        <f t="shared" si="1"/>
        <v>11.5</v>
      </c>
    </row>
    <row r="90" spans="1:5" hidden="1">
      <c r="A90" t="str">
        <v>020.40027200</v>
      </c>
      <c r="B90" t="str">
        <f>_xlfn.XLOOKUP(A90,Indusmelec_Total[Referência],Indusmelec_Total[Designação], "")</f>
        <v xml:space="preserve">40027200 M20 TCP PORCA PVC P/BUCIN </v>
      </c>
      <c r="C90">
        <v>100</v>
      </c>
      <c r="D90" s="11">
        <f>_xlfn.MINIFS(Indusmelec_Total[Prç Uni c/ Desc], Indusmelec_Total[Referência], A90)</f>
        <v>0.155</v>
      </c>
      <c r="E90" s="11">
        <f t="shared" si="1"/>
        <v>15.5</v>
      </c>
    </row>
    <row r="91" spans="1:5" hidden="1">
      <c r="A91" t="str">
        <v>020.40027250</v>
      </c>
      <c r="B91" t="str">
        <f>_xlfn.XLOOKUP(A91,Indusmelec_Total[Referência],Indusmelec_Total[Designação], "")</f>
        <v xml:space="preserve">PORCA TCP PVC P/ BUCIN M25 </v>
      </c>
      <c r="C91">
        <v>100</v>
      </c>
      <c r="D91" s="11">
        <f>_xlfn.MINIFS(Indusmelec_Total[Prç Uni c/ Desc], Indusmelec_Total[Referência], A91)</f>
        <v>0.255</v>
      </c>
      <c r="E91" s="11">
        <f t="shared" si="1"/>
        <v>25.5</v>
      </c>
    </row>
    <row r="92" spans="1:5" hidden="1">
      <c r="A92" t="str">
        <v>020.40027320</v>
      </c>
      <c r="B92" t="str">
        <f>_xlfn.XLOOKUP(A92,Indusmelec_Total[Referência],Indusmelec_Total[Designação], "")</f>
        <v xml:space="preserve">PORCA TCP PVC P/ BUCIN M32 </v>
      </c>
      <c r="C92">
        <v>50</v>
      </c>
      <c r="D92" s="11">
        <f>_xlfn.MINIFS(Indusmelec_Total[Prç Uni c/ Desc], Indusmelec_Total[Referência], A92)</f>
        <v>0.39</v>
      </c>
      <c r="E92" s="11">
        <f t="shared" si="1"/>
        <v>19.5</v>
      </c>
    </row>
    <row r="93" spans="1:5" hidden="1">
      <c r="A93" t="str">
        <v>020.40027400</v>
      </c>
      <c r="B93" t="str">
        <f>_xlfn.XLOOKUP(A93,Indusmelec_Total[Referência],Indusmelec_Total[Designação], "")</f>
        <v xml:space="preserve">M40 TCP PORCA PVC </v>
      </c>
      <c r="C93">
        <v>20</v>
      </c>
      <c r="D93" s="11">
        <f>_xlfn.MINIFS(Indusmelec_Total[Prç Uni c/ Desc], Indusmelec_Total[Referência], A93)</f>
        <v>0.71499999999999997</v>
      </c>
      <c r="E93" s="11">
        <f t="shared" si="1"/>
        <v>14.299999999999999</v>
      </c>
    </row>
    <row r="94" spans="1:5" hidden="1">
      <c r="A94" t="str">
        <v>020.50090498</v>
      </c>
      <c r="B94" t="str">
        <f>_xlfn.XLOOKUP(A94,Indusmelec_Total[Referência],Indusmelec_Total[Designação], "")</f>
        <v xml:space="preserve">ALICATE CORTE LK-320A ATÉ 325MM (Ø32) TESOURA </v>
      </c>
      <c r="C94">
        <v>1</v>
      </c>
      <c r="D94" s="11">
        <f>_xlfn.MINIFS(Indusmelec_Total[Prç Uni c/ Desc], Indusmelec_Total[Referência], A94)</f>
        <v>116</v>
      </c>
      <c r="E94" s="11">
        <f t="shared" si="1"/>
        <v>116</v>
      </c>
    </row>
    <row r="95" spans="1:5" hidden="1">
      <c r="A95" t="str">
        <v>020.60211100</v>
      </c>
      <c r="B95" t="str">
        <f>_xlfn.XLOOKUP(A95,Indusmelec_Total[Referência],Indusmelec_Total[Designação], "")</f>
        <v xml:space="preserve">CALHA REGIBAND 35/100 E.Z.  </v>
      </c>
      <c r="C95">
        <v>3231</v>
      </c>
      <c r="D95" s="11">
        <f>_xlfn.MINIFS(Indusmelec_Total[Prç Uni c/ Desc], Indusmelec_Total[Referência], A95)</f>
        <v>2.25</v>
      </c>
      <c r="E95" s="11">
        <f t="shared" si="1"/>
        <v>7269.75</v>
      </c>
    </row>
    <row r="96" spans="1:5" hidden="1">
      <c r="A96" t="str">
        <v>020.60212100</v>
      </c>
      <c r="B96" t="str">
        <f>_xlfn.XLOOKUP(A96,Indusmelec_Total[Referência],Indusmelec_Total[Designação], "")</f>
        <v xml:space="preserve">CALHA REJIBAND E.Z. 60x100 </v>
      </c>
      <c r="C96">
        <v>51</v>
      </c>
      <c r="D96" s="11">
        <f>_xlfn.MINIFS(Indusmelec_Total[Prç Uni c/ Desc], Indusmelec_Total[Referência], A96)</f>
        <v>3.66</v>
      </c>
      <c r="E96" s="11">
        <f t="shared" si="1"/>
        <v>186.66</v>
      </c>
    </row>
    <row r="97" spans="1:5" hidden="1">
      <c r="A97" t="str">
        <v>020.60512100</v>
      </c>
      <c r="B97" t="str">
        <f>_xlfn.XLOOKUP(A97,Indusmelec_Total[Referência],Indusmelec_Total[Designação], "")</f>
        <v xml:space="preserve">CALHA REJIBAND 60X100 EZ  </v>
      </c>
      <c r="C97">
        <v>1206</v>
      </c>
      <c r="D97" s="11">
        <f>_xlfn.MINIFS(Indusmelec_Total[Prç Uni c/ Desc], Indusmelec_Total[Referência], A97)</f>
        <v>3.2826</v>
      </c>
      <c r="E97" s="11">
        <f t="shared" si="1"/>
        <v>3958.8155999999999</v>
      </c>
    </row>
    <row r="98" spans="1:5" hidden="1">
      <c r="A98" t="str">
        <v>020.60512150</v>
      </c>
      <c r="B98" t="str">
        <f>_xlfn.XLOOKUP(A98,Indusmelec_Total[Referência],Indusmelec_Total[Designação], "")</f>
        <v xml:space="preserve">60512150 CALHA VARÃO REGIBAND RAPIDE 150X60 EZ  </v>
      </c>
      <c r="C98">
        <v>150</v>
      </c>
      <c r="D98" s="11">
        <f>_xlfn.MINIFS(Indusmelec_Total[Prç Uni c/ Desc], Indusmelec_Total[Referência], A98)</f>
        <v>4.3539999999999992</v>
      </c>
      <c r="E98" s="11">
        <f t="shared" si="1"/>
        <v>653.09999999999991</v>
      </c>
    </row>
    <row r="99" spans="1:5" hidden="1">
      <c r="A99" t="str">
        <v>020.60512200</v>
      </c>
      <c r="B99" t="str">
        <f>_xlfn.XLOOKUP(A99,Indusmelec_Total[Referência],Indusmelec_Total[Designação], "")</f>
        <v xml:space="preserve">CALHA RAPID 200X60 EZ </v>
      </c>
      <c r="C99">
        <v>426</v>
      </c>
      <c r="D99" s="11">
        <f>_xlfn.MINIFS(Indusmelec_Total[Prç Uni c/ Desc], Indusmelec_Total[Referência], A99)</f>
        <v>4.9782000000000002</v>
      </c>
      <c r="E99" s="11">
        <f t="shared" si="1"/>
        <v>2120.7132000000001</v>
      </c>
    </row>
    <row r="100" spans="1:5" hidden="1">
      <c r="A100" t="str">
        <v>020.60512300</v>
      </c>
      <c r="B100" t="str">
        <f>_xlfn.XLOOKUP(A100,Indusmelec_Total[Referência],Indusmelec_Total[Designação], "")</f>
        <v xml:space="preserve">CALHA REJIBAND 60X300 EZ  </v>
      </c>
      <c r="C100">
        <v>138</v>
      </c>
      <c r="D100" s="11">
        <f>_xlfn.MINIFS(Indusmelec_Total[Prç Uni c/ Desc], Indusmelec_Total[Referência], A100)</f>
        <v>6.6303999999999998</v>
      </c>
      <c r="E100" s="11">
        <f t="shared" si="1"/>
        <v>914.99519999999995</v>
      </c>
    </row>
    <row r="101" spans="1:5" hidden="1">
      <c r="A101" t="str">
        <v>020.62021104</v>
      </c>
      <c r="B101" t="str">
        <f>_xlfn.XLOOKUP(A101,Indusmelec_Total[Referência],Indusmelec_Total[Designação], "")</f>
        <v xml:space="preserve">SUP OMEGA UNIV. S-PLUS 100 G.S.  </v>
      </c>
      <c r="C101">
        <v>173</v>
      </c>
      <c r="D101" s="11">
        <f>_xlfn.MINIFS(Indusmelec_Total[Prç Uni c/ Desc], Indusmelec_Total[Referência], A101)</f>
        <v>1.4019999999999999</v>
      </c>
      <c r="E101" s="11">
        <f t="shared" si="1"/>
        <v>242.54599999999999</v>
      </c>
    </row>
    <row r="102" spans="1:5" hidden="1">
      <c r="A102" t="str">
        <v>020.62021154</v>
      </c>
      <c r="B102" t="str">
        <f>_xlfn.XLOOKUP(A102,Indusmelec_Total[Referência],Indusmelec_Total[Designação], "")</f>
        <v xml:space="preserve">SUP OMEGA UNIV. S-PLUS 150 G.S. </v>
      </c>
      <c r="C102">
        <v>8</v>
      </c>
      <c r="D102" s="11">
        <f>_xlfn.MINIFS(Indusmelec_Total[Prç Uni c/ Desc], Indusmelec_Total[Referência], A102)</f>
        <v>2.4</v>
      </c>
      <c r="E102" s="11">
        <f t="shared" si="1"/>
        <v>19.2</v>
      </c>
    </row>
    <row r="103" spans="1:5" hidden="1">
      <c r="A103" t="str">
        <v>020.62021204</v>
      </c>
      <c r="B103" t="str">
        <f>_xlfn.XLOOKUP(A103,Indusmelec_Total[Referência],Indusmelec_Total[Designação], "")</f>
        <v xml:space="preserve">SUP OMEGA UNIV. S-PLUS 200 G.S.  </v>
      </c>
      <c r="C103">
        <v>135</v>
      </c>
      <c r="D103" s="11">
        <f>_xlfn.MINIFS(Indusmelec_Total[Prç Uni c/ Desc], Indusmelec_Total[Referência], A103)</f>
        <v>2.3043</v>
      </c>
      <c r="E103" s="11">
        <f t="shared" si="1"/>
        <v>311.08050000000003</v>
      </c>
    </row>
    <row r="104" spans="1:5" hidden="1">
      <c r="A104" t="str">
        <v>020.62021304</v>
      </c>
      <c r="B104" t="str">
        <f>_xlfn.XLOOKUP(A104,Indusmelec_Total[Referência],Indusmelec_Total[Designação], "")</f>
        <v xml:space="preserve">SUPORTE OMEGA S-PLUS 300 GS  </v>
      </c>
      <c r="C104">
        <v>50</v>
      </c>
      <c r="D104" s="11">
        <f>_xlfn.MINIFS(Indusmelec_Total[Prç Uni c/ Desc], Indusmelec_Total[Referência], A104)</f>
        <v>2.7717000000000001</v>
      </c>
      <c r="E104" s="11">
        <f t="shared" si="1"/>
        <v>138.58500000000001</v>
      </c>
    </row>
    <row r="105" spans="1:5" hidden="1">
      <c r="A105" t="str">
        <v>020.62021404</v>
      </c>
      <c r="B105" t="str">
        <f>_xlfn.XLOOKUP(A105,Indusmelec_Total[Referência],Indusmelec_Total[Designação], "")</f>
        <v xml:space="preserve">SUPORTE PARDE OMEGA 400  </v>
      </c>
      <c r="C105">
        <v>30</v>
      </c>
      <c r="D105" s="11">
        <f>_xlfn.MINIFS(Indusmelec_Total[Prç Uni c/ Desc], Indusmelec_Total[Referência], A105)</f>
        <v>3.8814999999999995</v>
      </c>
      <c r="E105" s="11">
        <f t="shared" si="1"/>
        <v>116.44499999999998</v>
      </c>
    </row>
    <row r="106" spans="1:5" hidden="1">
      <c r="A106" t="str">
        <v>020.64010061</v>
      </c>
      <c r="B106" t="str">
        <f>_xlfn.XLOOKUP(A106,Indusmelec_Total[Referência],Indusmelec_Total[Designação], "")</f>
        <v xml:space="preserve">UNIÃO REFORÇADA E.Z. </v>
      </c>
      <c r="C106">
        <v>2460</v>
      </c>
      <c r="D106" s="11">
        <f>_xlfn.MINIFS(Indusmelec_Total[Prç Uni c/ Desc], Indusmelec_Total[Referência], A106)</f>
        <v>0.33689999999999998</v>
      </c>
      <c r="E106" s="11">
        <f t="shared" si="1"/>
        <v>828.77399999999989</v>
      </c>
    </row>
    <row r="107" spans="1:5" hidden="1">
      <c r="A107" t="str">
        <v>020.67010046</v>
      </c>
      <c r="B107" t="str">
        <f>_xlfn.XLOOKUP(A107,Indusmelec_Total[Referência],Indusmelec_Total[Designação], "")</f>
        <v xml:space="preserve">SUSPENSÃO CENTRAL 9 E.Z.  </v>
      </c>
      <c r="C107">
        <v>2290</v>
      </c>
      <c r="D107" s="11">
        <f>_xlfn.MINIFS(Indusmelec_Total[Prç Uni c/ Desc], Indusmelec_Total[Referência], A107)</f>
        <v>0.3</v>
      </c>
      <c r="E107" s="11">
        <f t="shared" si="1"/>
        <v>687</v>
      </c>
    </row>
    <row r="108" spans="1:5" hidden="1">
      <c r="A108" t="str">
        <v>020.67010144</v>
      </c>
      <c r="B108" t="str">
        <f>_xlfn.XLOOKUP(A108,Indusmelec_Total[Referência],Indusmelec_Total[Designação], "")</f>
        <v xml:space="preserve">SUSPENSÃO CENTRAL EZ M6  </v>
      </c>
      <c r="C108">
        <v>400</v>
      </c>
      <c r="D108" s="11">
        <f>_xlfn.MINIFS(Indusmelec_Total[Prç Uni c/ Desc], Indusmelec_Total[Referência], A108)</f>
        <v>0.3</v>
      </c>
      <c r="E108" s="11">
        <f t="shared" si="1"/>
        <v>120</v>
      </c>
    </row>
    <row r="109" spans="1:5" hidden="1">
      <c r="A109" t="str">
        <v>020.68000032</v>
      </c>
      <c r="B109" t="str">
        <f>_xlfn.XLOOKUP(A109,Indusmelec_Total[Referência],Indusmelec_Total[Designação], "")</f>
        <v xml:space="preserve">BORNE DE TERRA  </v>
      </c>
      <c r="C109">
        <v>1315</v>
      </c>
      <c r="D109" s="11">
        <f>_xlfn.MINIFS(Indusmelec_Total[Prç Uni c/ Desc], Indusmelec_Total[Referência], A109)</f>
        <v>1.9</v>
      </c>
      <c r="E109" s="11">
        <f t="shared" si="1"/>
        <v>2498.5</v>
      </c>
    </row>
    <row r="110" spans="1:5" hidden="1">
      <c r="A110" t="str">
        <v>020.73021100</v>
      </c>
      <c r="B110" t="str">
        <f>_xlfn.XLOOKUP(A110,Indusmelec_Total[Referência],Indusmelec_Total[Designação], "")</f>
        <v xml:space="preserve">TAMPA 100 G.S.  </v>
      </c>
      <c r="C110">
        <v>4119</v>
      </c>
      <c r="D110" s="11">
        <f>_xlfn.MINIFS(Indusmelec_Total[Prç Uni c/ Desc], Indusmelec_Total[Referência], A110)</f>
        <v>2.23</v>
      </c>
      <c r="E110" s="11">
        <f t="shared" si="1"/>
        <v>9185.3700000000008</v>
      </c>
    </row>
    <row r="111" spans="1:5" hidden="1">
      <c r="A111" t="str">
        <v>020.73021150</v>
      </c>
      <c r="B111" t="str">
        <f>_xlfn.XLOOKUP(A111,Indusmelec_Total[Referência],Indusmelec_Total[Designação], "")</f>
        <v xml:space="preserve">TAMPA CALHA 150  </v>
      </c>
      <c r="C111">
        <v>117</v>
      </c>
      <c r="D111" s="11">
        <f>_xlfn.MINIFS(Indusmelec_Total[Prç Uni c/ Desc], Indusmelec_Total[Referência], A111)</f>
        <v>3.62</v>
      </c>
      <c r="E111" s="11">
        <f t="shared" si="1"/>
        <v>423.54</v>
      </c>
    </row>
    <row r="112" spans="1:5" hidden="1">
      <c r="A112" t="str">
        <v>020.73021200</v>
      </c>
      <c r="B112" t="str">
        <f>_xlfn.XLOOKUP(A112,Indusmelec_Total[Referência],Indusmelec_Total[Designação], "")</f>
        <v xml:space="preserve">TAMPA METALICA 200  </v>
      </c>
      <c r="C112">
        <v>360</v>
      </c>
      <c r="D112" s="11">
        <f>_xlfn.MINIFS(Indusmelec_Total[Prç Uni c/ Desc], Indusmelec_Total[Referência], A112)</f>
        <v>3.82</v>
      </c>
      <c r="E112" s="11">
        <f t="shared" si="1"/>
        <v>1375.2</v>
      </c>
    </row>
    <row r="113" spans="1:5" hidden="1">
      <c r="A113" t="str">
        <v>020.73021300</v>
      </c>
      <c r="B113" t="str">
        <f>_xlfn.XLOOKUP(A113,Indusmelec_Total[Referência],Indusmelec_Total[Designação], "")</f>
        <v xml:space="preserve">73021300 TAMPA CALHA 300 G.S.  </v>
      </c>
      <c r="C113">
        <v>132</v>
      </c>
      <c r="D113" s="11">
        <f>_xlfn.MINIFS(Indusmelec_Total[Prç Uni c/ Desc], Indusmelec_Total[Referência], A113)</f>
        <v>5.8695000000000004</v>
      </c>
      <c r="E113" s="11">
        <f t="shared" si="1"/>
        <v>774.774</v>
      </c>
    </row>
    <row r="114" spans="1:5" hidden="1">
      <c r="A114" t="str">
        <v>020.75821150</v>
      </c>
      <c r="B114" t="str">
        <f>_xlfn.XLOOKUP(A114,Indusmelec_Total[Referência],Indusmelec_Total[Designação], "")</f>
        <v xml:space="preserve"> PEMSABAND LX CLICK 35X150 GS </v>
      </c>
      <c r="C114">
        <v>45</v>
      </c>
      <c r="D114" s="11">
        <f>_xlfn.MINIFS(Indusmelec_Total[Prç Uni c/ Desc], Indusmelec_Total[Referência], A114)</f>
        <v>3.97</v>
      </c>
      <c r="E114" s="11">
        <f t="shared" si="1"/>
        <v>178.65</v>
      </c>
    </row>
    <row r="115" spans="1:5" hidden="1">
      <c r="A115" t="str">
        <v>020.75822100</v>
      </c>
      <c r="B115" t="str">
        <f>_xlfn.XLOOKUP(A115,Indusmelec_Total[Referência],Indusmelec_Total[Designação], "")</f>
        <v xml:space="preserve">PEMSABAND LX CLICK 60X100 GS  </v>
      </c>
      <c r="C115">
        <v>30</v>
      </c>
      <c r="D115" s="11">
        <f>_xlfn.MINIFS(Indusmelec_Total[Prç Uni c/ Desc], Indusmelec_Total[Referência], A115)</f>
        <v>4.2737999999999996</v>
      </c>
      <c r="E115" s="11">
        <f t="shared" si="1"/>
        <v>128.214</v>
      </c>
    </row>
    <row r="116" spans="1:5" hidden="1">
      <c r="A116" t="str">
        <v>020.82003333</v>
      </c>
      <c r="B116" t="str">
        <f>_xlfn.XLOOKUP(A116,Indusmelec_Total[Referência],Indusmelec_Total[Designação], "")</f>
        <v xml:space="preserve">82003333 FIXAÇÃO TAMPA  </v>
      </c>
      <c r="C116">
        <v>400</v>
      </c>
      <c r="D116" s="11">
        <f>_xlfn.MINIFS(Indusmelec_Total[Prç Uni c/ Desc], Indusmelec_Total[Referência], A116)</f>
        <v>0.87</v>
      </c>
      <c r="E116" s="11">
        <f t="shared" si="1"/>
        <v>348</v>
      </c>
    </row>
    <row r="117" spans="1:5" hidden="1">
      <c r="A117" t="str">
        <v>020.82003450</v>
      </c>
      <c r="B117" t="str">
        <f>_xlfn.XLOOKUP(A117,Indusmelec_Total[Referência],Indusmelec_Total[Designação], "")</f>
        <v xml:space="preserve">SOLAR TOTEM  </v>
      </c>
      <c r="C117">
        <v>500</v>
      </c>
      <c r="D117" s="11">
        <f>_xlfn.MINIFS(Indusmelec_Total[Prç Uni c/ Desc], Indusmelec_Total[Referência], A117)</f>
        <v>2.95</v>
      </c>
      <c r="E117" s="11">
        <f t="shared" si="1"/>
        <v>1475</v>
      </c>
    </row>
    <row r="118" spans="1:5" hidden="1">
      <c r="A118" t="str">
        <v>020.AB200X4.8</v>
      </c>
      <c r="B118" t="str">
        <f>_xlfn.XLOOKUP(A118,Indusmelec_Total[Referência],Indusmelec_Total[Designação], "")</f>
        <v xml:space="preserve">200X4.8-PT ABRAÇADEIRA SERRILHA  </v>
      </c>
      <c r="C118">
        <v>1</v>
      </c>
      <c r="D118" s="11">
        <f>_xlfn.MINIFS(Indusmelec_Total[Prç Uni c/ Desc], Indusmelec_Total[Referência], A118)</f>
        <v>1.4850000000000001</v>
      </c>
      <c r="E118" s="11">
        <f t="shared" si="1"/>
        <v>1.4850000000000001</v>
      </c>
    </row>
    <row r="119" spans="1:5" hidden="1">
      <c r="A119" t="str">
        <v>020.ABE150X3.6-PT</v>
      </c>
      <c r="B119" t="str">
        <f>_xlfn.XLOOKUP(A119,Indusmelec_Total[Referência],Indusmelec_Total[Designação], "")</f>
        <v xml:space="preserve">Guia Transp. s/ Prç no. 4524 de 29.06.2026
Encomenda de Cliente nº granisul de 24.06.2026
Orçamento no. 8993 de 24.06.2026
150X3.6-PT ABRAÇADEIRA SERRILHA
^1 a 2 dias uteis </v>
      </c>
      <c r="C119">
        <v>30</v>
      </c>
      <c r="D119" s="11">
        <f>_xlfn.MINIFS(Indusmelec_Total[Prç Uni c/ Desc], Indusmelec_Total[Referência], A119)</f>
        <v>1.02</v>
      </c>
      <c r="E119" s="11">
        <f t="shared" si="1"/>
        <v>30.6</v>
      </c>
    </row>
    <row r="120" spans="1:5" hidden="1">
      <c r="A120" t="str">
        <v>020.ACAM45.030</v>
      </c>
      <c r="B120" t="str">
        <f>_xlfn.XLOOKUP(A120,Indusmelec_Total[Referência],Indusmelec_Total[Designação], "")</f>
        <v xml:space="preserve">GUIA DE AÇO REVEST. POLYESTER ESPIRAL 4.2MM / </v>
      </c>
      <c r="C120">
        <v>1</v>
      </c>
      <c r="D120" s="11">
        <f>_xlfn.MINIFS(Indusmelec_Total[Prç Uni c/ Desc], Indusmelec_Total[Referência], A120)</f>
        <v>35.109479999999998</v>
      </c>
      <c r="E120" s="11">
        <f t="shared" si="1"/>
        <v>35.109479999999998</v>
      </c>
    </row>
    <row r="121" spans="1:5" hidden="1">
      <c r="A121" t="str">
        <v>020.AW49660</v>
      </c>
      <c r="B121" t="str">
        <f>_xlfn.XLOOKUP(A121,Indusmelec_Total[Referência],Indusmelec_Total[Designação], "")</f>
        <v xml:space="preserve">MALA C/ 2 ADAPT. + 6 BROCAS CRANEANAS 22 a 73MM </v>
      </c>
      <c r="C121">
        <v>3</v>
      </c>
      <c r="D121" s="11">
        <f>_xlfn.MINIFS(Indusmelec_Total[Prç Uni c/ Desc], Indusmelec_Total[Referência], A121)</f>
        <v>32</v>
      </c>
      <c r="E121" s="11">
        <f t="shared" si="1"/>
        <v>96</v>
      </c>
    </row>
    <row r="122" spans="1:5" hidden="1">
      <c r="A122" t="str">
        <v>020.DIPANFA25PT</v>
      </c>
      <c r="B122" t="str">
        <f>_xlfn.XLOOKUP(A122,Indusmelec_Total[Referência],Indusmelec_Total[Designação], "")</f>
        <v xml:space="preserve"> DIPANFA25PT - 25 TUBO ANELADO FLEXIVEL ABERTO </v>
      </c>
      <c r="C122">
        <v>50</v>
      </c>
      <c r="D122" s="11">
        <f>_xlfn.MINIFS(Indusmelec_Total[Prç Uni c/ Desc], Indusmelec_Total[Referência], A122)</f>
        <v>1.085</v>
      </c>
      <c r="E122" s="11">
        <f t="shared" si="1"/>
        <v>54.25</v>
      </c>
    </row>
    <row r="123" spans="1:5" hidden="1">
      <c r="A123" t="str">
        <v>020.DIPTPDC110C/GV</v>
      </c>
      <c r="B123" t="str">
        <f>_xlfn.XLOOKUP(A123,Indusmelec_Total[Referência],Indusmelec_Total[Designação], "")</f>
        <v xml:space="preserve">110 TUBO PAREDE DUPLA CORRUGADO C/GUIA VM </v>
      </c>
      <c r="C123">
        <v>200</v>
      </c>
      <c r="D123" s="11">
        <f>_xlfn.MINIFS(Indusmelec_Total[Prç Uni c/ Desc], Indusmelec_Total[Referência], A123)</f>
        <v>1.83</v>
      </c>
      <c r="E123" s="11">
        <f t="shared" si="1"/>
        <v>366</v>
      </c>
    </row>
    <row r="124" spans="1:5" hidden="1">
      <c r="A124" t="str">
        <v>020.DIPTPDC20C/GM</v>
      </c>
      <c r="B124" t="str">
        <f>_xlfn.XLOOKUP(A124,Indusmelec_Total[Referência],Indusmelec_Total[Designação], "")</f>
        <v xml:space="preserve">20 TUBO PAREDE DUPLA CORRUGADO C/GUIA VD </v>
      </c>
      <c r="C124">
        <v>100</v>
      </c>
      <c r="D124" s="11">
        <f>_xlfn.MINIFS(Indusmelec_Total[Prç Uni c/ Desc], Indusmelec_Total[Referência], A124)</f>
        <v>0.4</v>
      </c>
      <c r="E124" s="11">
        <f t="shared" si="1"/>
        <v>40</v>
      </c>
    </row>
    <row r="125" spans="1:5" hidden="1">
      <c r="A125" t="str">
        <v>020.DIPTPDC32C/GM</v>
      </c>
      <c r="B125" t="str">
        <f>_xlfn.XLOOKUP(A125,Indusmelec_Total[Referência],Indusmelec_Total[Designação], "")</f>
        <v xml:space="preserve">32 TUBO PAREDE DUPLA CORRUGADO C/GUIA VM  </v>
      </c>
      <c r="C125">
        <v>300</v>
      </c>
      <c r="D125" s="11">
        <f>_xlfn.MINIFS(Indusmelec_Total[Prç Uni c/ Desc], Indusmelec_Total[Referência], A125)</f>
        <v>0.44</v>
      </c>
      <c r="E125" s="11">
        <f t="shared" si="1"/>
        <v>132</v>
      </c>
    </row>
    <row r="126" spans="1:5" hidden="1">
      <c r="A126" t="str">
        <v>020.DIPTPDC32C/GVD</v>
      </c>
      <c r="B126" t="str">
        <f>_xlfn.XLOOKUP(A126,Indusmelec_Total[Referência],Indusmelec_Total[Designação], "")</f>
        <v xml:space="preserve">32 TUBO PAREDE DUPLA CORRUGADO C/GUIA VD  </v>
      </c>
      <c r="C126">
        <v>50</v>
      </c>
      <c r="D126" s="11">
        <f>_xlfn.MINIFS(Indusmelec_Total[Prç Uni c/ Desc], Indusmelec_Total[Referência], A126)</f>
        <v>0.42</v>
      </c>
      <c r="E126" s="11">
        <f t="shared" si="1"/>
        <v>21</v>
      </c>
    </row>
    <row r="127" spans="1:5" hidden="1">
      <c r="A127" t="str">
        <v>020.DIPTPDC50C/GM</v>
      </c>
      <c r="B127" t="str">
        <f>_xlfn.XLOOKUP(A127,Indusmelec_Total[Referência],Indusmelec_Total[Designação], "")</f>
        <v xml:space="preserve">50 TUBO PAREDE DUPLA CORRUGADO C/GUIA VM </v>
      </c>
      <c r="C127">
        <v>250</v>
      </c>
      <c r="D127" s="11">
        <f>_xlfn.MINIFS(Indusmelec_Total[Prç Uni c/ Desc], Indusmelec_Total[Referência], A127)</f>
        <v>0.66</v>
      </c>
      <c r="E127" s="11">
        <f t="shared" si="1"/>
        <v>165</v>
      </c>
    </row>
    <row r="128" spans="1:5" hidden="1">
      <c r="A128" t="str">
        <v>020.FIX582560</v>
      </c>
      <c r="B128" t="str">
        <f>_xlfn.XLOOKUP(A128,Indusmelec_Total[Referência],Indusmelec_Total[Designação], "")</f>
        <v xml:space="preserve"> PERFIL METALICO PERFURADO 27X18X1.25mm</v>
      </c>
      <c r="C128">
        <v>10</v>
      </c>
      <c r="D128" s="11">
        <f>_xlfn.MINIFS(Indusmelec_Total[Prç Uni c/ Desc], Indusmelec_Total[Referência], A128)</f>
        <v>2.3199999999999998</v>
      </c>
      <c r="E128" s="11">
        <f t="shared" si="1"/>
        <v>23.2</v>
      </c>
    </row>
    <row r="129" spans="1:5" hidden="1">
      <c r="A129" t="str">
        <v>020.FIX610669</v>
      </c>
      <c r="B129" t="str">
        <f>_xlfn.XLOOKUP(A129,Indusmelec_Total[Referência],Indusmelec_Total[Designação], "")</f>
        <v xml:space="preserve"> VARÃO ROSCADO ZINCADO 1000mm X M8</v>
      </c>
      <c r="C129">
        <v>50</v>
      </c>
      <c r="D129" s="11">
        <f>_xlfn.MINIFS(Indusmelec_Total[Prç Uni c/ Desc], Indusmelec_Total[Referência], A129)</f>
        <v>1</v>
      </c>
      <c r="E129" s="11">
        <f t="shared" si="1"/>
        <v>50</v>
      </c>
    </row>
    <row r="130" spans="1:5" hidden="1">
      <c r="A130" t="str">
        <v>020.FIX765079</v>
      </c>
      <c r="B130" t="str">
        <f>_xlfn.XLOOKUP(A130,Indusmelec_Total[Referência],Indusmelec_Total[Designação], "")</f>
        <v xml:space="preserve"> PORCA SEXTAVADA RECARTILHADA M8</v>
      </c>
      <c r="C130">
        <v>1</v>
      </c>
      <c r="D130" s="11">
        <f>_xlfn.MINIFS(Indusmelec_Total[Prç Uni c/ Desc], Indusmelec_Total[Referência], A130)</f>
        <v>5</v>
      </c>
      <c r="E130" s="11">
        <f t="shared" si="1"/>
        <v>5</v>
      </c>
    </row>
    <row r="131" spans="1:5" hidden="1">
      <c r="A131" t="str">
        <v>020.GERCTW35.0AZ</v>
      </c>
      <c r="B131" t="str">
        <f>_xlfn.XLOOKUP(A131,Indusmelec_Total[Referência],Indusmelec_Total[Designação], "")</f>
        <v xml:space="preserve"> 35/17.5 AZUL TUBO TERMORETRACTIL </v>
      </c>
      <c r="C131">
        <v>1</v>
      </c>
      <c r="D131" s="11">
        <f>_xlfn.MINIFS(Indusmelec_Total[Prç Uni c/ Desc], Indusmelec_Total[Referência], A131)</f>
        <v>2.1175000000000002</v>
      </c>
      <c r="E131" s="11">
        <f t="shared" ref="E131:E148" si="2">C131*D131</f>
        <v>2.1175000000000002</v>
      </c>
    </row>
    <row r="132" spans="1:5" hidden="1">
      <c r="A132" t="str">
        <v>020.GERCTW35.0CT</v>
      </c>
      <c r="B132" t="str">
        <f>_xlfn.XLOOKUP(A132,Indusmelec_Total[Referência],Indusmelec_Total[Designação], "")</f>
        <v xml:space="preserve"> 35/17.5 CASTANHO TUBO TERMORETRACTIL </v>
      </c>
      <c r="C132">
        <v>1</v>
      </c>
      <c r="D132" s="11">
        <f>_xlfn.MINIFS(Indusmelec_Total[Prç Uni c/ Desc], Indusmelec_Total[Referência], A132)</f>
        <v>2.1175000000000002</v>
      </c>
      <c r="E132" s="11">
        <f t="shared" si="2"/>
        <v>2.1175000000000002</v>
      </c>
    </row>
    <row r="133" spans="1:5" hidden="1">
      <c r="A133" t="str">
        <v>020.GERCTW35.0CZ</v>
      </c>
      <c r="B133" t="str">
        <f>_xlfn.XLOOKUP(A133,Indusmelec_Total[Referência],Indusmelec_Total[Designação], "")</f>
        <v xml:space="preserve"> 35/17.5 CINZENTO TUBO TERMORETRACTIL </v>
      </c>
      <c r="C133">
        <v>1</v>
      </c>
      <c r="D133" s="11">
        <f>_xlfn.MINIFS(Indusmelec_Total[Prç Uni c/ Desc], Indusmelec_Total[Referência], A133)</f>
        <v>2.1175000000000002</v>
      </c>
      <c r="E133" s="11">
        <f t="shared" si="2"/>
        <v>2.1175000000000002</v>
      </c>
    </row>
    <row r="134" spans="1:5" hidden="1">
      <c r="A134" t="str">
        <v>020.GERCTW35.0PT</v>
      </c>
      <c r="B134" t="str">
        <f>_xlfn.XLOOKUP(A134,Indusmelec_Total[Referência],Indusmelec_Total[Designação], "")</f>
        <v xml:space="preserve"> 35/17.5 PRETO TUBO TERMORETRACTIL </v>
      </c>
      <c r="C134">
        <v>1</v>
      </c>
      <c r="D134" s="11">
        <f>_xlfn.MINIFS(Indusmelec_Total[Prç Uni c/ Desc], Indusmelec_Total[Referência], A134)</f>
        <v>2.1175000000000002</v>
      </c>
      <c r="E134" s="11">
        <f t="shared" si="2"/>
        <v>2.1175000000000002</v>
      </c>
    </row>
    <row r="135" spans="1:5" hidden="1">
      <c r="A135" t="str">
        <v>020.GERCTW35.0V/A</v>
      </c>
      <c r="B135" t="str">
        <f>_xlfn.XLOOKUP(A135,Indusmelec_Total[Referência],Indusmelec_Total[Designação], "")</f>
        <v xml:space="preserve"> 35/17.5 VERDE/AMARELO TUBO TERMORETRACTIL </v>
      </c>
      <c r="C135">
        <v>1</v>
      </c>
      <c r="D135" s="11">
        <f>_xlfn.MINIFS(Indusmelec_Total[Prç Uni c/ Desc], Indusmelec_Total[Referência], A135)</f>
        <v>6.7815000000000003</v>
      </c>
      <c r="E135" s="11">
        <f t="shared" si="2"/>
        <v>6.7815000000000003</v>
      </c>
    </row>
    <row r="136" spans="1:5" hidden="1">
      <c r="A136" t="str">
        <v>020.GERCTW50.0CT</v>
      </c>
      <c r="B136" t="str">
        <f>_xlfn.XLOOKUP(A136,Indusmelec_Total[Referência],Indusmelec_Total[Designação], "")</f>
        <v xml:space="preserve"> 50/26 CASTANHO TUBO TERMORETRACTIL </v>
      </c>
      <c r="C136">
        <v>1</v>
      </c>
      <c r="D136" s="11">
        <f>_xlfn.MINIFS(Indusmelec_Total[Prç Uni c/ Desc], Indusmelec_Total[Referência], A136)</f>
        <v>2.8325000000000005</v>
      </c>
      <c r="E136" s="11">
        <f t="shared" si="2"/>
        <v>2.8325000000000005</v>
      </c>
    </row>
    <row r="137" spans="1:5" hidden="1">
      <c r="A137" t="str">
        <v>020.GERCTW50.0CZ</v>
      </c>
      <c r="B137" t="str">
        <f>_xlfn.XLOOKUP(A137,Indusmelec_Total[Referência],Indusmelec_Total[Designação], "")</f>
        <v xml:space="preserve"> 50/26 CINZENTO TUBO TERMORETRACTIL </v>
      </c>
      <c r="C137">
        <v>1</v>
      </c>
      <c r="D137" s="11">
        <f>_xlfn.MINIFS(Indusmelec_Total[Prç Uni c/ Desc], Indusmelec_Total[Referência], A137)</f>
        <v>2.8325000000000005</v>
      </c>
      <c r="E137" s="11">
        <f t="shared" si="2"/>
        <v>2.8325000000000005</v>
      </c>
    </row>
    <row r="138" spans="1:5" hidden="1">
      <c r="A138" t="str">
        <v>020.GERCTW50.0PT</v>
      </c>
      <c r="B138" t="str">
        <f>_xlfn.XLOOKUP(A138,Indusmelec_Total[Referência],Indusmelec_Total[Designação], "")</f>
        <v xml:space="preserve"> 50/26 PRETO TUBO TERMORETRACTIL </v>
      </c>
      <c r="C138">
        <v>1</v>
      </c>
      <c r="D138" s="11">
        <f>_xlfn.MINIFS(Indusmelec_Total[Prç Uni c/ Desc], Indusmelec_Total[Referência], A138)</f>
        <v>2.8325000000000005</v>
      </c>
      <c r="E138" s="11">
        <f t="shared" si="2"/>
        <v>2.8325000000000005</v>
      </c>
    </row>
    <row r="139" spans="1:5" hidden="1">
      <c r="A139" t="str">
        <v>020.GERCTW50.0V/A</v>
      </c>
      <c r="B139" t="str">
        <f>_xlfn.XLOOKUP(A139,Indusmelec_Total[Referência],Indusmelec_Total[Designação], "")</f>
        <v xml:space="preserve"> 50/26 VERDE/AMARELO TUBO TERMORETRACTIL </v>
      </c>
      <c r="C139">
        <v>1</v>
      </c>
      <c r="D139" s="11">
        <f>_xlfn.MINIFS(Indusmelec_Total[Prç Uni c/ Desc], Indusmelec_Total[Referência], A139)</f>
        <v>8.4094999999999995</v>
      </c>
      <c r="E139" s="11">
        <f t="shared" si="2"/>
        <v>8.4094999999999995</v>
      </c>
    </row>
    <row r="140" spans="1:5" hidden="1">
      <c r="A140" t="str">
        <v>020.GERGF0660C</v>
      </c>
      <c r="B140" t="str">
        <f>_xlfn.XLOOKUP(A140,Indusmelec_Total[Referência],Indusmelec_Total[Designação], "")</f>
        <v xml:space="preserve">GUIA FIBRA VIDRO 6.0MM / 60MTS C/CARRO </v>
      </c>
      <c r="C140">
        <v>1</v>
      </c>
      <c r="D140" s="11">
        <f>_xlfn.MINIFS(Indusmelec_Total[Prç Uni c/ Desc], Indusmelec_Total[Referência], A140)</f>
        <v>239.65</v>
      </c>
      <c r="E140" s="11">
        <f t="shared" si="2"/>
        <v>239.65</v>
      </c>
    </row>
    <row r="141" spans="1:5" hidden="1">
      <c r="A141" t="str">
        <v>020.PG36</v>
      </c>
      <c r="B141" t="str">
        <f>_xlfn.XLOOKUP(A141,Indusmelec_Total[Referência],Indusmelec_Total[Designação], "")</f>
        <v xml:space="preserve">PG36 TUBO ANEL. FLEX. ABERTO PT (INT. 35.5MM / EXT. </v>
      </c>
      <c r="C141">
        <v>150</v>
      </c>
      <c r="D141" s="11">
        <f>_xlfn.MINIFS(Indusmelec_Total[Prç Uni c/ Desc], Indusmelec_Total[Referência], A141)</f>
        <v>3.18425</v>
      </c>
      <c r="E141" s="11">
        <f t="shared" si="2"/>
        <v>477.63749999999999</v>
      </c>
    </row>
    <row r="142" spans="1:5" hidden="1">
      <c r="A142" t="str">
        <v>020.PG48PT</v>
      </c>
      <c r="B142" t="str">
        <f>_xlfn.XLOOKUP(A142,Indusmelec_Total[Referência],Indusmelec_Total[Designação], "")</f>
        <v xml:space="preserve">PG48 TUBO ANEL. FLEX. ABERTO PT (INT. 47MM / EXT. </v>
      </c>
      <c r="C142">
        <v>150</v>
      </c>
      <c r="D142" s="11">
        <f>_xlfn.MINIFS(Indusmelec_Total[Prç Uni c/ Desc], Indusmelec_Total[Referência], A142)</f>
        <v>4.5354999999999999</v>
      </c>
      <c r="E142" s="11">
        <f t="shared" si="2"/>
        <v>680.32499999999993</v>
      </c>
    </row>
    <row r="143" spans="1:5" hidden="1">
      <c r="A143" t="str">
        <v>020.TX60H954</v>
      </c>
      <c r="B143" t="str">
        <f>_xlfn.XLOOKUP(A143,Indusmelec_Total[Referência],Indusmelec_Total[Designação], "")</f>
        <v xml:space="preserve">CONJUNTO BROCAS CRANEANAS (19 A 76mm)  </v>
      </c>
      <c r="C143">
        <v>2</v>
      </c>
      <c r="D143" s="11">
        <f>_xlfn.MINIFS(Indusmelec_Total[Prç Uni c/ Desc], Indusmelec_Total[Referência], A143)</f>
        <v>13.71</v>
      </c>
      <c r="E143" s="11">
        <f t="shared" si="2"/>
        <v>27.42</v>
      </c>
    </row>
    <row r="144" spans="1:5" hidden="1">
      <c r="A144" t="str">
        <v>020.TX97X184</v>
      </c>
      <c r="B144" t="str">
        <f>_xlfn.XLOOKUP(A144,Indusmelec_Total[Referência],Indusmelec_Total[Designação], "")</f>
        <v xml:space="preserve">TX97X184 - CINTAS 5MT X 25MM - (PACK 2UN) </v>
      </c>
      <c r="C144">
        <v>1</v>
      </c>
      <c r="D144" s="11">
        <f>_xlfn.MINIFS(Indusmelec_Total[Prç Uni c/ Desc], Indusmelec_Total[Referência], A144)</f>
        <v>8.1999999999999993</v>
      </c>
      <c r="E144" s="11">
        <f t="shared" si="2"/>
        <v>8.1999999999999993</v>
      </c>
    </row>
    <row r="145" spans="1:5" hidden="1">
      <c r="A145" t="str">
        <v>020.TX97X186</v>
      </c>
      <c r="B145" t="str">
        <f>_xlfn.XLOOKUP(A145,Indusmelec_Total[Referência],Indusmelec_Total[Designação], "")</f>
        <v xml:space="preserve"> TX97X186 - CINTA C/ MECANISMO TENSIONADOR 4.50MT </v>
      </c>
      <c r="C145">
        <v>1</v>
      </c>
      <c r="D145" s="11">
        <f>_xlfn.MINIFS(Indusmelec_Total[Prç Uni c/ Desc], Indusmelec_Total[Referência], A145)</f>
        <v>26</v>
      </c>
      <c r="E145" s="11">
        <f t="shared" si="2"/>
        <v>26</v>
      </c>
    </row>
    <row r="146" spans="1:5" hidden="1">
      <c r="A146" t="str">
        <v>021.26621E-SHARK</v>
      </c>
      <c r="B146" t="str">
        <f>_xlfn.XLOOKUP(A146,Indusmelec_Total[Referência],Indusmelec_Total[Designação], "")</f>
        <v xml:space="preserve">SIB-CAPACETE C/VISEIRA SIBILLE/ FAMECA </v>
      </c>
      <c r="C146">
        <v>3</v>
      </c>
      <c r="D146" s="11">
        <f>_xlfn.MINIFS(Indusmelec_Total[Prç Uni c/ Desc], Indusmelec_Total[Referência], A146)</f>
        <v>44.7</v>
      </c>
      <c r="E146" s="11">
        <f t="shared" si="2"/>
        <v>134.10000000000002</v>
      </c>
    </row>
    <row r="147" spans="1:5" hidden="1">
      <c r="A147" t="str">
        <v>021.26621TT05</v>
      </c>
      <c r="B147" t="str">
        <f>_xlfn.XLOOKUP(A147,Indusmelec_Total[Referência],Indusmelec_Total[Designação], "")</f>
        <v xml:space="preserve">SIB-TAPETE ISOL 0.6X1M BTIR0310 </v>
      </c>
      <c r="C147">
        <v>3</v>
      </c>
      <c r="D147" s="11">
        <f>_xlfn.MINIFS(Indusmelec_Total[Prç Uni c/ Desc], Indusmelec_Total[Referência], A147)</f>
        <v>39.9</v>
      </c>
      <c r="E147" s="11">
        <f t="shared" si="2"/>
        <v>119.69999999999999</v>
      </c>
    </row>
    <row r="148" spans="1:5" hidden="1">
      <c r="A148" t="str">
        <v>022.0383400000</v>
      </c>
      <c r="B148" t="str">
        <f>_xlfn.XLOOKUP(A148,Indusmelec_Total[Referência],Indusmelec_Total[Designação], "")</f>
        <v xml:space="preserve">16007155 -- CALHA TS35X7.5 S/PERF.(METRO)  </v>
      </c>
      <c r="C148">
        <v>4</v>
      </c>
      <c r="D148" s="11">
        <f>_xlfn.MINIFS(Indusmelec_Total[Prç Uni c/ Desc], Indusmelec_Total[Referência], A148)</f>
        <v>1.68</v>
      </c>
      <c r="E148" s="11">
        <f t="shared" si="2"/>
        <v>6.72</v>
      </c>
    </row>
    <row r="149" spans="1:5" hidden="1">
      <c r="A149" t="str">
        <v>022.2580230000</v>
      </c>
      <c r="C149">
        <v>1</v>
      </c>
    </row>
    <row r="150" spans="1:5" hidden="1">
      <c r="A150" t="str">
        <v>022.9004420000</v>
      </c>
      <c r="C150">
        <v>2</v>
      </c>
    </row>
    <row r="151" spans="1:5" hidden="1">
      <c r="A151" t="str">
        <v>022.9018580000</v>
      </c>
      <c r="C151">
        <v>1</v>
      </c>
    </row>
    <row r="152" spans="1:5" hidden="1">
      <c r="A152" t="str">
        <v>022.9019310000</v>
      </c>
      <c r="C152">
        <v>0.5</v>
      </c>
    </row>
    <row r="153" spans="1:5" hidden="1">
      <c r="A153" t="str">
        <v>022.9019340000</v>
      </c>
      <c r="C153">
        <v>0</v>
      </c>
    </row>
    <row r="154" spans="1:5" hidden="1">
      <c r="A154" t="str">
        <v>022.9019430000</v>
      </c>
      <c r="C154">
        <v>1</v>
      </c>
    </row>
    <row r="155" spans="1:5" hidden="1">
      <c r="A155" t="str">
        <v>022.9021170000</v>
      </c>
      <c r="C155">
        <v>1</v>
      </c>
    </row>
    <row r="156" spans="1:5" hidden="1">
      <c r="A156" t="str">
        <v>022.9021240000</v>
      </c>
      <c r="C156">
        <v>1</v>
      </c>
    </row>
    <row r="157" spans="1:5" hidden="1">
      <c r="A157" t="str">
        <v>023.CM6146</v>
      </c>
      <c r="C157">
        <v>1</v>
      </c>
    </row>
    <row r="158" spans="1:5" hidden="1">
      <c r="A158" t="str">
        <v>025.ACAM45.020</v>
      </c>
      <c r="C158">
        <v>1</v>
      </c>
    </row>
    <row r="159" spans="1:5" hidden="1">
      <c r="A159" t="str">
        <v>027.22470</v>
      </c>
      <c r="C159">
        <v>300</v>
      </c>
    </row>
    <row r="160" spans="1:5" hidden="1">
      <c r="A160" t="str">
        <v>042.2007061</v>
      </c>
      <c r="C160">
        <v>1</v>
      </c>
    </row>
    <row r="161" spans="1:3" hidden="1">
      <c r="A161" t="str">
        <v>042.2022762</v>
      </c>
      <c r="C161">
        <v>50</v>
      </c>
    </row>
    <row r="162" spans="1:3" hidden="1">
      <c r="A162" t="str">
        <v>042.2022764</v>
      </c>
      <c r="C162">
        <v>30</v>
      </c>
    </row>
    <row r="163" spans="1:3" hidden="1">
      <c r="A163" t="str">
        <v>042.2022766</v>
      </c>
      <c r="C163">
        <v>200</v>
      </c>
    </row>
    <row r="164" spans="1:3" hidden="1">
      <c r="A164" t="str">
        <v>042.2022768</v>
      </c>
      <c r="C164">
        <v>150</v>
      </c>
    </row>
    <row r="165" spans="1:3" hidden="1">
      <c r="A165" t="str">
        <v>042.2022770</v>
      </c>
      <c r="C165">
        <v>150</v>
      </c>
    </row>
    <row r="166" spans="1:3" hidden="1">
      <c r="A166" t="str">
        <v>042.2022772</v>
      </c>
      <c r="C166">
        <v>50</v>
      </c>
    </row>
    <row r="167" spans="1:3" hidden="1">
      <c r="A167" t="str">
        <v>050.10ST410001</v>
      </c>
      <c r="C167">
        <v>1</v>
      </c>
    </row>
    <row r="168" spans="1:3" hidden="1">
      <c r="A168" t="str">
        <v>050.10ST410002</v>
      </c>
      <c r="C168">
        <v>1</v>
      </c>
    </row>
    <row r="169" spans="1:3" hidden="1">
      <c r="A169" t="str">
        <v>050.10ST410004</v>
      </c>
      <c r="C169">
        <v>1</v>
      </c>
    </row>
    <row r="170" spans="1:3" hidden="1">
      <c r="A170" t="str">
        <v>050.10ST410005</v>
      </c>
      <c r="C170">
        <v>1</v>
      </c>
    </row>
    <row r="171" spans="1:3" hidden="1">
      <c r="A171" t="str">
        <v>050.10ST410006</v>
      </c>
      <c r="C171">
        <v>1</v>
      </c>
    </row>
    <row r="172" spans="1:3" hidden="1">
      <c r="A172" t="str">
        <v>050.50TF400010</v>
      </c>
      <c r="C172">
        <v>1</v>
      </c>
    </row>
    <row r="173" spans="1:3" hidden="1">
      <c r="A173" t="str">
        <v>050.50TF400020</v>
      </c>
      <c r="C173">
        <v>1</v>
      </c>
    </row>
    <row r="174" spans="1:3" hidden="1">
      <c r="A174" t="str">
        <v>050.50TF420008</v>
      </c>
      <c r="C174">
        <v>1</v>
      </c>
    </row>
    <row r="175" spans="1:3" hidden="1">
      <c r="A175" t="str">
        <v>050.50TF510005</v>
      </c>
      <c r="C175">
        <v>36</v>
      </c>
    </row>
    <row r="176" spans="1:3" hidden="1">
      <c r="A176" t="str">
        <v>050.50TF510006</v>
      </c>
      <c r="C176">
        <v>21</v>
      </c>
    </row>
    <row r="177" spans="1:3" hidden="1">
      <c r="A177" t="str">
        <v>050.50TF510007</v>
      </c>
      <c r="C177">
        <v>45</v>
      </c>
    </row>
    <row r="178" spans="1:3" hidden="1">
      <c r="A178" t="str">
        <v>050.50TF510010</v>
      </c>
      <c r="C178">
        <v>21</v>
      </c>
    </row>
    <row r="179" spans="1:3" hidden="1">
      <c r="A179" t="str">
        <v>050.50TF520005</v>
      </c>
      <c r="C179">
        <v>9</v>
      </c>
    </row>
    <row r="180" spans="1:3" hidden="1">
      <c r="A180" t="str">
        <v>050.50TK110024</v>
      </c>
      <c r="C180">
        <v>1</v>
      </c>
    </row>
    <row r="181" spans="1:3" hidden="1">
      <c r="A181" t="str">
        <v>050.50TK260068</v>
      </c>
      <c r="C181">
        <v>4</v>
      </c>
    </row>
    <row r="182" spans="1:3" hidden="1">
      <c r="A182" t="str">
        <v>050.C2AU120</v>
      </c>
      <c r="C182">
        <v>21</v>
      </c>
    </row>
    <row r="183" spans="1:3" hidden="1">
      <c r="A183" t="str">
        <v>050.K507</v>
      </c>
      <c r="C183">
        <v>4</v>
      </c>
    </row>
    <row r="184" spans="1:3" hidden="1">
      <c r="A184" t="str">
        <v>050.L12010</v>
      </c>
      <c r="C184">
        <v>20</v>
      </c>
    </row>
    <row r="185" spans="1:3" hidden="1">
      <c r="A185" t="str">
        <v>050.L1208</v>
      </c>
      <c r="C185">
        <v>50</v>
      </c>
    </row>
    <row r="186" spans="1:3" hidden="1">
      <c r="A186" t="str">
        <v>050.L168</v>
      </c>
      <c r="C186">
        <v>20</v>
      </c>
    </row>
    <row r="187" spans="1:3" hidden="1">
      <c r="A187" t="str">
        <v>050.L18510</v>
      </c>
      <c r="C187">
        <v>10</v>
      </c>
    </row>
    <row r="188" spans="1:3" hidden="1">
      <c r="A188" t="str">
        <v>050.L2510</v>
      </c>
      <c r="C188">
        <v>50</v>
      </c>
    </row>
    <row r="189" spans="1:3" hidden="1">
      <c r="A189" t="str">
        <v>050.L3510</v>
      </c>
      <c r="C189">
        <v>50</v>
      </c>
    </row>
    <row r="190" spans="1:3" hidden="1">
      <c r="A190" t="str">
        <v>050.L358</v>
      </c>
      <c r="C190">
        <v>30</v>
      </c>
    </row>
    <row r="191" spans="1:3" hidden="1">
      <c r="A191" t="str">
        <v>050.L508</v>
      </c>
      <c r="C191">
        <v>20</v>
      </c>
    </row>
    <row r="192" spans="1:3" hidden="1">
      <c r="A192" t="str">
        <v>050.ZAE5072</v>
      </c>
      <c r="C192">
        <v>4</v>
      </c>
    </row>
    <row r="193" spans="1:3" hidden="1">
      <c r="A193" t="str">
        <v>070.BARRASACRILICO</v>
      </c>
      <c r="C193">
        <v>1</v>
      </c>
    </row>
    <row r="194" spans="1:3" hidden="1">
      <c r="A194" t="str">
        <v>076.XBPT127PT1</v>
      </c>
      <c r="C194">
        <v>3</v>
      </c>
    </row>
    <row r="195" spans="1:3" hidden="1">
      <c r="A195" t="str">
        <v>076.XBPT138.1AZ</v>
      </c>
      <c r="C195">
        <v>1</v>
      </c>
    </row>
    <row r="196" spans="1:3" hidden="1">
      <c r="A196" t="str">
        <v>076.XBPT138.1CA</v>
      </c>
      <c r="C196">
        <v>1</v>
      </c>
    </row>
    <row r="197" spans="1:3" hidden="1">
      <c r="A197" t="str">
        <v>076.XBPT138.1CZ</v>
      </c>
      <c r="C197">
        <v>1</v>
      </c>
    </row>
    <row r="198" spans="1:3" hidden="1">
      <c r="A198" t="str">
        <v>076.XBPT138.1PT</v>
      </c>
      <c r="C198">
        <v>1</v>
      </c>
    </row>
    <row r="199" spans="1:3" hidden="1">
      <c r="A199" t="str">
        <v>076.XBPT138.1VDAM</v>
      </c>
      <c r="C199">
        <v>1</v>
      </c>
    </row>
    <row r="200" spans="1:3" hidden="1">
      <c r="A200" t="str">
        <v>076.XBPT190CZ1</v>
      </c>
      <c r="C200">
        <v>6</v>
      </c>
    </row>
    <row r="201" spans="1:3" hidden="1">
      <c r="A201" t="str">
        <v>076.XBPT254AZ1</v>
      </c>
      <c r="C201">
        <v>3</v>
      </c>
    </row>
    <row r="202" spans="1:3" hidden="1">
      <c r="A202" t="str">
        <v>076.XBPT254CT1</v>
      </c>
      <c r="C202">
        <v>3</v>
      </c>
    </row>
    <row r="203" spans="1:3" hidden="1">
      <c r="A203" t="str">
        <v>076.XBPT254CZ1</v>
      </c>
      <c r="C203">
        <v>3</v>
      </c>
    </row>
    <row r="204" spans="1:3" hidden="1">
      <c r="A204" t="str">
        <v>076.XBPT320AV1</v>
      </c>
      <c r="C204">
        <v>4</v>
      </c>
    </row>
    <row r="205" spans="1:3" hidden="1">
      <c r="A205" t="str">
        <v>076.XBPT320AZ1</v>
      </c>
      <c r="C205">
        <v>3</v>
      </c>
    </row>
    <row r="206" spans="1:3" hidden="1">
      <c r="A206" t="str">
        <v>076.XBPT320CT1</v>
      </c>
      <c r="C206">
        <v>7</v>
      </c>
    </row>
    <row r="207" spans="1:3" hidden="1">
      <c r="A207" t="str">
        <v>076.XBPT320CZ1</v>
      </c>
      <c r="C207">
        <v>7</v>
      </c>
    </row>
    <row r="208" spans="1:3" hidden="1">
      <c r="A208" t="str">
        <v>076.XBPT320PT1</v>
      </c>
      <c r="C208">
        <v>6</v>
      </c>
    </row>
    <row r="209" spans="1:3" hidden="1">
      <c r="A209" t="str">
        <v>086.BA7A 40040 CZ</v>
      </c>
      <c r="C209">
        <v>2</v>
      </c>
    </row>
    <row r="210" spans="1:3" hidden="1">
      <c r="A210" t="str">
        <v>086.LF302G</v>
      </c>
      <c r="C210">
        <v>75</v>
      </c>
    </row>
    <row r="211" spans="1:3" hidden="1">
      <c r="A211" t="str">
        <v>086.LSN504</v>
      </c>
      <c r="C211">
        <v>24</v>
      </c>
    </row>
    <row r="212" spans="1:3" hidden="1">
      <c r="A212" t="str">
        <v>086.VE118F</v>
      </c>
      <c r="C212">
        <v>1</v>
      </c>
    </row>
    <row r="213" spans="1:3" hidden="1">
      <c r="A213" t="str">
        <v>120.RB1152</v>
      </c>
      <c r="C213">
        <v>1</v>
      </c>
    </row>
    <row r="214" spans="1:3">
      <c r="A214" t="str">
        <v>120.UNITUT208B</v>
      </c>
      <c r="C214">
        <v>2</v>
      </c>
    </row>
    <row r="215" spans="1:3">
      <c r="A215" t="str">
        <v>300.100</v>
      </c>
      <c r="C215">
        <v>2</v>
      </c>
    </row>
    <row r="216" spans="1:3">
      <c r="A216" t="str">
        <v>58.1SDA066325R1</v>
      </c>
      <c r="C216">
        <v>1</v>
      </c>
    </row>
    <row r="217" spans="1:3">
      <c r="A217" t="str">
        <v>58.2CSG225975R1101</v>
      </c>
      <c r="C217">
        <v>3</v>
      </c>
    </row>
    <row r="218" spans="1:3">
      <c r="A218" t="str">
        <v>58.2CSS245101R0164</v>
      </c>
      <c r="C218">
        <v>1</v>
      </c>
    </row>
  </sheetData>
  <autoFilter ref="A1:E213" xr:uid="{BED44026-2AEA-49F8-9D78-FE222F92837A}">
    <filterColumn colId="1">
      <filters>
        <filter val="CALHA 110x50 BRANCA"/>
        <filter val="CALHA 25x30 BRANCA"/>
        <filter val="CALHA ADESIVA 40X16 BRANCA"/>
      </filters>
    </filterColumn>
  </autoFilter>
  <sortState xmlns:xlrd2="http://schemas.microsoft.com/office/spreadsheetml/2017/richdata2" ref="A2:D107">
    <sortCondition ref="B2:B107"/>
  </sortState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3F9DE-B9E9-4C3B-8713-E9AD7472AE95}">
  <dimension ref="A1:F129"/>
  <sheetViews>
    <sheetView tabSelected="1" workbookViewId="0">
      <selection activeCell="C37" sqref="C37"/>
    </sheetView>
  </sheetViews>
  <sheetFormatPr defaultRowHeight="15"/>
  <cols>
    <col min="1" max="1" width="58" bestFit="1" customWidth="1"/>
    <col min="2" max="2" width="20" bestFit="1" customWidth="1"/>
    <col min="3" max="3" width="41.5703125" customWidth="1"/>
    <col min="4" max="4" width="16.140625" bestFit="1" customWidth="1"/>
    <col min="5" max="5" width="11.42578125" bestFit="1" customWidth="1"/>
    <col min="6" max="6" width="14.42578125" customWidth="1"/>
    <col min="7" max="7" width="11.140625" bestFit="1" customWidth="1"/>
    <col min="8" max="8" width="35.7109375" bestFit="1" customWidth="1"/>
    <col min="9" max="9" width="13.28515625" bestFit="1" customWidth="1"/>
    <col min="10" max="10" width="11.5703125" bestFit="1" customWidth="1"/>
    <col min="11" max="13" width="11.140625" bestFit="1" customWidth="1"/>
    <col min="14" max="15" width="12.140625" bestFit="1" customWidth="1"/>
    <col min="16" max="16" width="15.5703125" bestFit="1" customWidth="1"/>
    <col min="17" max="17" width="12.140625" bestFit="1" customWidth="1"/>
  </cols>
  <sheetData>
    <row r="1" spans="1:6">
      <c r="A1" t="s">
        <v>881</v>
      </c>
      <c r="B1" t="s">
        <v>1</v>
      </c>
      <c r="C1" t="s">
        <v>2</v>
      </c>
      <c r="D1" t="s">
        <v>882</v>
      </c>
      <c r="E1" t="s">
        <v>611</v>
      </c>
      <c r="F1" t="s">
        <v>883</v>
      </c>
    </row>
    <row r="2" spans="1:6">
      <c r="A2" t="s">
        <v>884</v>
      </c>
      <c r="B2" t="s">
        <v>885</v>
      </c>
      <c r="C2" t="s">
        <v>886</v>
      </c>
      <c r="D2" s="7">
        <v>0.58099999999999996</v>
      </c>
      <c r="E2" s="6">
        <v>45961</v>
      </c>
      <c r="F2">
        <f>JMM[[#This Row],[Preço Unitário]]*1.24</f>
        <v>0.72043999999999997</v>
      </c>
    </row>
    <row r="3" spans="1:6" hidden="1">
      <c r="A3" t="s">
        <v>884</v>
      </c>
      <c r="B3" t="s">
        <v>887</v>
      </c>
      <c r="C3" t="s">
        <v>888</v>
      </c>
      <c r="D3" s="7">
        <v>7.3710000000000004</v>
      </c>
      <c r="E3" s="6">
        <v>45961</v>
      </c>
      <c r="F3">
        <f>JMM[[#This Row],[Preço Unitário]]*1.24</f>
        <v>9.1400400000000008</v>
      </c>
    </row>
    <row r="4" spans="1:6" hidden="1">
      <c r="A4" t="s">
        <v>884</v>
      </c>
      <c r="B4" t="s">
        <v>889</v>
      </c>
      <c r="C4" t="s">
        <v>890</v>
      </c>
      <c r="D4" s="7">
        <v>90</v>
      </c>
      <c r="E4" s="6">
        <v>45961</v>
      </c>
      <c r="F4">
        <f>JMM[[#This Row],[Preço Unitário]]*1.24</f>
        <v>111.6</v>
      </c>
    </row>
    <row r="5" spans="1:6" hidden="1">
      <c r="A5" t="s">
        <v>884</v>
      </c>
      <c r="B5" t="s">
        <v>891</v>
      </c>
      <c r="C5" t="s">
        <v>892</v>
      </c>
      <c r="D5" s="7">
        <v>14.315</v>
      </c>
      <c r="E5" s="6">
        <v>45961</v>
      </c>
      <c r="F5">
        <f>JMM[[#This Row],[Preço Unitário]]*1.24</f>
        <v>17.750599999999999</v>
      </c>
    </row>
    <row r="6" spans="1:6">
      <c r="A6" t="s">
        <v>893</v>
      </c>
      <c r="B6" t="s">
        <v>894</v>
      </c>
      <c r="C6" t="s">
        <v>895</v>
      </c>
      <c r="D6" s="7">
        <v>0.56469999999999998</v>
      </c>
      <c r="E6" s="6">
        <v>45869</v>
      </c>
      <c r="F6">
        <f>JMM[[#This Row],[Preço Unitário]]*1.24</f>
        <v>0.70022799999999996</v>
      </c>
    </row>
    <row r="7" spans="1:6">
      <c r="A7" t="s">
        <v>893</v>
      </c>
      <c r="B7" t="s">
        <v>885</v>
      </c>
      <c r="C7" t="s">
        <v>886</v>
      </c>
      <c r="D7" s="7">
        <v>0.56069999999999998</v>
      </c>
      <c r="E7" s="6">
        <v>45869</v>
      </c>
      <c r="F7">
        <f>JMM[[#This Row],[Preço Unitário]]*1.24</f>
        <v>0.695268</v>
      </c>
    </row>
    <row r="8" spans="1:6" hidden="1">
      <c r="A8" t="s">
        <v>893</v>
      </c>
      <c r="B8" t="s">
        <v>896</v>
      </c>
      <c r="C8" t="s">
        <v>897</v>
      </c>
      <c r="D8" s="7">
        <v>5.0507</v>
      </c>
      <c r="E8" s="6">
        <v>45869</v>
      </c>
      <c r="F8">
        <f>JMM[[#This Row],[Preço Unitário]]*1.24</f>
        <v>6.2628680000000001</v>
      </c>
    </row>
    <row r="9" spans="1:6" hidden="1">
      <c r="A9" t="s">
        <v>893</v>
      </c>
      <c r="B9" t="s">
        <v>898</v>
      </c>
      <c r="C9" t="s">
        <v>899</v>
      </c>
      <c r="D9" s="7">
        <v>90</v>
      </c>
      <c r="E9" s="6">
        <v>45869</v>
      </c>
      <c r="F9">
        <f>JMM[[#This Row],[Preço Unitário]]*1.24</f>
        <v>111.6</v>
      </c>
    </row>
    <row r="10" spans="1:6" hidden="1">
      <c r="A10" t="s">
        <v>900</v>
      </c>
      <c r="B10" t="s">
        <v>901</v>
      </c>
      <c r="C10" t="s">
        <v>902</v>
      </c>
      <c r="D10" s="7">
        <v>3.7808999999999999</v>
      </c>
      <c r="E10" s="6">
        <v>45918</v>
      </c>
      <c r="F10">
        <f>JMM[[#This Row],[Preço Unitário]]*1.24</f>
        <v>4.6883159999999995</v>
      </c>
    </row>
    <row r="11" spans="1:6" hidden="1">
      <c r="A11" t="s">
        <v>900</v>
      </c>
      <c r="B11" t="s">
        <v>903</v>
      </c>
      <c r="C11" t="s">
        <v>904</v>
      </c>
      <c r="D11" s="7">
        <v>135</v>
      </c>
      <c r="E11" s="6">
        <v>45918</v>
      </c>
      <c r="F11">
        <f>JMM[[#This Row],[Preço Unitário]]*1.24</f>
        <v>167.4</v>
      </c>
    </row>
    <row r="12" spans="1:6" hidden="1">
      <c r="A12" t="s">
        <v>900</v>
      </c>
      <c r="B12" t="s">
        <v>905</v>
      </c>
      <c r="C12" t="s">
        <v>906</v>
      </c>
      <c r="D12" s="7">
        <v>2.0379</v>
      </c>
      <c r="E12" s="6">
        <v>45918</v>
      </c>
      <c r="F12">
        <f>JMM[[#This Row],[Preço Unitário]]*1.24</f>
        <v>2.526996</v>
      </c>
    </row>
    <row r="13" spans="1:6" hidden="1">
      <c r="A13" t="s">
        <v>900</v>
      </c>
      <c r="B13" t="s">
        <v>907</v>
      </c>
      <c r="C13" t="s">
        <v>908</v>
      </c>
      <c r="D13" s="7">
        <v>90</v>
      </c>
      <c r="E13" s="6">
        <v>45918</v>
      </c>
      <c r="F13">
        <f>JMM[[#This Row],[Preço Unitário]]*1.24</f>
        <v>111.6</v>
      </c>
    </row>
    <row r="14" spans="1:6" hidden="1">
      <c r="A14" t="s">
        <v>900</v>
      </c>
      <c r="B14" t="s">
        <v>909</v>
      </c>
      <c r="C14" t="s">
        <v>910</v>
      </c>
      <c r="D14" s="7">
        <v>1.4589000000000001</v>
      </c>
      <c r="E14" s="6">
        <v>45918</v>
      </c>
      <c r="F14">
        <f>JMM[[#This Row],[Preço Unitário]]*1.24</f>
        <v>1.8090360000000001</v>
      </c>
    </row>
    <row r="15" spans="1:6" hidden="1">
      <c r="A15" t="s">
        <v>900</v>
      </c>
      <c r="B15" t="s">
        <v>911</v>
      </c>
      <c r="C15" t="s">
        <v>912</v>
      </c>
      <c r="D15" s="7">
        <v>1.5308999999999999</v>
      </c>
      <c r="E15" s="6">
        <v>45918</v>
      </c>
      <c r="F15">
        <f>JMM[[#This Row],[Preço Unitário]]*1.24</f>
        <v>1.8983159999999999</v>
      </c>
    </row>
    <row r="16" spans="1:6" hidden="1">
      <c r="A16" t="s">
        <v>913</v>
      </c>
      <c r="B16" t="s">
        <v>914</v>
      </c>
      <c r="C16" t="s">
        <v>915</v>
      </c>
      <c r="D16" s="7">
        <v>1.2303999999999999</v>
      </c>
      <c r="E16" s="6">
        <v>45777</v>
      </c>
      <c r="F16">
        <f>JMM[[#This Row],[Preço Unitário]]*1.24</f>
        <v>1.5256959999999999</v>
      </c>
    </row>
    <row r="17" spans="1:6" hidden="1">
      <c r="A17" t="s">
        <v>916</v>
      </c>
      <c r="B17" t="s">
        <v>917</v>
      </c>
      <c r="C17" t="s">
        <v>918</v>
      </c>
      <c r="D17" s="7">
        <v>13.990600000000001</v>
      </c>
      <c r="E17" s="6">
        <v>45838</v>
      </c>
      <c r="F17">
        <f>JMM[[#This Row],[Preço Unitário]]*1.24</f>
        <v>17.348344000000001</v>
      </c>
    </row>
    <row r="18" spans="1:6" hidden="1">
      <c r="A18" t="s">
        <v>916</v>
      </c>
      <c r="B18" t="s">
        <v>919</v>
      </c>
      <c r="C18" t="s">
        <v>920</v>
      </c>
      <c r="D18" s="7">
        <v>90</v>
      </c>
      <c r="E18" s="6">
        <v>45838</v>
      </c>
      <c r="F18">
        <f>JMM[[#This Row],[Preço Unitário]]*1.24</f>
        <v>111.6</v>
      </c>
    </row>
    <row r="19" spans="1:6">
      <c r="A19" t="s">
        <v>921</v>
      </c>
      <c r="B19" t="s">
        <v>894</v>
      </c>
      <c r="C19" t="s">
        <v>895</v>
      </c>
      <c r="D19" s="7">
        <v>0.55020000000000002</v>
      </c>
      <c r="E19" s="6">
        <v>45716</v>
      </c>
      <c r="F19">
        <f>JMM[[#This Row],[Preço Unitário]]*1.24</f>
        <v>0.68224800000000008</v>
      </c>
    </row>
    <row r="20" spans="1:6">
      <c r="A20" t="s">
        <v>921</v>
      </c>
      <c r="B20" t="s">
        <v>894</v>
      </c>
      <c r="C20" t="s">
        <v>895</v>
      </c>
      <c r="D20" s="7">
        <v>0.55020000000000002</v>
      </c>
      <c r="E20" s="6">
        <v>45746</v>
      </c>
      <c r="F20">
        <f>JMM[[#This Row],[Preço Unitário]]*1.24</f>
        <v>0.68224800000000008</v>
      </c>
    </row>
    <row r="21" spans="1:6" hidden="1">
      <c r="A21" t="s">
        <v>921</v>
      </c>
      <c r="B21" t="s">
        <v>922</v>
      </c>
      <c r="C21" t="s">
        <v>923</v>
      </c>
      <c r="D21" s="7">
        <v>2.4401999999999999</v>
      </c>
      <c r="E21" s="6">
        <v>45716</v>
      </c>
      <c r="F21">
        <f>JMM[[#This Row],[Preço Unitário]]*1.24</f>
        <v>3.0258479999999999</v>
      </c>
    </row>
    <row r="22" spans="1:6" hidden="1">
      <c r="A22" t="s">
        <v>921</v>
      </c>
      <c r="B22" t="s">
        <v>922</v>
      </c>
      <c r="C22" t="s">
        <v>923</v>
      </c>
      <c r="D22" s="7">
        <v>2.4401999999999999</v>
      </c>
      <c r="E22" s="6">
        <v>45746</v>
      </c>
      <c r="F22">
        <f>JMM[[#This Row],[Preço Unitário]]*1.24</f>
        <v>3.0258479999999999</v>
      </c>
    </row>
    <row r="23" spans="1:6" hidden="1">
      <c r="A23" t="s">
        <v>924</v>
      </c>
      <c r="B23" t="s">
        <v>922</v>
      </c>
      <c r="C23" t="s">
        <v>923</v>
      </c>
      <c r="D23" s="7">
        <v>2.4136000000000002</v>
      </c>
      <c r="E23" s="6">
        <v>46203</v>
      </c>
      <c r="F23">
        <f>JMM[[#This Row],[Preço Unitário]]*1.24</f>
        <v>2.9928640000000004</v>
      </c>
    </row>
    <row r="24" spans="1:6">
      <c r="A24" t="s">
        <v>924</v>
      </c>
      <c r="B24" t="s">
        <v>885</v>
      </c>
      <c r="C24" t="s">
        <v>886</v>
      </c>
      <c r="D24" s="7">
        <v>0.69059999999999999</v>
      </c>
      <c r="E24" s="6">
        <v>46203</v>
      </c>
      <c r="F24">
        <f>JMM[[#This Row],[Preço Unitário]]*1.24</f>
        <v>0.85634399999999999</v>
      </c>
    </row>
    <row r="25" spans="1:6" hidden="1">
      <c r="A25" t="s">
        <v>925</v>
      </c>
      <c r="B25" t="s">
        <v>926</v>
      </c>
      <c r="C25" t="s">
        <v>927</v>
      </c>
      <c r="D25" s="7">
        <v>0.5927</v>
      </c>
      <c r="E25" s="6">
        <v>45496</v>
      </c>
      <c r="F25">
        <f>JMM[[#This Row],[Preço Unitário]]*1.24</f>
        <v>0.73494800000000005</v>
      </c>
    </row>
    <row r="26" spans="1:6" hidden="1">
      <c r="A26" t="s">
        <v>925</v>
      </c>
      <c r="B26" t="s">
        <v>928</v>
      </c>
      <c r="C26" t="s">
        <v>929</v>
      </c>
      <c r="D26" s="7">
        <v>135</v>
      </c>
      <c r="E26" s="6">
        <v>45496</v>
      </c>
      <c r="F26">
        <f>JMM[[#This Row],[Preço Unitário]]*1.24</f>
        <v>167.4</v>
      </c>
    </row>
    <row r="27" spans="1:6">
      <c r="A27" t="s">
        <v>930</v>
      </c>
      <c r="B27" t="s">
        <v>885</v>
      </c>
      <c r="C27" t="s">
        <v>931</v>
      </c>
      <c r="D27" s="7">
        <v>0.56020000000000003</v>
      </c>
      <c r="E27" s="6">
        <v>45700</v>
      </c>
      <c r="F27">
        <f>JMM[[#This Row],[Preço Unitário]]*1.24</f>
        <v>0.69464800000000004</v>
      </c>
    </row>
    <row r="28" spans="1:6" hidden="1">
      <c r="A28" t="s">
        <v>932</v>
      </c>
      <c r="B28" t="s">
        <v>933</v>
      </c>
      <c r="C28" t="s">
        <v>934</v>
      </c>
      <c r="D28" s="7">
        <v>1.3900999999999999</v>
      </c>
      <c r="E28" s="6">
        <v>45688</v>
      </c>
      <c r="F28">
        <f>JMM[[#This Row],[Preço Unitário]]*1.24</f>
        <v>1.7237239999999998</v>
      </c>
    </row>
    <row r="29" spans="1:6" hidden="1">
      <c r="A29" t="s">
        <v>932</v>
      </c>
      <c r="B29" t="s">
        <v>935</v>
      </c>
      <c r="C29" t="s">
        <v>936</v>
      </c>
      <c r="D29" s="7">
        <v>90</v>
      </c>
      <c r="E29" s="6">
        <v>45688</v>
      </c>
      <c r="F29">
        <f>JMM[[#This Row],[Preço Unitário]]*1.24</f>
        <v>111.6</v>
      </c>
    </row>
    <row r="30" spans="1:6" hidden="1">
      <c r="A30" t="s">
        <v>932</v>
      </c>
      <c r="B30" t="s">
        <v>937</v>
      </c>
      <c r="C30" t="s">
        <v>938</v>
      </c>
      <c r="D30" s="7">
        <v>2.2000999999999999</v>
      </c>
      <c r="E30" s="6">
        <v>45688</v>
      </c>
      <c r="F30">
        <f>JMM[[#This Row],[Preço Unitário]]*1.24</f>
        <v>2.7281239999999998</v>
      </c>
    </row>
    <row r="31" spans="1:6" hidden="1">
      <c r="A31" t="s">
        <v>932</v>
      </c>
      <c r="B31" t="s">
        <v>939</v>
      </c>
      <c r="C31" t="s">
        <v>940</v>
      </c>
      <c r="D31" s="7">
        <v>90</v>
      </c>
      <c r="E31" s="6">
        <v>45688</v>
      </c>
      <c r="F31">
        <f>JMM[[#This Row],[Preço Unitário]]*1.24</f>
        <v>111.6</v>
      </c>
    </row>
    <row r="32" spans="1:6" hidden="1">
      <c r="A32" t="s">
        <v>932</v>
      </c>
      <c r="B32" t="s">
        <v>941</v>
      </c>
      <c r="C32" t="s">
        <v>942</v>
      </c>
      <c r="D32" s="7">
        <v>14.4901</v>
      </c>
      <c r="E32" s="6">
        <v>45688</v>
      </c>
      <c r="F32">
        <f>JMM[[#This Row],[Preço Unitário]]*1.24</f>
        <v>17.967724</v>
      </c>
    </row>
    <row r="33" spans="1:6" hidden="1">
      <c r="A33" t="s">
        <v>932</v>
      </c>
      <c r="B33" t="s">
        <v>943</v>
      </c>
      <c r="C33" t="s">
        <v>944</v>
      </c>
      <c r="D33" s="7">
        <v>3.5188999999999999</v>
      </c>
      <c r="E33" s="6">
        <v>45688</v>
      </c>
      <c r="F33">
        <f>JMM[[#This Row],[Preço Unitário]]*1.24</f>
        <v>4.3634360000000001</v>
      </c>
    </row>
    <row r="34" spans="1:6" hidden="1">
      <c r="A34" t="s">
        <v>945</v>
      </c>
      <c r="B34" t="s">
        <v>926</v>
      </c>
      <c r="C34" t="s">
        <v>927</v>
      </c>
      <c r="D34" s="7">
        <v>0.73099999999999998</v>
      </c>
      <c r="E34" s="6">
        <v>45576</v>
      </c>
      <c r="F34">
        <f>JMM[[#This Row],[Preço Unitário]]*1.24</f>
        <v>0.90644000000000002</v>
      </c>
    </row>
    <row r="35" spans="1:6" hidden="1">
      <c r="A35" t="s">
        <v>945</v>
      </c>
      <c r="B35" t="s">
        <v>946</v>
      </c>
      <c r="C35" t="s">
        <v>947</v>
      </c>
      <c r="D35" s="7">
        <v>90</v>
      </c>
      <c r="E35" s="6">
        <v>45576</v>
      </c>
      <c r="F35">
        <f>JMM[[#This Row],[Preço Unitário]]*1.24</f>
        <v>111.6</v>
      </c>
    </row>
    <row r="36" spans="1:6" hidden="1">
      <c r="A36" t="s">
        <v>948</v>
      </c>
      <c r="B36" t="s">
        <v>949</v>
      </c>
      <c r="C36" t="s">
        <v>950</v>
      </c>
      <c r="D36" s="7">
        <v>2.5998000000000001</v>
      </c>
      <c r="E36" s="6">
        <v>45539</v>
      </c>
      <c r="F36">
        <f>JMM[[#This Row],[Preço Unitário]]*1.24</f>
        <v>3.2237520000000002</v>
      </c>
    </row>
    <row r="37" spans="1:6">
      <c r="A37" t="s">
        <v>951</v>
      </c>
      <c r="B37" t="s">
        <v>885</v>
      </c>
      <c r="C37" t="s">
        <v>886</v>
      </c>
      <c r="D37" s="7">
        <v>0.54110000000000003</v>
      </c>
      <c r="E37" s="6">
        <v>45611</v>
      </c>
      <c r="F37">
        <f>JMM[[#This Row],[Preço Unitário]]*1.24</f>
        <v>0.670964</v>
      </c>
    </row>
    <row r="38" spans="1:6" hidden="1">
      <c r="A38" t="s">
        <v>952</v>
      </c>
      <c r="B38" t="s">
        <v>896</v>
      </c>
      <c r="C38" t="s">
        <v>953</v>
      </c>
      <c r="D38" s="7">
        <v>5.0212000000000003</v>
      </c>
      <c r="E38" s="6">
        <v>45629</v>
      </c>
      <c r="F38">
        <f>JMM[[#This Row],[Preço Unitário]]*1.24</f>
        <v>6.2262880000000003</v>
      </c>
    </row>
    <row r="39" spans="1:6" hidden="1">
      <c r="A39" t="s">
        <v>952</v>
      </c>
      <c r="B39" t="s">
        <v>954</v>
      </c>
      <c r="C39" t="s">
        <v>955</v>
      </c>
      <c r="D39" s="7">
        <v>7.9912000000000001</v>
      </c>
      <c r="E39" s="6">
        <v>45629</v>
      </c>
      <c r="F39">
        <f>JMM[[#This Row],[Preço Unitário]]*1.24</f>
        <v>9.9090880000000006</v>
      </c>
    </row>
    <row r="40" spans="1:6" hidden="1">
      <c r="A40" t="s">
        <v>952</v>
      </c>
      <c r="B40" t="s">
        <v>956</v>
      </c>
      <c r="C40" t="s">
        <v>957</v>
      </c>
      <c r="D40" s="7">
        <v>12.6312</v>
      </c>
      <c r="E40" s="6">
        <v>45629</v>
      </c>
      <c r="F40">
        <f>JMM[[#This Row],[Preço Unitário]]*1.24</f>
        <v>15.662687999999999</v>
      </c>
    </row>
    <row r="41" spans="1:6" hidden="1">
      <c r="A41" t="s">
        <v>952</v>
      </c>
      <c r="B41" t="s">
        <v>958</v>
      </c>
      <c r="C41" t="s">
        <v>959</v>
      </c>
      <c r="D41" s="7">
        <v>90</v>
      </c>
      <c r="E41" s="6">
        <v>45629</v>
      </c>
      <c r="F41">
        <f>JMM[[#This Row],[Preço Unitário]]*1.24</f>
        <v>111.6</v>
      </c>
    </row>
    <row r="42" spans="1:6" hidden="1">
      <c r="A42" t="s">
        <v>952</v>
      </c>
      <c r="B42" t="s">
        <v>960</v>
      </c>
      <c r="C42" t="s">
        <v>961</v>
      </c>
      <c r="D42" s="7">
        <v>4.7211999999999996</v>
      </c>
      <c r="E42" s="6">
        <v>45629</v>
      </c>
      <c r="F42">
        <f>JMM[[#This Row],[Preço Unitário]]*1.24</f>
        <v>5.8542879999999995</v>
      </c>
    </row>
    <row r="43" spans="1:6">
      <c r="A43" t="s">
        <v>962</v>
      </c>
      <c r="B43" t="s">
        <v>885</v>
      </c>
      <c r="C43" t="s">
        <v>886</v>
      </c>
      <c r="D43" s="7">
        <v>0.57479999999999998</v>
      </c>
      <c r="E43" s="6">
        <v>45524</v>
      </c>
      <c r="F43">
        <f>JMM[[#This Row],[Preço Unitário]]*1.24</f>
        <v>0.71275199999999994</v>
      </c>
    </row>
    <row r="44" spans="1:6" hidden="1">
      <c r="A44" t="s">
        <v>963</v>
      </c>
      <c r="B44" t="s">
        <v>926</v>
      </c>
      <c r="C44" t="s">
        <v>927</v>
      </c>
      <c r="D44" s="7">
        <v>0.5948</v>
      </c>
      <c r="E44" s="6">
        <v>45524</v>
      </c>
      <c r="F44">
        <f>JMM[[#This Row],[Preço Unitário]]*1.24</f>
        <v>0.73755199999999999</v>
      </c>
    </row>
    <row r="45" spans="1:6" hidden="1">
      <c r="A45" t="s">
        <v>963</v>
      </c>
      <c r="B45" t="s">
        <v>964</v>
      </c>
      <c r="C45" t="s">
        <v>965</v>
      </c>
      <c r="D45" s="7">
        <v>90</v>
      </c>
      <c r="E45" s="6">
        <v>45524</v>
      </c>
      <c r="F45">
        <f>JMM[[#This Row],[Preço Unitário]]*1.24</f>
        <v>111.6</v>
      </c>
    </row>
    <row r="46" spans="1:6" hidden="1">
      <c r="A46" t="s">
        <v>963</v>
      </c>
      <c r="B46" t="s">
        <v>966</v>
      </c>
      <c r="C46" t="s">
        <v>967</v>
      </c>
      <c r="D46" s="7">
        <v>0.74080000000000001</v>
      </c>
      <c r="E46" s="6">
        <v>45524</v>
      </c>
      <c r="F46">
        <f>JMM[[#This Row],[Preço Unitário]]*1.24</f>
        <v>0.91859199999999996</v>
      </c>
    </row>
    <row r="47" spans="1:6" hidden="1">
      <c r="A47" t="s">
        <v>963</v>
      </c>
      <c r="B47" t="s">
        <v>968</v>
      </c>
      <c r="C47" t="s">
        <v>969</v>
      </c>
      <c r="D47" s="7">
        <v>90</v>
      </c>
      <c r="E47" s="6">
        <v>45524</v>
      </c>
      <c r="F47">
        <f>JMM[[#This Row],[Preço Unitário]]*1.24</f>
        <v>111.6</v>
      </c>
    </row>
    <row r="48" spans="1:6">
      <c r="A48" t="s">
        <v>970</v>
      </c>
      <c r="B48" t="s">
        <v>885</v>
      </c>
      <c r="C48" t="s">
        <v>931</v>
      </c>
      <c r="D48" s="7">
        <v>0.57479999999999998</v>
      </c>
      <c r="E48" s="6">
        <v>45523</v>
      </c>
      <c r="F48">
        <f>JMM[[#This Row],[Preço Unitário]]*1.24</f>
        <v>0.71275199999999994</v>
      </c>
    </row>
    <row r="49" spans="1:6" hidden="1">
      <c r="A49" t="s">
        <v>970</v>
      </c>
      <c r="B49" t="s">
        <v>926</v>
      </c>
      <c r="C49" t="s">
        <v>927</v>
      </c>
      <c r="D49" s="7">
        <v>0.5948</v>
      </c>
      <c r="E49" s="6">
        <v>45523</v>
      </c>
      <c r="F49">
        <f>JMM[[#This Row],[Preço Unitário]]*1.24</f>
        <v>0.73755199999999999</v>
      </c>
    </row>
    <row r="50" spans="1:6" hidden="1">
      <c r="A50" t="s">
        <v>970</v>
      </c>
      <c r="B50" t="s">
        <v>964</v>
      </c>
      <c r="C50" t="s">
        <v>965</v>
      </c>
      <c r="D50" s="7">
        <v>90</v>
      </c>
      <c r="E50" s="6">
        <v>45523</v>
      </c>
      <c r="F50">
        <f>JMM[[#This Row],[Preço Unitário]]*1.24</f>
        <v>111.6</v>
      </c>
    </row>
    <row r="51" spans="1:6" hidden="1">
      <c r="A51" t="s">
        <v>970</v>
      </c>
      <c r="B51" t="s">
        <v>966</v>
      </c>
      <c r="C51" t="s">
        <v>967</v>
      </c>
      <c r="D51" s="7">
        <v>0.74080000000000001</v>
      </c>
      <c r="E51" s="6">
        <v>45523</v>
      </c>
      <c r="F51">
        <f>JMM[[#This Row],[Preço Unitário]]*1.24</f>
        <v>0.91859199999999996</v>
      </c>
    </row>
    <row r="52" spans="1:6" hidden="1">
      <c r="A52" t="s">
        <v>970</v>
      </c>
      <c r="B52" t="s">
        <v>968</v>
      </c>
      <c r="C52" t="s">
        <v>969</v>
      </c>
      <c r="D52" s="7">
        <v>90</v>
      </c>
      <c r="E52" s="6">
        <v>45523</v>
      </c>
      <c r="F52">
        <f>JMM[[#This Row],[Preço Unitário]]*1.24</f>
        <v>111.6</v>
      </c>
    </row>
    <row r="53" spans="1:6" hidden="1">
      <c r="A53" t="s">
        <v>970</v>
      </c>
      <c r="B53" t="s">
        <v>971</v>
      </c>
      <c r="C53" t="s">
        <v>972</v>
      </c>
      <c r="D53" s="7">
        <v>2.0099999999999998</v>
      </c>
      <c r="E53" s="6">
        <v>45523</v>
      </c>
      <c r="F53">
        <f>JMM[[#This Row],[Preço Unitário]]*1.24</f>
        <v>2.4923999999999995</v>
      </c>
    </row>
    <row r="54" spans="1:6" hidden="1">
      <c r="A54" t="s">
        <v>970</v>
      </c>
      <c r="B54" t="s">
        <v>973</v>
      </c>
      <c r="C54" t="s">
        <v>974</v>
      </c>
      <c r="D54" s="7">
        <v>0.62</v>
      </c>
      <c r="E54" s="6">
        <v>45523</v>
      </c>
      <c r="F54">
        <f>JMM[[#This Row],[Preço Unitário]]*1.24</f>
        <v>0.76880000000000004</v>
      </c>
    </row>
    <row r="55" spans="1:6" hidden="1">
      <c r="A55" t="s">
        <v>970</v>
      </c>
      <c r="B55" t="s">
        <v>975</v>
      </c>
      <c r="C55" t="s">
        <v>976</v>
      </c>
      <c r="D55" s="7">
        <v>0.67</v>
      </c>
      <c r="E55" s="6">
        <v>45523</v>
      </c>
      <c r="F55">
        <f>JMM[[#This Row],[Preço Unitário]]*1.24</f>
        <v>0.83080000000000009</v>
      </c>
    </row>
    <row r="56" spans="1:6" hidden="1">
      <c r="A56" t="s">
        <v>977</v>
      </c>
      <c r="B56" t="s">
        <v>966</v>
      </c>
      <c r="C56" t="s">
        <v>978</v>
      </c>
      <c r="D56" s="7">
        <v>0.77090000000000003</v>
      </c>
      <c r="E56" s="6">
        <v>45562</v>
      </c>
      <c r="F56">
        <f>JMM[[#This Row],[Preço Unitário]]*1.24</f>
        <v>0.95591599999999999</v>
      </c>
    </row>
    <row r="57" spans="1:6" hidden="1">
      <c r="A57" t="s">
        <v>979</v>
      </c>
      <c r="B57" t="s">
        <v>917</v>
      </c>
      <c r="C57" t="s">
        <v>918</v>
      </c>
      <c r="D57" s="7">
        <v>14.980399999999999</v>
      </c>
      <c r="E57" s="6">
        <v>45762</v>
      </c>
      <c r="F57">
        <f>JMM[[#This Row],[Preço Unitário]]*1.24</f>
        <v>18.575696000000001</v>
      </c>
    </row>
    <row r="58" spans="1:6" hidden="1">
      <c r="A58" t="s">
        <v>979</v>
      </c>
      <c r="B58" t="s">
        <v>980</v>
      </c>
      <c r="C58" t="s">
        <v>981</v>
      </c>
      <c r="D58" s="7">
        <v>90</v>
      </c>
      <c r="E58" s="6">
        <v>45762</v>
      </c>
      <c r="F58">
        <f>JMM[[#This Row],[Preço Unitário]]*1.24</f>
        <v>111.6</v>
      </c>
    </row>
    <row r="59" spans="1:6" hidden="1">
      <c r="A59" t="s">
        <v>979</v>
      </c>
      <c r="B59" t="s">
        <v>937</v>
      </c>
      <c r="C59" t="s">
        <v>982</v>
      </c>
      <c r="D59" s="7">
        <v>2.1004</v>
      </c>
      <c r="E59" s="6">
        <v>45762</v>
      </c>
      <c r="F59">
        <f>JMM[[#This Row],[Preço Unitário]]*1.24</f>
        <v>2.6044960000000001</v>
      </c>
    </row>
    <row r="60" spans="1:6" hidden="1">
      <c r="A60" t="s">
        <v>979</v>
      </c>
      <c r="B60" t="s">
        <v>983</v>
      </c>
      <c r="C60" t="s">
        <v>984</v>
      </c>
      <c r="D60" s="7">
        <v>160</v>
      </c>
      <c r="E60" s="6">
        <v>45762</v>
      </c>
      <c r="F60">
        <f>JMM[[#This Row],[Preço Unitário]]*1.24</f>
        <v>198.4</v>
      </c>
    </row>
    <row r="61" spans="1:6" hidden="1">
      <c r="A61" t="s">
        <v>979</v>
      </c>
      <c r="B61" t="s">
        <v>937</v>
      </c>
      <c r="C61" t="s">
        <v>982</v>
      </c>
      <c r="D61" s="7">
        <v>2.1004</v>
      </c>
      <c r="E61" s="6">
        <v>45762</v>
      </c>
      <c r="F61">
        <f>JMM[[#This Row],[Preço Unitário]]*1.24</f>
        <v>2.6044960000000001</v>
      </c>
    </row>
    <row r="62" spans="1:6" hidden="1">
      <c r="A62" t="s">
        <v>979</v>
      </c>
      <c r="B62" t="s">
        <v>985</v>
      </c>
      <c r="C62" t="s">
        <v>986</v>
      </c>
      <c r="D62" s="7">
        <v>160</v>
      </c>
      <c r="E62" s="6">
        <v>45762</v>
      </c>
      <c r="F62">
        <f>JMM[[#This Row],[Preço Unitário]]*1.24</f>
        <v>198.4</v>
      </c>
    </row>
    <row r="63" spans="1:6" hidden="1">
      <c r="A63" t="s">
        <v>979</v>
      </c>
      <c r="B63" t="s">
        <v>933</v>
      </c>
      <c r="C63" t="s">
        <v>987</v>
      </c>
      <c r="D63" s="7">
        <v>1.4004000000000001</v>
      </c>
      <c r="E63" s="6">
        <v>45762</v>
      </c>
      <c r="F63">
        <f>JMM[[#This Row],[Preço Unitário]]*1.24</f>
        <v>1.736496</v>
      </c>
    </row>
    <row r="64" spans="1:6" hidden="1">
      <c r="A64" t="s">
        <v>979</v>
      </c>
      <c r="B64" t="s">
        <v>988</v>
      </c>
      <c r="C64" t="s">
        <v>989</v>
      </c>
      <c r="D64" s="7">
        <v>135</v>
      </c>
      <c r="E64" s="6">
        <v>45762</v>
      </c>
      <c r="F64">
        <f>JMM[[#This Row],[Preço Unitário]]*1.24</f>
        <v>167.4</v>
      </c>
    </row>
    <row r="65" spans="1:6" hidden="1">
      <c r="A65" t="s">
        <v>979</v>
      </c>
      <c r="B65" t="s">
        <v>933</v>
      </c>
      <c r="C65" t="s">
        <v>987</v>
      </c>
      <c r="D65" s="7">
        <v>1.4004000000000001</v>
      </c>
      <c r="E65" s="6">
        <v>45762</v>
      </c>
      <c r="F65">
        <f>JMM[[#This Row],[Preço Unitário]]*1.24</f>
        <v>1.736496</v>
      </c>
    </row>
    <row r="66" spans="1:6" hidden="1">
      <c r="A66" t="s">
        <v>979</v>
      </c>
      <c r="B66" t="s">
        <v>990</v>
      </c>
      <c r="C66" t="s">
        <v>991</v>
      </c>
      <c r="D66" s="7">
        <v>135</v>
      </c>
      <c r="E66" s="6">
        <v>45762</v>
      </c>
      <c r="F66">
        <f>JMM[[#This Row],[Preço Unitário]]*1.24</f>
        <v>167.4</v>
      </c>
    </row>
    <row r="67" spans="1:6">
      <c r="A67" t="s">
        <v>979</v>
      </c>
      <c r="B67" t="s">
        <v>992</v>
      </c>
      <c r="C67" t="s">
        <v>993</v>
      </c>
      <c r="D67" s="7">
        <v>0.39040000000000002</v>
      </c>
      <c r="E67" s="6">
        <v>45762</v>
      </c>
      <c r="F67">
        <f>JMM[[#This Row],[Preço Unitário]]*1.24</f>
        <v>0.48409600000000003</v>
      </c>
    </row>
    <row r="68" spans="1:6">
      <c r="A68" t="s">
        <v>994</v>
      </c>
      <c r="B68" t="s">
        <v>992</v>
      </c>
      <c r="C68" t="s">
        <v>993</v>
      </c>
      <c r="D68" s="7">
        <v>0.3906</v>
      </c>
      <c r="E68" s="6"/>
      <c r="F68">
        <f>JMM[[#This Row],[Preço Unitário]]*1.24</f>
        <v>0.484344</v>
      </c>
    </row>
    <row r="69" spans="1:6" hidden="1">
      <c r="A69" t="s">
        <v>994</v>
      </c>
      <c r="B69" t="s">
        <v>995</v>
      </c>
      <c r="C69" t="s">
        <v>996</v>
      </c>
      <c r="D69" s="7">
        <v>5.4405000000000001</v>
      </c>
      <c r="E69" s="6"/>
      <c r="F69">
        <f>JMM[[#This Row],[Preço Unitário]]*1.24</f>
        <v>6.7462200000000001</v>
      </c>
    </row>
    <row r="70" spans="1:6" hidden="1">
      <c r="A70" t="s">
        <v>997</v>
      </c>
      <c r="B70" t="s">
        <v>933</v>
      </c>
      <c r="C70" t="s">
        <v>987</v>
      </c>
      <c r="D70" s="7">
        <v>1.4602999999999999</v>
      </c>
      <c r="E70" s="6">
        <v>45730</v>
      </c>
      <c r="F70">
        <f>JMM[[#This Row],[Preço Unitário]]*1.24</f>
        <v>1.8107719999999998</v>
      </c>
    </row>
    <row r="71" spans="1:6" hidden="1">
      <c r="A71" t="s">
        <v>997</v>
      </c>
      <c r="B71" t="s">
        <v>998</v>
      </c>
      <c r="C71" t="s">
        <v>999</v>
      </c>
      <c r="D71" s="7">
        <v>90</v>
      </c>
      <c r="E71" s="6">
        <v>45730</v>
      </c>
      <c r="F71">
        <f>JMM[[#This Row],[Preço Unitário]]*1.24</f>
        <v>111.6</v>
      </c>
    </row>
    <row r="72" spans="1:6" hidden="1">
      <c r="A72" t="s">
        <v>997</v>
      </c>
      <c r="B72" t="s">
        <v>1000</v>
      </c>
      <c r="C72" t="s">
        <v>1001</v>
      </c>
      <c r="D72" s="7">
        <v>2.9903</v>
      </c>
      <c r="E72" s="6">
        <v>45730</v>
      </c>
      <c r="F72">
        <f>JMM[[#This Row],[Preço Unitário]]*1.24</f>
        <v>3.7079719999999998</v>
      </c>
    </row>
    <row r="73" spans="1:6" hidden="1">
      <c r="A73" t="s">
        <v>1002</v>
      </c>
      <c r="B73" t="s">
        <v>1003</v>
      </c>
      <c r="C73" t="s">
        <v>1004</v>
      </c>
      <c r="D73" s="7">
        <v>8.8908000000000005</v>
      </c>
      <c r="E73" s="6">
        <v>45898</v>
      </c>
      <c r="F73">
        <f>JMM[[#This Row],[Preço Unitário]]*1.24</f>
        <v>11.024592</v>
      </c>
    </row>
    <row r="74" spans="1:6" hidden="1">
      <c r="A74" t="s">
        <v>1002</v>
      </c>
      <c r="B74" t="s">
        <v>1005</v>
      </c>
      <c r="C74" t="s">
        <v>1006</v>
      </c>
      <c r="D74" s="7">
        <v>1.9128000000000001</v>
      </c>
      <c r="E74" s="6">
        <v>45898</v>
      </c>
      <c r="F74">
        <f>JMM[[#This Row],[Preço Unitário]]*1.24</f>
        <v>2.3718720000000002</v>
      </c>
    </row>
    <row r="75" spans="1:6" hidden="1">
      <c r="A75" t="s">
        <v>1002</v>
      </c>
      <c r="B75" t="s">
        <v>995</v>
      </c>
      <c r="C75" t="s">
        <v>1007</v>
      </c>
      <c r="D75" s="7">
        <v>5.5907999999999998</v>
      </c>
      <c r="E75" s="6">
        <v>45898</v>
      </c>
      <c r="F75">
        <f>JMM[[#This Row],[Preço Unitário]]*1.24</f>
        <v>6.9325919999999996</v>
      </c>
    </row>
    <row r="76" spans="1:6">
      <c r="A76" t="s">
        <v>1002</v>
      </c>
      <c r="B76" t="s">
        <v>885</v>
      </c>
      <c r="C76" t="s">
        <v>886</v>
      </c>
      <c r="D76" s="7">
        <v>0.56079999999999997</v>
      </c>
      <c r="E76" s="6">
        <v>45898</v>
      </c>
      <c r="F76">
        <f>JMM[[#This Row],[Preço Unitário]]*1.24</f>
        <v>0.6953919999999999</v>
      </c>
    </row>
    <row r="77" spans="1:6" hidden="1">
      <c r="A77" t="s">
        <v>1002</v>
      </c>
      <c r="B77" t="s">
        <v>922</v>
      </c>
      <c r="C77" t="s">
        <v>923</v>
      </c>
      <c r="D77" s="7">
        <v>2.3708</v>
      </c>
      <c r="E77" s="6">
        <v>45898</v>
      </c>
      <c r="F77">
        <f>JMM[[#This Row],[Preço Unitário]]*1.24</f>
        <v>2.9397920000000002</v>
      </c>
    </row>
    <row r="78" spans="1:6">
      <c r="A78" t="s">
        <v>1002</v>
      </c>
      <c r="B78" t="s">
        <v>894</v>
      </c>
      <c r="C78" t="s">
        <v>895</v>
      </c>
      <c r="D78" s="7">
        <v>0.56079999999999997</v>
      </c>
      <c r="E78" s="6">
        <v>45898</v>
      </c>
      <c r="F78">
        <f>JMM[[#This Row],[Preço Unitário]]*1.24</f>
        <v>0.6953919999999999</v>
      </c>
    </row>
    <row r="79" spans="1:6" hidden="1">
      <c r="A79" t="s">
        <v>1008</v>
      </c>
      <c r="B79" t="s">
        <v>966</v>
      </c>
      <c r="C79" t="s">
        <v>978</v>
      </c>
      <c r="D79" s="7">
        <v>0.7712</v>
      </c>
      <c r="E79" s="6">
        <v>46008</v>
      </c>
      <c r="F79">
        <f>JMM[[#This Row],[Preço Unitário]]*1.24</f>
        <v>0.95628800000000003</v>
      </c>
    </row>
    <row r="80" spans="1:6" hidden="1">
      <c r="A80" t="s">
        <v>1008</v>
      </c>
      <c r="B80" t="s">
        <v>1009</v>
      </c>
      <c r="C80" t="s">
        <v>1010</v>
      </c>
      <c r="D80" s="7">
        <v>1.7452000000000001</v>
      </c>
      <c r="E80" s="6">
        <v>46008</v>
      </c>
      <c r="F80">
        <f>JMM[[#This Row],[Preço Unitário]]*1.24</f>
        <v>2.1640480000000002</v>
      </c>
    </row>
    <row r="81" spans="1:6" hidden="1">
      <c r="A81" t="s">
        <v>1008</v>
      </c>
      <c r="B81" t="s">
        <v>1011</v>
      </c>
      <c r="C81" t="s">
        <v>1012</v>
      </c>
      <c r="D81" s="7">
        <v>1.2012</v>
      </c>
      <c r="E81" s="6">
        <v>46008</v>
      </c>
      <c r="F81">
        <f>JMM[[#This Row],[Preço Unitário]]*1.24</f>
        <v>1.4894880000000001</v>
      </c>
    </row>
    <row r="82" spans="1:6" hidden="1">
      <c r="A82" t="s">
        <v>1008</v>
      </c>
      <c r="B82" t="s">
        <v>1013</v>
      </c>
      <c r="C82" t="s">
        <v>1014</v>
      </c>
      <c r="D82" s="7">
        <v>7.0731999999999999</v>
      </c>
      <c r="E82" s="6">
        <v>46008</v>
      </c>
      <c r="F82">
        <f>JMM[[#This Row],[Preço Unitário]]*1.24</f>
        <v>8.7707680000000003</v>
      </c>
    </row>
    <row r="83" spans="1:6" hidden="1">
      <c r="A83" t="s">
        <v>1015</v>
      </c>
      <c r="B83" t="s">
        <v>896</v>
      </c>
      <c r="C83" t="s">
        <v>897</v>
      </c>
      <c r="D83" s="7">
        <v>5.5800999999999998</v>
      </c>
      <c r="E83" s="6">
        <v>46038</v>
      </c>
      <c r="F83">
        <f>JMM[[#This Row],[Preço Unitário]]*1.24</f>
        <v>6.9193239999999996</v>
      </c>
    </row>
    <row r="84" spans="1:6" hidden="1">
      <c r="A84" t="s">
        <v>1015</v>
      </c>
      <c r="B84" t="s">
        <v>1016</v>
      </c>
      <c r="C84" t="s">
        <v>1017</v>
      </c>
      <c r="D84" s="7">
        <v>18.991199999999999</v>
      </c>
      <c r="E84" s="6">
        <v>46038</v>
      </c>
      <c r="F84">
        <f>JMM[[#This Row],[Preço Unitário]]*1.24</f>
        <v>23.549087999999998</v>
      </c>
    </row>
    <row r="85" spans="1:6" hidden="1">
      <c r="A85" t="s">
        <v>1015</v>
      </c>
      <c r="B85" t="s">
        <v>1018</v>
      </c>
      <c r="C85" t="s">
        <v>1019</v>
      </c>
      <c r="D85" s="7">
        <v>115</v>
      </c>
      <c r="E85" s="6">
        <v>46038</v>
      </c>
      <c r="F85">
        <f>JMM[[#This Row],[Preço Unitário]]*1.24</f>
        <v>142.6</v>
      </c>
    </row>
    <row r="86" spans="1:6" hidden="1">
      <c r="A86" t="s">
        <v>1015</v>
      </c>
      <c r="B86" t="s">
        <v>905</v>
      </c>
      <c r="C86" t="s">
        <v>906</v>
      </c>
      <c r="D86" s="7">
        <v>2.2751000000000001</v>
      </c>
      <c r="E86" s="6">
        <v>46038</v>
      </c>
      <c r="F86">
        <f>JMM[[#This Row],[Preço Unitário]]*1.24</f>
        <v>2.8211240000000002</v>
      </c>
    </row>
    <row r="87" spans="1:6" hidden="1">
      <c r="A87" t="s">
        <v>1015</v>
      </c>
      <c r="B87" t="s">
        <v>1020</v>
      </c>
      <c r="C87" t="s">
        <v>1021</v>
      </c>
      <c r="D87" s="7">
        <v>90</v>
      </c>
      <c r="E87" s="6">
        <v>46038</v>
      </c>
      <c r="F87">
        <f>JMM[[#This Row],[Preço Unitário]]*1.24</f>
        <v>111.6</v>
      </c>
    </row>
    <row r="88" spans="1:6" hidden="1">
      <c r="A88" t="s">
        <v>1015</v>
      </c>
      <c r="B88" t="s">
        <v>909</v>
      </c>
      <c r="C88" t="s">
        <v>910</v>
      </c>
      <c r="D88" s="7">
        <v>1.4571000000000001</v>
      </c>
      <c r="E88" s="6">
        <v>46038</v>
      </c>
      <c r="F88">
        <f>JMM[[#This Row],[Preço Unitário]]*1.24</f>
        <v>1.8068040000000001</v>
      </c>
    </row>
    <row r="89" spans="1:6" hidden="1">
      <c r="A89" t="s">
        <v>1015</v>
      </c>
      <c r="B89" t="s">
        <v>1022</v>
      </c>
      <c r="C89" t="s">
        <v>1023</v>
      </c>
      <c r="D89" s="7">
        <v>90</v>
      </c>
      <c r="E89" s="6">
        <v>46038</v>
      </c>
      <c r="F89">
        <f>JMM[[#This Row],[Preço Unitário]]*1.24</f>
        <v>111.6</v>
      </c>
    </row>
    <row r="90" spans="1:6" hidden="1">
      <c r="A90" t="s">
        <v>1024</v>
      </c>
      <c r="B90" t="s">
        <v>909</v>
      </c>
      <c r="C90" t="s">
        <v>1025</v>
      </c>
      <c r="D90" s="7">
        <v>1.5021</v>
      </c>
      <c r="E90" s="6">
        <v>46052</v>
      </c>
      <c r="F90">
        <f>JMM[[#This Row],[Preço Unitário]]*1.24</f>
        <v>1.8626039999999999</v>
      </c>
    </row>
    <row r="91" spans="1:6" hidden="1">
      <c r="A91" t="s">
        <v>1024</v>
      </c>
      <c r="B91" t="s">
        <v>1026</v>
      </c>
      <c r="C91" t="s">
        <v>1027</v>
      </c>
      <c r="D91" s="7">
        <v>90</v>
      </c>
      <c r="E91" s="6">
        <v>46052</v>
      </c>
      <c r="F91">
        <f>JMM[[#This Row],[Preço Unitário]]*1.24</f>
        <v>111.6</v>
      </c>
    </row>
    <row r="92" spans="1:6" hidden="1">
      <c r="A92" t="s">
        <v>1024</v>
      </c>
      <c r="B92" t="s">
        <v>905</v>
      </c>
      <c r="C92" t="s">
        <v>1025</v>
      </c>
      <c r="D92" s="7">
        <v>2.3010999999999999</v>
      </c>
      <c r="E92" s="6">
        <v>46052</v>
      </c>
      <c r="F92">
        <f>JMM[[#This Row],[Preço Unitário]]*1.24</f>
        <v>2.853364</v>
      </c>
    </row>
    <row r="93" spans="1:6" hidden="1">
      <c r="A93" t="s">
        <v>1024</v>
      </c>
      <c r="B93" t="s">
        <v>1028</v>
      </c>
      <c r="C93" t="s">
        <v>1029</v>
      </c>
      <c r="D93" s="7">
        <v>90</v>
      </c>
      <c r="E93" s="6">
        <v>46052</v>
      </c>
      <c r="F93">
        <f>JMM[[#This Row],[Preço Unitário]]*1.24</f>
        <v>111.6</v>
      </c>
    </row>
    <row r="94" spans="1:6">
      <c r="A94" t="s">
        <v>1030</v>
      </c>
      <c r="B94" t="s">
        <v>885</v>
      </c>
      <c r="C94" t="s">
        <v>931</v>
      </c>
      <c r="D94" s="7">
        <v>0.65510000000000002</v>
      </c>
      <c r="E94" s="6">
        <v>46080</v>
      </c>
      <c r="F94">
        <f>JMM[[#This Row],[Preço Unitário]]*1.24</f>
        <v>0.81232400000000005</v>
      </c>
    </row>
    <row r="95" spans="1:6" hidden="1">
      <c r="A95" t="s">
        <v>1031</v>
      </c>
      <c r="B95" t="s">
        <v>1032</v>
      </c>
      <c r="C95" t="s">
        <v>1033</v>
      </c>
      <c r="D95" s="7">
        <v>4.1825000000000001</v>
      </c>
      <c r="E95" s="6">
        <v>46171</v>
      </c>
      <c r="F95">
        <f>JMM[[#This Row],[Preço Unitário]]*1.24</f>
        <v>5.1863000000000001</v>
      </c>
    </row>
    <row r="96" spans="1:6" hidden="1">
      <c r="A96" t="s">
        <v>1031</v>
      </c>
      <c r="B96" t="s">
        <v>1034</v>
      </c>
      <c r="C96" t="s">
        <v>1035</v>
      </c>
      <c r="D96" s="7">
        <v>135</v>
      </c>
      <c r="E96" s="6">
        <v>46171</v>
      </c>
      <c r="F96">
        <f>JMM[[#This Row],[Preço Unitário]]*1.24</f>
        <v>167.4</v>
      </c>
    </row>
    <row r="97" spans="1:6" hidden="1">
      <c r="A97" t="s">
        <v>1031</v>
      </c>
      <c r="B97" t="s">
        <v>1009</v>
      </c>
      <c r="C97" t="s">
        <v>1010</v>
      </c>
      <c r="D97" s="7">
        <v>2.1604999999999999</v>
      </c>
      <c r="E97" s="6">
        <v>46171</v>
      </c>
      <c r="F97">
        <f>JMM[[#This Row],[Preço Unitário]]*1.24</f>
        <v>2.67902</v>
      </c>
    </row>
    <row r="98" spans="1:6" hidden="1">
      <c r="A98" t="s">
        <v>1031</v>
      </c>
      <c r="B98" t="s">
        <v>1036</v>
      </c>
      <c r="C98" t="s">
        <v>1037</v>
      </c>
      <c r="D98" s="7">
        <v>90</v>
      </c>
      <c r="E98" s="6">
        <v>46171</v>
      </c>
      <c r="F98">
        <f>JMM[[#This Row],[Preço Unitário]]*1.24</f>
        <v>111.6</v>
      </c>
    </row>
    <row r="99" spans="1:6" hidden="1">
      <c r="A99" t="s">
        <v>1031</v>
      </c>
      <c r="B99" t="s">
        <v>1038</v>
      </c>
      <c r="C99" t="s">
        <v>1039</v>
      </c>
      <c r="D99" s="7">
        <v>1.7705</v>
      </c>
      <c r="E99" s="6">
        <v>46171</v>
      </c>
      <c r="F99">
        <f>JMM[[#This Row],[Preço Unitário]]*1.24</f>
        <v>2.1954199999999999</v>
      </c>
    </row>
    <row r="100" spans="1:6">
      <c r="A100" t="s">
        <v>1040</v>
      </c>
      <c r="B100" t="s">
        <v>885</v>
      </c>
      <c r="C100" t="s">
        <v>886</v>
      </c>
      <c r="D100" s="7">
        <v>0.58109999999999995</v>
      </c>
      <c r="E100" s="6">
        <v>45989</v>
      </c>
      <c r="F100">
        <f>JMM[[#This Row],[Preço Unitário]]*1.24</f>
        <v>0.72056399999999998</v>
      </c>
    </row>
    <row r="101" spans="1:6" hidden="1">
      <c r="A101" t="s">
        <v>1040</v>
      </c>
      <c r="B101" t="s">
        <v>1041</v>
      </c>
      <c r="C101" t="s">
        <v>1042</v>
      </c>
      <c r="D101" s="7">
        <v>18.9011</v>
      </c>
      <c r="E101" s="6">
        <v>45989</v>
      </c>
      <c r="F101">
        <f>JMM[[#This Row],[Preço Unitário]]*1.24</f>
        <v>23.437363999999999</v>
      </c>
    </row>
    <row r="102" spans="1:6" hidden="1">
      <c r="A102" t="s">
        <v>1043</v>
      </c>
      <c r="B102" t="s">
        <v>1044</v>
      </c>
      <c r="C102" t="s">
        <v>1045</v>
      </c>
      <c r="D102" s="7">
        <v>3.3209</v>
      </c>
      <c r="E102" s="6">
        <v>45911</v>
      </c>
      <c r="F102">
        <f>JMM[[#This Row],[Preço Unitário]]*1.24</f>
        <v>4.1179160000000001</v>
      </c>
    </row>
    <row r="103" spans="1:6" hidden="1">
      <c r="A103" t="s">
        <v>1043</v>
      </c>
      <c r="B103" t="s">
        <v>1046</v>
      </c>
      <c r="C103" t="s">
        <v>1047</v>
      </c>
      <c r="D103" s="7">
        <v>135</v>
      </c>
      <c r="E103" s="6">
        <v>45911</v>
      </c>
      <c r="F103">
        <f>JMM[[#This Row],[Preço Unitário]]*1.24</f>
        <v>167.4</v>
      </c>
    </row>
    <row r="104" spans="1:6" hidden="1">
      <c r="A104" t="s">
        <v>1043</v>
      </c>
      <c r="B104" t="s">
        <v>911</v>
      </c>
      <c r="C104" t="s">
        <v>912</v>
      </c>
      <c r="D104" s="7">
        <v>1.5308999999999999</v>
      </c>
      <c r="E104" s="6">
        <v>45911</v>
      </c>
      <c r="F104">
        <f>JMM[[#This Row],[Preço Unitário]]*1.24</f>
        <v>1.8983159999999999</v>
      </c>
    </row>
    <row r="105" spans="1:6" hidden="1">
      <c r="A105" t="s">
        <v>1043</v>
      </c>
      <c r="B105" t="s">
        <v>1009</v>
      </c>
      <c r="C105" t="s">
        <v>1010</v>
      </c>
      <c r="D105" s="7">
        <v>1.6809000000000001</v>
      </c>
      <c r="E105" s="6">
        <v>45911</v>
      </c>
      <c r="F105">
        <f>JMM[[#This Row],[Preço Unitário]]*1.24</f>
        <v>2.0843160000000003</v>
      </c>
    </row>
    <row r="106" spans="1:6" hidden="1">
      <c r="A106" t="s">
        <v>1043</v>
      </c>
      <c r="B106" t="s">
        <v>1048</v>
      </c>
      <c r="C106" t="s">
        <v>1049</v>
      </c>
      <c r="D106" s="7">
        <v>90</v>
      </c>
      <c r="E106" s="6">
        <v>45911</v>
      </c>
      <c r="F106">
        <f>JMM[[#This Row],[Preço Unitário]]*1.24</f>
        <v>111.6</v>
      </c>
    </row>
    <row r="107" spans="1:6" hidden="1">
      <c r="A107" t="s">
        <v>1050</v>
      </c>
      <c r="B107" t="s">
        <v>1051</v>
      </c>
      <c r="C107" t="s">
        <v>1052</v>
      </c>
      <c r="D107" s="7">
        <v>2.4588999999999999</v>
      </c>
      <c r="E107" s="6">
        <v>45930</v>
      </c>
      <c r="F107">
        <f>JMM[[#This Row],[Preço Unitário]]*1.24</f>
        <v>3.0490359999999996</v>
      </c>
    </row>
    <row r="108" spans="1:6" hidden="1">
      <c r="A108" t="s">
        <v>1050</v>
      </c>
      <c r="B108" t="s">
        <v>1003</v>
      </c>
      <c r="C108" t="s">
        <v>1004</v>
      </c>
      <c r="D108" s="7">
        <v>8.7819000000000003</v>
      </c>
      <c r="E108" s="6">
        <v>45930</v>
      </c>
      <c r="F108">
        <f>JMM[[#This Row],[Preço Unitário]]*1.24</f>
        <v>10.889556000000001</v>
      </c>
    </row>
    <row r="109" spans="1:6">
      <c r="A109" t="s">
        <v>1050</v>
      </c>
      <c r="B109" t="s">
        <v>885</v>
      </c>
      <c r="C109" t="s">
        <v>886</v>
      </c>
      <c r="D109" s="7">
        <v>0.55789999999999995</v>
      </c>
      <c r="E109" s="6">
        <v>45930</v>
      </c>
      <c r="F109">
        <f>JMM[[#This Row],[Preço Unitário]]*1.24</f>
        <v>0.69179599999999997</v>
      </c>
    </row>
    <row r="110" spans="1:6" hidden="1">
      <c r="A110" t="s">
        <v>1050</v>
      </c>
      <c r="B110" t="s">
        <v>1053</v>
      </c>
      <c r="C110" t="s">
        <v>1054</v>
      </c>
      <c r="D110" s="7">
        <v>3.4018999999999999</v>
      </c>
      <c r="E110" s="6">
        <v>45930</v>
      </c>
      <c r="F110">
        <f>JMM[[#This Row],[Preço Unitário]]*1.24</f>
        <v>4.218356</v>
      </c>
    </row>
    <row r="111" spans="1:6" hidden="1">
      <c r="A111" t="s">
        <v>1055</v>
      </c>
      <c r="B111" t="s">
        <v>1000</v>
      </c>
      <c r="C111" t="s">
        <v>1001</v>
      </c>
      <c r="D111" s="7">
        <v>2.9710000000000001</v>
      </c>
      <c r="E111" s="6">
        <v>45945</v>
      </c>
      <c r="F111">
        <f>JMM[[#This Row],[Preço Unitário]]*1.24</f>
        <v>3.68404</v>
      </c>
    </row>
    <row r="112" spans="1:6" hidden="1">
      <c r="A112" t="s">
        <v>1055</v>
      </c>
      <c r="B112" t="s">
        <v>1000</v>
      </c>
      <c r="C112" t="s">
        <v>1001</v>
      </c>
      <c r="D112" s="7">
        <v>2.9710000000000001</v>
      </c>
      <c r="E112" s="6">
        <v>45975</v>
      </c>
      <c r="F112">
        <f>JMM[[#This Row],[Preço Unitário]]*1.24</f>
        <v>3.68404</v>
      </c>
    </row>
    <row r="113" spans="1:6" hidden="1">
      <c r="A113" t="s">
        <v>1056</v>
      </c>
      <c r="B113" t="s">
        <v>966</v>
      </c>
      <c r="C113" t="s">
        <v>978</v>
      </c>
      <c r="D113" s="7">
        <v>0.92030000000000001</v>
      </c>
      <c r="E113" s="6">
        <v>46106</v>
      </c>
      <c r="F113">
        <f>JMM[[#This Row],[Preço Unitário]]*1.24</f>
        <v>1.1411720000000001</v>
      </c>
    </row>
    <row r="114" spans="1:6" hidden="1">
      <c r="A114" t="s">
        <v>1056</v>
      </c>
      <c r="B114" t="s">
        <v>1057</v>
      </c>
      <c r="C114" t="s">
        <v>1058</v>
      </c>
      <c r="D114" s="7">
        <v>90</v>
      </c>
      <c r="E114" s="6">
        <v>46106</v>
      </c>
      <c r="F114">
        <f>JMM[[#This Row],[Preço Unitário]]*1.24</f>
        <v>111.6</v>
      </c>
    </row>
    <row r="115" spans="1:6">
      <c r="A115" t="s">
        <v>1056</v>
      </c>
      <c r="B115" t="s">
        <v>894</v>
      </c>
      <c r="C115" t="s">
        <v>895</v>
      </c>
      <c r="D115" s="7">
        <v>0.75629999999999997</v>
      </c>
      <c r="E115" s="6">
        <v>46106</v>
      </c>
      <c r="F115">
        <f>JMM[[#This Row],[Preço Unitário]]*1.24</f>
        <v>0.93781199999999998</v>
      </c>
    </row>
    <row r="116" spans="1:6" hidden="1">
      <c r="A116" t="s">
        <v>1056</v>
      </c>
      <c r="B116" t="s">
        <v>966</v>
      </c>
      <c r="C116" t="s">
        <v>978</v>
      </c>
      <c r="D116" s="7">
        <v>0.92030000000000001</v>
      </c>
      <c r="E116" s="6">
        <v>46106</v>
      </c>
      <c r="F116">
        <f>JMM[[#This Row],[Preço Unitário]]*1.24</f>
        <v>1.1411720000000001</v>
      </c>
    </row>
    <row r="117" spans="1:6">
      <c r="A117" t="s">
        <v>1056</v>
      </c>
      <c r="B117" t="s">
        <v>885</v>
      </c>
      <c r="C117" t="s">
        <v>886</v>
      </c>
      <c r="D117" s="7">
        <v>0.66469999999999996</v>
      </c>
      <c r="E117" s="6">
        <v>46106</v>
      </c>
      <c r="F117">
        <f>JMM[[#This Row],[Preço Unitário]]*1.24</f>
        <v>0.82422799999999996</v>
      </c>
    </row>
    <row r="118" spans="1:6">
      <c r="A118" t="s">
        <v>1059</v>
      </c>
      <c r="B118" t="s">
        <v>894</v>
      </c>
      <c r="C118" t="s">
        <v>895</v>
      </c>
      <c r="D118" s="7">
        <v>0.85750000000000004</v>
      </c>
      <c r="E118" s="6">
        <v>46157</v>
      </c>
      <c r="F118">
        <f>JMM[[#This Row],[Preço Unitário]]*1.24</f>
        <v>1.0633000000000001</v>
      </c>
    </row>
    <row r="119" spans="1:6" hidden="1">
      <c r="A119" t="s">
        <v>1059</v>
      </c>
      <c r="B119" t="s">
        <v>1060</v>
      </c>
      <c r="C119" t="s">
        <v>1061</v>
      </c>
      <c r="D119" s="7">
        <v>4.1835000000000004</v>
      </c>
      <c r="E119" s="6">
        <v>46157</v>
      </c>
      <c r="F119">
        <f>JMM[[#This Row],[Preço Unitário]]*1.24</f>
        <v>5.1875400000000003</v>
      </c>
    </row>
    <row r="120" spans="1:6" hidden="1">
      <c r="A120" t="s">
        <v>1059</v>
      </c>
      <c r="B120" t="s">
        <v>1062</v>
      </c>
      <c r="C120" t="s">
        <v>1063</v>
      </c>
      <c r="D120" s="7">
        <v>90</v>
      </c>
      <c r="E120" s="6">
        <v>46157</v>
      </c>
      <c r="F120">
        <f>JMM[[#This Row],[Preço Unitário]]*1.24</f>
        <v>111.6</v>
      </c>
    </row>
    <row r="121" spans="1:6" hidden="1">
      <c r="A121" t="s">
        <v>1059</v>
      </c>
      <c r="B121" t="s">
        <v>1064</v>
      </c>
      <c r="C121" t="s">
        <v>1065</v>
      </c>
      <c r="D121" s="7">
        <v>4.4574999999999996</v>
      </c>
      <c r="E121" s="6">
        <v>46157</v>
      </c>
      <c r="F121">
        <f>JMM[[#This Row],[Preço Unitário]]*1.24</f>
        <v>5.5272999999999994</v>
      </c>
    </row>
    <row r="122" spans="1:6" hidden="1">
      <c r="A122" t="s">
        <v>1059</v>
      </c>
      <c r="B122" t="s">
        <v>1009</v>
      </c>
      <c r="C122" t="s">
        <v>1010</v>
      </c>
      <c r="D122" s="7">
        <v>2.1004</v>
      </c>
      <c r="E122" s="6">
        <v>46157</v>
      </c>
      <c r="F122">
        <f>JMM[[#This Row],[Preço Unitário]]*1.24</f>
        <v>2.6044960000000001</v>
      </c>
    </row>
    <row r="123" spans="1:6" hidden="1">
      <c r="A123" t="s">
        <v>1059</v>
      </c>
      <c r="B123" t="s">
        <v>1066</v>
      </c>
      <c r="C123" t="s">
        <v>1067</v>
      </c>
      <c r="D123" s="7">
        <v>90</v>
      </c>
      <c r="E123" s="6">
        <v>46157</v>
      </c>
      <c r="F123">
        <f>JMM[[#This Row],[Preço Unitário]]*1.24</f>
        <v>111.6</v>
      </c>
    </row>
    <row r="124" spans="1:6" hidden="1">
      <c r="A124" t="s">
        <v>1059</v>
      </c>
      <c r="B124" t="s">
        <v>1032</v>
      </c>
      <c r="C124" t="s">
        <v>1033</v>
      </c>
      <c r="D124" s="7">
        <v>4.1824000000000003</v>
      </c>
      <c r="E124" s="6">
        <v>46157</v>
      </c>
      <c r="F124">
        <f>JMM[[#This Row],[Preço Unitário]]*1.24</f>
        <v>5.1861760000000006</v>
      </c>
    </row>
    <row r="125" spans="1:6" hidden="1">
      <c r="A125" t="s">
        <v>1059</v>
      </c>
      <c r="B125" t="s">
        <v>1068</v>
      </c>
      <c r="C125" t="s">
        <v>1069</v>
      </c>
      <c r="D125" s="7">
        <v>230</v>
      </c>
      <c r="E125" s="6">
        <v>46157</v>
      </c>
      <c r="F125">
        <f>JMM[[#This Row],[Preço Unitário]]*1.24</f>
        <v>285.2</v>
      </c>
    </row>
    <row r="126" spans="1:6">
      <c r="A126" t="s">
        <v>1059</v>
      </c>
      <c r="B126" t="s">
        <v>885</v>
      </c>
      <c r="C126" t="s">
        <v>931</v>
      </c>
      <c r="D126" s="7">
        <v>0.67449999999999999</v>
      </c>
      <c r="E126" s="6">
        <v>46157</v>
      </c>
      <c r="F126">
        <f>JMM[[#This Row],[Preço Unitário]]*1.24</f>
        <v>0.83638000000000001</v>
      </c>
    </row>
    <row r="127" spans="1:6" hidden="1">
      <c r="A127" t="s">
        <v>1070</v>
      </c>
      <c r="B127" t="s">
        <v>1071</v>
      </c>
      <c r="C127" t="s">
        <v>1042</v>
      </c>
      <c r="D127" s="7">
        <v>0.87060000000000004</v>
      </c>
      <c r="E127" s="6">
        <v>46220</v>
      </c>
      <c r="F127">
        <f>JMM[[#This Row],[Preço Unitário]]*1.24</f>
        <v>1.0795440000000001</v>
      </c>
    </row>
    <row r="128" spans="1:6" hidden="1">
      <c r="A128" t="s">
        <v>1072</v>
      </c>
      <c r="B128" t="s">
        <v>1073</v>
      </c>
      <c r="C128" t="s">
        <v>1042</v>
      </c>
      <c r="D128" s="7">
        <v>30.901499999999999</v>
      </c>
      <c r="E128" s="6">
        <v>46178</v>
      </c>
      <c r="F128">
        <f>JMM[[#This Row],[Preço Unitário]]*1.24</f>
        <v>38.317859999999996</v>
      </c>
    </row>
    <row r="129" spans="1:6" hidden="1">
      <c r="A129" t="s">
        <v>1072</v>
      </c>
      <c r="B129" t="s">
        <v>1074</v>
      </c>
      <c r="C129" t="s">
        <v>1075</v>
      </c>
      <c r="D129" s="7">
        <v>90</v>
      </c>
      <c r="E129" s="6">
        <v>46178</v>
      </c>
      <c r="F129">
        <f>JMM[[#This Row],[Preço Unitário]]*1.24</f>
        <v>111.6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3632C-C26B-4D67-B836-762C59B7E1DF}">
  <dimension ref="A1:F77"/>
  <sheetViews>
    <sheetView workbookViewId="0">
      <selection activeCell="B6" sqref="B6"/>
    </sheetView>
  </sheetViews>
  <sheetFormatPr defaultRowHeight="15"/>
  <cols>
    <col min="1" max="1" width="20" bestFit="1" customWidth="1"/>
    <col min="2" max="2" width="41.7109375" bestFit="1" customWidth="1"/>
    <col min="3" max="3" width="9.5703125" bestFit="1" customWidth="1"/>
    <col min="6" max="6" width="9.5703125" bestFit="1" customWidth="1"/>
  </cols>
  <sheetData>
    <row r="1" spans="1:3">
      <c r="A1" t="s">
        <v>1</v>
      </c>
      <c r="B1" t="s">
        <v>2</v>
      </c>
      <c r="C1" t="s">
        <v>879</v>
      </c>
    </row>
    <row r="2" spans="1:3">
      <c r="A2" t="str" cm="1">
        <f t="array" ref="A2:A77">_xlfn.UNIQUE(JMM[Referência])</f>
        <v>1FV6VA</v>
      </c>
      <c r="B2" t="str">
        <f>_xlfn.XLOOKUP(A2,JMM[Referência],JMM[Designação], "")</f>
        <v>CABO H07V-K (FV) 6 V/A</v>
      </c>
      <c r="C2" s="5">
        <f>_xlfn.MINIFS(JMM[Preço Unitário],JMM[Referência], A2)</f>
        <v>0.54110000000000003</v>
      </c>
    </row>
    <row r="3" spans="1:3">
      <c r="A3" t="str">
        <v>1RZ1K170VD</v>
      </c>
      <c r="B3" t="str">
        <f>_xlfn.XLOOKUP(A3,JMM[Referência],JMM[Designação], "")</f>
        <v>CABO RZ1-K 1X70 0,6/1KV VERDE= FXG</v>
      </c>
      <c r="C3" s="5">
        <f>_xlfn.MINIFS(JMM[Preço Unitário],JMM[Referência], A3)</f>
        <v>7.3710000000000004</v>
      </c>
    </row>
    <row r="4" spans="1:3">
      <c r="A4" t="str">
        <v>JMMA073430</v>
      </c>
      <c r="B4" t="str">
        <f>_xlfn.XLOOKUP(A4,JMM[Referência],JMM[Designação], "")</f>
        <v>BOBINA JMMA07-3430 MADEIRA</v>
      </c>
      <c r="C4" s="5">
        <f>_xlfn.MINIFS(JMM[Preço Unitário],JMM[Referência], A4)</f>
        <v>90</v>
      </c>
    </row>
    <row r="5" spans="1:3">
      <c r="A5" t="str">
        <v>1RZ1K5G25VD</v>
      </c>
      <c r="B5" t="str">
        <f>_xlfn.XLOOKUP(A5,JMM[Referência],JMM[Designação], "")</f>
        <v xml:space="preserve">CABO RZ1-K 5G25 0,6/1KV VERDE = FXG </v>
      </c>
      <c r="C5" s="5">
        <f>_xlfn.MINIFS(JMM[Preço Unitário],JMM[Referência], A5)</f>
        <v>14.315</v>
      </c>
    </row>
    <row r="6" spans="1:3">
      <c r="A6" t="str">
        <v>1HIFCY215</v>
      </c>
      <c r="B6" t="str">
        <f>_xlfn.XLOOKUP(A6,JMM[Referência],JMM[Designação], "")</f>
        <v>CABO HI-FLEX CY 2X1,5 (=LIYCY)</v>
      </c>
      <c r="C6" s="5">
        <f>_xlfn.MINIFS(JMM[Preço Unitário],JMM[Referência], A6)</f>
        <v>0.55020000000000002</v>
      </c>
    </row>
    <row r="7" spans="1:3">
      <c r="A7" t="str">
        <v>1RVK5G10</v>
      </c>
      <c r="B7" t="str">
        <f>_xlfn.XLOOKUP(A7,JMM[Referência],JMM[Designação], "")</f>
        <v>CABO RV-K 5G10 0,6/1KV FLEXIVEL PT</v>
      </c>
      <c r="C7" s="5">
        <f>_xlfn.MINIFS(JMM[Preço Unitário],JMM[Referência], A7)</f>
        <v>5.0212000000000003</v>
      </c>
    </row>
    <row r="8" spans="1:3">
      <c r="A8" t="str">
        <v>JMMA078504</v>
      </c>
      <c r="B8" t="str">
        <f>_xlfn.XLOOKUP(A8,JMM[Referência],JMM[Designação], "")</f>
        <v>BOBINA JMM A07-8504 MADEIRA</v>
      </c>
      <c r="C8" s="5">
        <f>_xlfn.MINIFS(JMM[Preço Unitário],JMM[Referência], A8)</f>
        <v>90</v>
      </c>
    </row>
    <row r="9" spans="1:3">
      <c r="A9" t="str">
        <v>1LXVXZ11240VD</v>
      </c>
      <c r="B9" t="str">
        <f>_xlfn.XLOOKUP(A9,JMM[Referência],JMM[Designação], "")</f>
        <v>CABO LXV/XZ1 1X240 AL 0,6/1KV VERDE</v>
      </c>
      <c r="C9" s="5">
        <f>_xlfn.MINIFS(JMM[Preço Unitário],JMM[Referência], A9)</f>
        <v>3.7808999999999999</v>
      </c>
    </row>
    <row r="10" spans="1:3">
      <c r="A10" t="str">
        <v>JMMA102957</v>
      </c>
      <c r="B10" t="str">
        <f>_xlfn.XLOOKUP(A10,JMM[Referência],JMM[Designação], "")</f>
        <v>BOBINA JMMA10-2957 MADEIRA</v>
      </c>
      <c r="C10" s="5">
        <f>_xlfn.MINIFS(JMM[Preço Unitário],JMM[Referência], A10)</f>
        <v>135</v>
      </c>
    </row>
    <row r="11" spans="1:3">
      <c r="A11" t="str">
        <v>1LXVXZ11120VD</v>
      </c>
      <c r="B11" t="str">
        <f>_xlfn.XLOOKUP(A11,JMM[Referência],JMM[Designação], "")</f>
        <v>CABO LXV/XZ1 1X120 AL 0,6/1KV VERDE</v>
      </c>
      <c r="C11" s="5">
        <f>_xlfn.MINIFS(JMM[Preço Unitário],JMM[Referência], A11)</f>
        <v>2.0379</v>
      </c>
    </row>
    <row r="12" spans="1:3">
      <c r="A12" t="str">
        <v>JMMA085233</v>
      </c>
      <c r="B12" t="str">
        <f>_xlfn.XLOOKUP(A12,JMM[Referência],JMM[Designação], "")</f>
        <v>BOBINA JMM A08-5233 MADEIRA</v>
      </c>
      <c r="C12" s="5">
        <f>_xlfn.MINIFS(JMM[Preço Unitário],JMM[Referência], A12)</f>
        <v>90</v>
      </c>
    </row>
    <row r="13" spans="1:3">
      <c r="A13" t="str">
        <v>1LXVXZ1170VD</v>
      </c>
      <c r="B13" t="str">
        <f>_xlfn.XLOOKUP(A13,JMM[Referência],JMM[Designação], "")</f>
        <v>CABO LXV/XZ1 1X70 AL 0,6/1KV VERDE</v>
      </c>
      <c r="C13" s="5">
        <f>_xlfn.MINIFS(JMM[Preço Unitário],JMM[Referência], A13)</f>
        <v>1.4571000000000001</v>
      </c>
    </row>
    <row r="14" spans="1:3">
      <c r="A14" t="str">
        <v>1COBN16</v>
      </c>
      <c r="B14" t="str">
        <f>_xlfn.XLOOKUP(A14,JMM[Referência],JMM[Designação], "")</f>
        <v>COBRE NU 16mm</v>
      </c>
      <c r="C14" s="5">
        <f>_xlfn.MINIFS(JMM[Preço Unitário],JMM[Referência], A14)</f>
        <v>1.5308999999999999</v>
      </c>
    </row>
    <row r="15" spans="1:3">
      <c r="A15" t="str">
        <v>1PAARTRONICCY1215</v>
      </c>
      <c r="B15" t="str">
        <f>_xlfn.XLOOKUP(A15,JMM[Referência],JMM[Designação], "")</f>
        <v xml:space="preserve">CABO PAAR-TRONIC-CY 1X2X1,5 (017053) </v>
      </c>
      <c r="C15" s="5">
        <f>_xlfn.MINIFS(JMM[Preço Unitário],JMM[Referência], A15)</f>
        <v>1.2303999999999999</v>
      </c>
    </row>
    <row r="16" spans="1:3">
      <c r="A16" t="str">
        <v>1RVK1150</v>
      </c>
      <c r="B16" t="str">
        <f>_xlfn.XLOOKUP(A16,JMM[Referência],JMM[Designação], "")</f>
        <v>CABO RV-K 1X150 0,6/1KV FLEXIVEL PT</v>
      </c>
      <c r="C16" s="5">
        <f>_xlfn.MINIFS(JMM[Preço Unitário],JMM[Referência], A16)</f>
        <v>13.990600000000001</v>
      </c>
    </row>
    <row r="17" spans="1:6">
      <c r="A17" t="str">
        <v>JMMA072479</v>
      </c>
      <c r="B17" t="str">
        <f>_xlfn.XLOOKUP(A17,JMM[Referência],JMM[Designação], "")</f>
        <v>BOBINA JMM A07-2479 MADEIRA</v>
      </c>
      <c r="C17" s="5">
        <f>_xlfn.MINIFS(JMM[Preço Unitário],JMM[Referência], A17)</f>
        <v>90</v>
      </c>
    </row>
    <row r="18" spans="1:6">
      <c r="A18" t="str">
        <v>1CAE1215</v>
      </c>
      <c r="B18" t="str">
        <f>_xlfn.XLOOKUP(A18,JMM[Referência],JMM[Designação], "")</f>
        <v>CABO CAELIFLEX 12G1,5 (= JZ500)</v>
      </c>
      <c r="C18" s="5">
        <f>_xlfn.MINIFS(JMM[Preço Unitário],JMM[Referência], A18)</f>
        <v>2.3708</v>
      </c>
    </row>
    <row r="19" spans="1:6">
      <c r="A19" t="str">
        <v>1LXV135</v>
      </c>
      <c r="B19" t="str">
        <f>_xlfn.XLOOKUP(A19,JMM[Referência],JMM[Designação], "")</f>
        <v xml:space="preserve">CABO LXV 1X35 </v>
      </c>
      <c r="C19" s="5">
        <f>_xlfn.MINIFS(JMM[Preço Unitário],JMM[Referência], A19)</f>
        <v>0.5927</v>
      </c>
    </row>
    <row r="20" spans="1:6">
      <c r="A20" t="str">
        <v>JMMA102985</v>
      </c>
      <c r="B20" t="str">
        <f>_xlfn.XLOOKUP(A20,JMM[Referência],JMM[Designação], "")</f>
        <v xml:space="preserve">BOBINA JMMA10-2985 MADEIRA </v>
      </c>
      <c r="C20" s="5">
        <f>_xlfn.MINIFS(JMM[Preço Unitário],JMM[Referência], A20)</f>
        <v>135</v>
      </c>
    </row>
    <row r="21" spans="1:6">
      <c r="A21" t="str">
        <v>1LXV195</v>
      </c>
      <c r="B21" t="str">
        <f>_xlfn.XLOOKUP(A21,JMM[Referência],JMM[Designação], "")</f>
        <v xml:space="preserve">CABO LXV 1X95 </v>
      </c>
      <c r="C21" s="5">
        <f>_xlfn.MINIFS(JMM[Preço Unitário],JMM[Referência], A21)</f>
        <v>1.3900999999999999</v>
      </c>
    </row>
    <row r="22" spans="1:6">
      <c r="A22" t="str">
        <v>JMMA077530</v>
      </c>
      <c r="B22" t="str">
        <f>_xlfn.XLOOKUP(A22,JMM[Referência],JMM[Designação], "")</f>
        <v xml:space="preserve">BOBINA JMM A07-7530 MADEIRA </v>
      </c>
      <c r="C22" s="5">
        <f>_xlfn.MINIFS(JMM[Preço Unitário],JMM[Referência], A22)</f>
        <v>90</v>
      </c>
    </row>
    <row r="23" spans="1:6">
      <c r="A23" t="str">
        <v>1LXV1150</v>
      </c>
      <c r="B23" t="str">
        <f>_xlfn.XLOOKUP(A23,JMM[Referência],JMM[Designação], "")</f>
        <v xml:space="preserve">CABO LXV 1X150 </v>
      </c>
      <c r="C23" s="5">
        <f>_xlfn.MINIFS(JMM[Preço Unitário],JMM[Referência], A23)</f>
        <v>2.1004</v>
      </c>
    </row>
    <row r="24" spans="1:6">
      <c r="A24" t="str">
        <v>JMMA075019</v>
      </c>
      <c r="B24" t="str">
        <f>_xlfn.XLOOKUP(A24,JMM[Referência],JMM[Designação], "")</f>
        <v xml:space="preserve">BOBINA JMM A07-5019 MADEIRA </v>
      </c>
      <c r="C24" s="5">
        <f>_xlfn.MINIFS(JMM[Preço Unitário],JMM[Referência], A24)</f>
        <v>90</v>
      </c>
    </row>
    <row r="25" spans="1:6">
      <c r="A25" t="str">
        <v>1XV1150</v>
      </c>
      <c r="B25" t="str">
        <f>_xlfn.XLOOKUP(A25,JMM[Referência],JMM[Designação], "")</f>
        <v xml:space="preserve">CABO XV 1X150 1KV PT </v>
      </c>
      <c r="C25" s="5">
        <f>_xlfn.MINIFS(JMM[Preço Unitário],JMM[Referência], A25)</f>
        <v>14.4901</v>
      </c>
    </row>
    <row r="26" spans="1:6">
      <c r="A26" t="str">
        <v>KLAL15012MS</v>
      </c>
      <c r="B26" t="str">
        <f>_xlfn.XLOOKUP(A26,JMM[Referência],JMM[Designação], "")</f>
        <v xml:space="preserve">KLAUKE L 150/12MS TERM.CRAV.Cu EST. </v>
      </c>
      <c r="C26" s="5">
        <f>_xlfn.MINIFS(JMM[Preço Unitário],JMM[Referência], A26)</f>
        <v>3.5188999999999999</v>
      </c>
    </row>
    <row r="27" spans="1:6">
      <c r="A27" t="str">
        <v>JMMA087044</v>
      </c>
      <c r="B27" t="str">
        <f>_xlfn.XLOOKUP(A27,JMM[Referência],JMM[Designação], "")</f>
        <v xml:space="preserve">BOBINA JMM A08-7044 MADEIRA </v>
      </c>
      <c r="C27" s="5">
        <f>_xlfn.MINIFS(JMM[Preço Unitário],JMM[Referência], A27)</f>
        <v>90</v>
      </c>
    </row>
    <row r="28" spans="1:6">
      <c r="A28" t="str">
        <v>1XV125</v>
      </c>
      <c r="B28" t="str">
        <f>_xlfn.XLOOKUP(A28,JMM[Referência],JMM[Designação], "")</f>
        <v>CABO XV 1X25 1KV PT</v>
      </c>
      <c r="C28" s="5">
        <f>_xlfn.MINIFS(JMM[Preço Unitário],JMM[Referência], A28)</f>
        <v>2.5998000000000001</v>
      </c>
    </row>
    <row r="29" spans="1:6">
      <c r="A29" t="str">
        <v>1RVK5G16</v>
      </c>
      <c r="B29" t="str">
        <f>_xlfn.XLOOKUP(A29,JMM[Referência],JMM[Designação], "")</f>
        <v xml:space="preserve">CABO RV-K 5G16 0,6/1KV FLEXIVEL PT </v>
      </c>
      <c r="C29" s="5">
        <f>_xlfn.MINIFS(JMM[Preço Unitário],JMM[Referência], A29)</f>
        <v>7.9912000000000001</v>
      </c>
      <c r="F29" s="5"/>
    </row>
    <row r="30" spans="1:6">
      <c r="A30" t="str">
        <v>1RVK5G25</v>
      </c>
      <c r="B30" t="str">
        <f>_xlfn.XLOOKUP(A30,JMM[Referência],JMM[Designação], "")</f>
        <v xml:space="preserve">CABO RV-K 5G25 0,6/1KV FLEXIVEL PT </v>
      </c>
      <c r="C30" s="5">
        <f>_xlfn.MINIFS(JMM[Preço Unitário],JMM[Referência], A30)</f>
        <v>12.6312</v>
      </c>
    </row>
    <row r="31" spans="1:6">
      <c r="A31" t="str">
        <v>JMMA086541</v>
      </c>
      <c r="B31" t="str">
        <f>_xlfn.XLOOKUP(A31,JMM[Referência],JMM[Designação], "")</f>
        <v xml:space="preserve">BOBINA JMM A08-6541 MADEIRA </v>
      </c>
      <c r="C31" s="5">
        <f>_xlfn.MINIFS(JMM[Preço Unitário],JMM[Referência], A31)</f>
        <v>90</v>
      </c>
    </row>
    <row r="32" spans="1:6">
      <c r="A32" t="str">
        <v>1RVK150</v>
      </c>
      <c r="B32" t="str">
        <f>_xlfn.XLOOKUP(A32,JMM[Referência],JMM[Designação], "")</f>
        <v xml:space="preserve">CABO RV-K 1X50 0,6/1KV FLEXIVEL PT </v>
      </c>
      <c r="C32" s="5">
        <f>_xlfn.MINIFS(JMM[Preço Unitário],JMM[Referência], A32)</f>
        <v>4.7211999999999996</v>
      </c>
    </row>
    <row r="33" spans="1:3">
      <c r="A33" t="str">
        <v>JMMA087001</v>
      </c>
      <c r="B33" t="str">
        <f>_xlfn.XLOOKUP(A33,JMM[Referência],JMM[Designação], "")</f>
        <v xml:space="preserve">BOBINA JMM A08-7001 MADEIRA </v>
      </c>
      <c r="C33" s="5">
        <f>_xlfn.MINIFS(JMM[Preço Unitário],JMM[Referência], A33)</f>
        <v>90</v>
      </c>
    </row>
    <row r="34" spans="1:3">
      <c r="A34" t="str">
        <v>1LXV150</v>
      </c>
      <c r="B34" t="str">
        <f>_xlfn.XLOOKUP(A34,JMM[Referência],JMM[Designação], "")</f>
        <v xml:space="preserve">CABO LXV 1X50 </v>
      </c>
      <c r="C34" s="5">
        <f>_xlfn.MINIFS(JMM[Preço Unitário],JMM[Referência], A34)</f>
        <v>0.74080000000000001</v>
      </c>
    </row>
    <row r="35" spans="1:3">
      <c r="A35" t="str">
        <v>JMMA077336</v>
      </c>
      <c r="B35" t="str">
        <f>_xlfn.XLOOKUP(A35,JMM[Referência],JMM[Designação], "")</f>
        <v xml:space="preserve">BOBINA JMM A07-7336 MADEIRA </v>
      </c>
      <c r="C35" s="5">
        <f>_xlfn.MINIFS(JMM[Preço Unitário],JMM[Referência], A35)</f>
        <v>90</v>
      </c>
    </row>
    <row r="36" spans="1:3">
      <c r="A36" t="str">
        <v>EFA21071</v>
      </c>
      <c r="B36" t="str">
        <f>_xlfn.XLOOKUP(A36,JMM[Referência],JMM[Designação], "")</f>
        <v xml:space="preserve">EFAPEL 21071 COMUTADOR ESCADA </v>
      </c>
      <c r="C36" s="5">
        <f>_xlfn.MINIFS(JMM[Preço Unitário],JMM[Referência], A36)</f>
        <v>2.0099999999999998</v>
      </c>
    </row>
    <row r="37" spans="1:3">
      <c r="A37" t="str">
        <v>EFA90601TBR</v>
      </c>
      <c r="B37" t="str">
        <f>_xlfn.XLOOKUP(A37,JMM[Referência],JMM[Designação], "")</f>
        <v xml:space="preserve">EFAPEL 90601 TBR TECLA SIMPLES BRANCA </v>
      </c>
      <c r="C37" s="5">
        <f>_xlfn.MINIFS(JMM[Preço Unitário],JMM[Referência], A37)</f>
        <v>0.62</v>
      </c>
    </row>
    <row r="38" spans="1:3">
      <c r="A38" t="str">
        <v>EFA90910TBR</v>
      </c>
      <c r="B38" t="str">
        <f>_xlfn.XLOOKUP(A38,JMM[Referência],JMM[Designação], "")</f>
        <v xml:space="preserve">EFAPEL 90910 TBR ESPELHO SIMPLES BRANCO </v>
      </c>
      <c r="C38" s="5">
        <f>_xlfn.MINIFS(JMM[Preço Unitário],JMM[Referência], A38)</f>
        <v>0.67</v>
      </c>
    </row>
    <row r="39" spans="1:3">
      <c r="A39" t="str">
        <v>JMMA077283</v>
      </c>
      <c r="B39" t="str">
        <f>_xlfn.XLOOKUP(A39,JMM[Referência],JMM[Designação], "")</f>
        <v>BOBINA JMM A07-7283 MADEIRA</v>
      </c>
      <c r="C39" s="5">
        <f>_xlfn.MINIFS(JMM[Preço Unitário],JMM[Referência], A39)</f>
        <v>90</v>
      </c>
    </row>
    <row r="40" spans="1:3">
      <c r="A40" t="str">
        <v>JMMA127418</v>
      </c>
      <c r="B40" t="str">
        <f>_xlfn.XLOOKUP(A40,JMM[Referência],JMM[Designação], "")</f>
        <v>BOBINA JMM A12-7418 MADEIRA</v>
      </c>
      <c r="C40" s="5">
        <f>_xlfn.MINIFS(JMM[Preço Unitário],JMM[Referência], A40)</f>
        <v>160</v>
      </c>
    </row>
    <row r="41" spans="1:3">
      <c r="A41" t="str">
        <v>JMMA125718</v>
      </c>
      <c r="B41" t="str">
        <f>_xlfn.XLOOKUP(A41,JMM[Referência],JMM[Designação], "")</f>
        <v>BOBINA JMM A12-5718 MADEIRA</v>
      </c>
      <c r="C41" s="5">
        <f>_xlfn.MINIFS(JMM[Preço Unitário],JMM[Referência], A41)</f>
        <v>160</v>
      </c>
    </row>
    <row r="42" spans="1:3">
      <c r="A42" t="str">
        <v>JMMA104343</v>
      </c>
      <c r="B42" t="str">
        <f>_xlfn.XLOOKUP(A42,JMM[Referência],JMM[Designação], "")</f>
        <v>BOBINA JMM A10-4343 MADEIRA</v>
      </c>
      <c r="C42" s="5">
        <f>_xlfn.MINIFS(JMM[Preço Unitário],JMM[Referência], A42)</f>
        <v>135</v>
      </c>
    </row>
    <row r="43" spans="1:3">
      <c r="A43" t="str">
        <v>JMMA104353</v>
      </c>
      <c r="B43" t="str">
        <f>_xlfn.XLOOKUP(A43,JMM[Referência],JMM[Designação], "")</f>
        <v>BOBINA JMM A10-4353 MADEIRA</v>
      </c>
      <c r="C43" s="5">
        <f>_xlfn.MINIFS(JMM[Preço Unitário],JMM[Referência], A43)</f>
        <v>135</v>
      </c>
    </row>
    <row r="44" spans="1:3">
      <c r="A44" t="str">
        <v>1FV4VA</v>
      </c>
      <c r="B44" t="str">
        <f>_xlfn.XLOOKUP(A44,JMM[Referência],JMM[Designação], "")</f>
        <v>CABO H07V-K (FV) 4 V/A</v>
      </c>
      <c r="C44" s="5">
        <f>_xlfn.MINIFS(JMM[Preço Unitário],JMM[Referência], A44)</f>
        <v>0.39040000000000002</v>
      </c>
    </row>
    <row r="45" spans="1:3">
      <c r="A45" t="str">
        <v>1RZ1K5G10VD</v>
      </c>
      <c r="B45" t="str">
        <f>_xlfn.XLOOKUP(A45,JMM[Referência],JMM[Designação], "")</f>
        <v xml:space="preserve"> CABO RZ1-K 5G10 0,6/1KV VERDE= FXG</v>
      </c>
      <c r="C45" s="5">
        <f>_xlfn.MINIFS(JMM[Preço Unitário],JMM[Referência], A45)</f>
        <v>5.4405000000000001</v>
      </c>
    </row>
    <row r="46" spans="1:3">
      <c r="A46" t="str">
        <v>JMMA075971</v>
      </c>
      <c r="B46" t="str">
        <f>_xlfn.XLOOKUP(A46,JMM[Referência],JMM[Designação], "")</f>
        <v>BOBINA JMM A07-5971 MADEIRA</v>
      </c>
      <c r="C46" s="5">
        <f>_xlfn.MINIFS(JMM[Preço Unitário],JMM[Referência], A46)</f>
        <v>90</v>
      </c>
    </row>
    <row r="47" spans="1:3">
      <c r="A47" t="str">
        <v>1RVK466</v>
      </c>
      <c r="B47" t="str">
        <f>_xlfn.XLOOKUP(A47,JMM[Referência],JMM[Designação], "")</f>
        <v xml:space="preserve">CABO RV-K 5G6 0,6/1KV FLEXIVEL PT </v>
      </c>
      <c r="C47" s="5">
        <f>_xlfn.MINIFS(JMM[Preço Unitário],JMM[Referência], A47)</f>
        <v>2.9710000000000001</v>
      </c>
    </row>
    <row r="48" spans="1:3">
      <c r="A48" t="str">
        <v>1RZ1K5G16VD</v>
      </c>
      <c r="B48" t="str">
        <f>_xlfn.XLOOKUP(A48,JMM[Referência],JMM[Designação], "")</f>
        <v>CABO RZ1-K 5G16 0,6/1KV VERDE= FXG</v>
      </c>
      <c r="C48" s="5">
        <f>_xlfn.MINIFS(JMM[Preço Unitário],JMM[Referência], A48)</f>
        <v>8.7819000000000003</v>
      </c>
    </row>
    <row r="49" spans="1:3">
      <c r="A49" t="str">
        <v>1RZ1K42525VD</v>
      </c>
      <c r="B49" t="str">
        <f>_xlfn.XLOOKUP(A49,JMM[Referência],JMM[Designação], "")</f>
        <v>CABO RZ1-K 5G2,5 0,6/1KV VERDE = FXG</v>
      </c>
      <c r="C49" s="5">
        <f>_xlfn.MINIFS(JMM[Preço Unitário],JMM[Referência], A49)</f>
        <v>1.9128000000000001</v>
      </c>
    </row>
    <row r="50" spans="1:3">
      <c r="A50" t="str">
        <v>1LXV1120</v>
      </c>
      <c r="B50" t="str">
        <f>_xlfn.XLOOKUP(A50,JMM[Referência],JMM[Designação], "")</f>
        <v>CABO LXV 1X120</v>
      </c>
      <c r="C50" s="5">
        <f>_xlfn.MINIFS(JMM[Preço Unitário],JMM[Referência], A50)</f>
        <v>1.6809000000000001</v>
      </c>
    </row>
    <row r="51" spans="1:3">
      <c r="A51" t="str">
        <v>1LXV170</v>
      </c>
      <c r="B51" t="str">
        <f>_xlfn.XLOOKUP(A51,JMM[Referência],JMM[Designação], "")</f>
        <v>CABO LXV 1X70</v>
      </c>
      <c r="C51" s="5">
        <f>_xlfn.MINIFS(JMM[Preço Unitário],JMM[Referência], A51)</f>
        <v>1.2012</v>
      </c>
    </row>
    <row r="52" spans="1:3">
      <c r="A52" t="str">
        <v>1XV170</v>
      </c>
      <c r="B52" t="str">
        <f>_xlfn.XLOOKUP(A52,JMM[Referência],JMM[Designação], "")</f>
        <v>CABO XV 1X70 1KV PT</v>
      </c>
      <c r="C52" s="5">
        <f>_xlfn.MINIFS(JMM[Preço Unitário],JMM[Referência], A52)</f>
        <v>7.0731999999999999</v>
      </c>
    </row>
    <row r="53" spans="1:3">
      <c r="A53" t="str">
        <v>1RZ1K1185VD</v>
      </c>
      <c r="B53" t="s">
        <v>1076</v>
      </c>
      <c r="C53" s="5">
        <f>_xlfn.MINIFS(JMM[Preço Unitário],JMM[Referência], A53)</f>
        <v>18.991199999999999</v>
      </c>
    </row>
    <row r="54" spans="1:3">
      <c r="A54" t="str">
        <v>JMMA098187</v>
      </c>
      <c r="B54" t="str">
        <f>_xlfn.XLOOKUP(A54,JMM[Referência],JMM[Designação], "")</f>
        <v>BOBINA JMM A09 - 8187 MADEIRA</v>
      </c>
      <c r="C54" s="5">
        <f>_xlfn.MINIFS(JMM[Preço Unitário],JMM[Referência], A54)</f>
        <v>115</v>
      </c>
    </row>
    <row r="55" spans="1:3">
      <c r="A55" t="str">
        <v>JMMA078751</v>
      </c>
      <c r="B55" t="str">
        <f>_xlfn.XLOOKUP(A55,JMM[Referência],JMM[Designação], "")</f>
        <v>BOBINA JMM A07-8751 MADEIRA</v>
      </c>
      <c r="C55" s="5">
        <f>_xlfn.MINIFS(JMM[Preço Unitário],JMM[Referência], A55)</f>
        <v>90</v>
      </c>
    </row>
    <row r="56" spans="1:3">
      <c r="A56" t="str">
        <v>JMMA077655</v>
      </c>
      <c r="B56" t="str">
        <f>_xlfn.XLOOKUP(A56,JMM[Referência],JMM[Designação], "")</f>
        <v>BOBINA JMM A07-7655 MADEIRA</v>
      </c>
      <c r="C56" s="5">
        <f>_xlfn.MINIFS(JMM[Preço Unitário],JMM[Referência], A56)</f>
        <v>90</v>
      </c>
    </row>
    <row r="57" spans="1:3">
      <c r="A57" t="str">
        <v>JMMA077287</v>
      </c>
      <c r="B57" t="str">
        <f>_xlfn.XLOOKUP(A57,JMM[Referência],JMM[Designação], "")</f>
        <v>BOBINA JMM A07-7287 MADEIRA</v>
      </c>
      <c r="C57" s="5">
        <f>_xlfn.MINIFS(JMM[Preço Unitário],JMM[Referência], A57)</f>
        <v>90</v>
      </c>
    </row>
    <row r="58" spans="1:3">
      <c r="A58" t="str">
        <v>JMMA078772</v>
      </c>
      <c r="B58" t="str">
        <f>_xlfn.XLOOKUP(A58,JMM[Referência],JMM[Designação], "")</f>
        <v>BOBINA JMM A07-8772 MADEIRA</v>
      </c>
      <c r="C58" s="5">
        <f>_xlfn.MINIFS(JMM[Preço Unitário],JMM[Referência], A58)</f>
        <v>90</v>
      </c>
    </row>
    <row r="59" spans="1:3">
      <c r="A59" t="str">
        <v>1LXV1240</v>
      </c>
      <c r="B59" t="str">
        <f>_xlfn.XLOOKUP(A59,JMM[Referência],JMM[Designação], "")</f>
        <v>CABO LXV 1X240</v>
      </c>
      <c r="C59" s="5">
        <f>_xlfn.MINIFS(JMM[Preço Unitário],JMM[Referência], A59)</f>
        <v>4.1824000000000003</v>
      </c>
    </row>
    <row r="60" spans="1:3">
      <c r="A60" t="str">
        <v>JMMA107111</v>
      </c>
      <c r="B60" t="str">
        <f>_xlfn.XLOOKUP(A60,JMM[Referência],JMM[Designação], "")</f>
        <v>BOBINA JMM A10-7111 MADEIRA</v>
      </c>
      <c r="C60" s="5">
        <f>_xlfn.MINIFS(JMM[Preço Unitário],JMM[Referência], A60)</f>
        <v>135</v>
      </c>
    </row>
    <row r="61" spans="1:3">
      <c r="A61" t="str">
        <v>JMMA077281</v>
      </c>
      <c r="B61" t="str">
        <f>_xlfn.XLOOKUP(A61,JMM[Referência],JMM[Designação], "")</f>
        <v>BOBINA JMM A07-7281 MADEIRA</v>
      </c>
      <c r="C61" s="5">
        <f>_xlfn.MINIFS(JMM[Preço Unitário],JMM[Referência], A61)</f>
        <v>90</v>
      </c>
    </row>
    <row r="62" spans="1:3">
      <c r="A62" t="str">
        <v>1XV42525PT</v>
      </c>
      <c r="B62" t="str">
        <f>_xlfn.XLOOKUP(A62,JMM[Referência],JMM[Designação], "")</f>
        <v>CABO XV 5G2,5 1KV PT</v>
      </c>
      <c r="C62" s="5">
        <f>_xlfn.MINIFS(JMM[Preço Unitário],JMM[Referência], A62)</f>
        <v>1.7705</v>
      </c>
    </row>
    <row r="63" spans="1:3">
      <c r="A63" t="str">
        <v>1RZ1K5G35VD</v>
      </c>
      <c r="B63" t="str">
        <f>_xlfn.XLOOKUP(A63,JMM[Referência],JMM[Designação], "")</f>
        <v xml:space="preserve"> </v>
      </c>
      <c r="C63" s="5">
        <f>_xlfn.MINIFS(JMM[Preço Unitário],JMM[Referência], A63)</f>
        <v>18.9011</v>
      </c>
    </row>
    <row r="64" spans="1:3">
      <c r="A64" t="str">
        <v>1LXVXZ11240PT</v>
      </c>
      <c r="B64" t="str">
        <f>_xlfn.XLOOKUP(A64,JMM[Referência],JMM[Designação], "")</f>
        <v>CABO LXV/XZ1 1X240 AL 0,6/1KV PRETO</v>
      </c>
      <c r="C64" s="5">
        <f>_xlfn.MINIFS(JMM[Preço Unitário],JMM[Referência], A64)</f>
        <v>3.3209</v>
      </c>
    </row>
    <row r="65" spans="1:3">
      <c r="A65" t="str">
        <v>JMMA10732</v>
      </c>
      <c r="B65" t="str">
        <f>_xlfn.XLOOKUP(A65,JMM[Referência],JMM[Designação], "")</f>
        <v>BOBINA JMM A10 - 732 MADEIRA</v>
      </c>
      <c r="C65" s="5">
        <f>_xlfn.MINIFS(JMM[Preço Unitário],JMM[Referência], A65)</f>
        <v>135</v>
      </c>
    </row>
    <row r="66" spans="1:3">
      <c r="A66" t="str">
        <v>JMMA078536</v>
      </c>
      <c r="B66" t="str">
        <f>_xlfn.XLOOKUP(A66,JMM[Referência],JMM[Designação], "")</f>
        <v>BOBINA JMM A07-8536 MADEIRA</v>
      </c>
      <c r="C66" s="5">
        <f>_xlfn.MINIFS(JMM[Preço Unitário],JMM[Referência], A66)</f>
        <v>90</v>
      </c>
    </row>
    <row r="67" spans="1:3">
      <c r="A67" t="str">
        <v>1COBN25</v>
      </c>
      <c r="B67" t="str">
        <f>_xlfn.XLOOKUP(A67,JMM[Referência],JMM[Designação], "")</f>
        <v>COBRE NU 25mm</v>
      </c>
      <c r="C67" s="5">
        <f>_xlfn.MINIFS(JMM[Preço Unitário],JMM[Referência], A67)</f>
        <v>2.4588999999999999</v>
      </c>
    </row>
    <row r="68" spans="1:3">
      <c r="A68" t="str">
        <v>1RVK135</v>
      </c>
      <c r="B68" t="str">
        <f>_xlfn.XLOOKUP(A68,JMM[Referência],JMM[Designação], "")</f>
        <v>CABO RV-K 1X35 0,6/1KV FLEXIVEL PT</v>
      </c>
      <c r="C68" s="5">
        <f>_xlfn.MINIFS(JMM[Preço Unitário],JMM[Referência], A68)</f>
        <v>3.4018999999999999</v>
      </c>
    </row>
    <row r="69" spans="1:3">
      <c r="A69" t="str">
        <v>JMMA073806</v>
      </c>
      <c r="B69" t="str">
        <f>_xlfn.XLOOKUP(A69,JMM[Referência],JMM[Designação], "")</f>
        <v>BOBINA JMM A07-3806 MADEIRA</v>
      </c>
      <c r="C69" s="5">
        <f>_xlfn.MINIFS(JMM[Preço Unitário],JMM[Referência], A69)</f>
        <v>90</v>
      </c>
    </row>
    <row r="70" spans="1:3">
      <c r="A70" t="str">
        <v>1COBN35</v>
      </c>
      <c r="B70" t="str">
        <f>_xlfn.XLOOKUP(A70,JMM[Referência],JMM[Designação], "")</f>
        <v>COBRE NU 35mm</v>
      </c>
      <c r="C70" s="5">
        <f>_xlfn.MINIFS(JMM[Preço Unitário],JMM[Referência], A70)</f>
        <v>4.1835000000000004</v>
      </c>
    </row>
    <row r="71" spans="1:3">
      <c r="A71" t="str">
        <v>JMMA077694</v>
      </c>
      <c r="B71" t="str">
        <f>_xlfn.XLOOKUP(A71,JMM[Referência],JMM[Designação], "")</f>
        <v>BOBINA JMM A07-7694 MADEIRA</v>
      </c>
      <c r="C71" s="5">
        <f>_xlfn.MINIFS(JMM[Preço Unitário],JMM[Referência], A71)</f>
        <v>90</v>
      </c>
    </row>
    <row r="72" spans="1:3">
      <c r="A72" t="str">
        <v>1RZ1K135VD</v>
      </c>
      <c r="B72" t="str">
        <f>_xlfn.XLOOKUP(A72,JMM[Referência],JMM[Designação], "")</f>
        <v>CABO RZ1-K 1X35 0,6/1KV VERDE = FXG</v>
      </c>
      <c r="C72" s="5">
        <f>_xlfn.MINIFS(JMM[Preço Unitário],JMM[Referência], A72)</f>
        <v>4.4574999999999996</v>
      </c>
    </row>
    <row r="73" spans="1:3">
      <c r="A73" t="str">
        <v>JMMA084233</v>
      </c>
      <c r="B73" t="str">
        <f>_xlfn.XLOOKUP(A73,JMM[Referência],JMM[Designação], "")</f>
        <v>BOBINA JMM A08-4233 MADEIRA</v>
      </c>
      <c r="C73" s="5">
        <f>_xlfn.MINIFS(JMM[Preço Unitário],JMM[Referência], A73)</f>
        <v>90</v>
      </c>
    </row>
    <row r="74" spans="1:3">
      <c r="A74" t="str">
        <v>JMMA145365</v>
      </c>
      <c r="B74" t="str">
        <f>_xlfn.XLOOKUP(A74,JMM[Referência],JMM[Designação], "")</f>
        <v>BOBINA JMM A14-5365 MADEIRA</v>
      </c>
      <c r="C74" s="5">
        <f>_xlfn.MINIFS(JMM[Preço Unitário],JMM[Referência], A74)</f>
        <v>230</v>
      </c>
    </row>
    <row r="75" spans="1:3">
      <c r="A75" t="str">
        <v>1LXVXZ1125VD</v>
      </c>
      <c r="B75" t="str">
        <f>_xlfn.XLOOKUP(A75,JMM[Referência],JMM[Designação], "")</f>
        <v xml:space="preserve"> </v>
      </c>
      <c r="C75" s="5">
        <f>_xlfn.MINIFS(JMM[Preço Unitário],JMM[Referência], A75)</f>
        <v>0.87060000000000004</v>
      </c>
    </row>
    <row r="76" spans="1:3">
      <c r="A76" t="str">
        <v>1RVK1240</v>
      </c>
      <c r="B76" t="str">
        <f>_xlfn.XLOOKUP(A76,JMM[Referência],JMM[Designação], "")</f>
        <v xml:space="preserve"> </v>
      </c>
      <c r="C76" s="5">
        <f>_xlfn.MINIFS(JMM[Preço Unitário],JMM[Referência], A76)</f>
        <v>30.901499999999999</v>
      </c>
    </row>
    <row r="77" spans="1:3">
      <c r="A77" t="str">
        <v>JMMA088920</v>
      </c>
      <c r="B77" t="str">
        <f>_xlfn.XLOOKUP(A77,JMM[Referência],JMM[Designação], "")</f>
        <v>BOBINA JMM A08-8920 MADEIRA</v>
      </c>
      <c r="C77" s="5">
        <f>_xlfn.MINIFS(JMM[Preço Unitário],JMM[Referência], A77)</f>
        <v>90</v>
      </c>
    </row>
  </sheetData>
  <autoFilter ref="A1:C77" xr:uid="{6D83632C-C26B-4D67-B836-762C59B7E1DF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69C87-464D-4480-BD33-953D5189CC49}">
  <dimension ref="A1:K117"/>
  <sheetViews>
    <sheetView workbookViewId="0">
      <selection activeCell="I11" sqref="I11"/>
    </sheetView>
  </sheetViews>
  <sheetFormatPr defaultRowHeight="15"/>
  <cols>
    <col min="1" max="1" width="58" bestFit="1" customWidth="1"/>
    <col min="2" max="2" width="20" bestFit="1" customWidth="1"/>
    <col min="3" max="3" width="41.7109375" bestFit="1" customWidth="1"/>
    <col min="4" max="4" width="46" bestFit="1" customWidth="1"/>
    <col min="5" max="5" width="16.85546875" bestFit="1" customWidth="1"/>
    <col min="6" max="6" width="46" bestFit="1" customWidth="1"/>
    <col min="7" max="7" width="8.42578125" bestFit="1" customWidth="1"/>
    <col min="8" max="8" width="15.42578125" bestFit="1" customWidth="1"/>
    <col min="9" max="9" width="6.42578125" customWidth="1"/>
    <col min="10" max="10" width="10" bestFit="1" customWidth="1"/>
    <col min="11" max="11" width="6.42578125" bestFit="1" customWidth="1"/>
    <col min="12" max="12" width="15.42578125" bestFit="1" customWidth="1"/>
    <col min="13" max="13" width="6.42578125" bestFit="1" customWidth="1"/>
    <col min="14" max="14" width="13.28515625" bestFit="1" customWidth="1"/>
    <col min="15" max="16" width="11.5703125" bestFit="1" customWidth="1"/>
    <col min="17" max="19" width="11.140625" bestFit="1" customWidth="1"/>
    <col min="20" max="23" width="12.1406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1077</v>
      </c>
      <c r="G1" t="s">
        <v>8</v>
      </c>
    </row>
    <row r="2" spans="1:11">
      <c r="A2" t="s">
        <v>884</v>
      </c>
      <c r="B2" t="s">
        <v>885</v>
      </c>
      <c r="C2" t="s">
        <v>886</v>
      </c>
      <c r="D2" t="s">
        <v>1078</v>
      </c>
      <c r="E2" t="s">
        <v>1079</v>
      </c>
      <c r="F2" t="s">
        <v>1080</v>
      </c>
      <c r="G2" t="e">
        <f>JMM_Fatura[[#This Row],[Valor Ilíquido]]*(1+#REF!)</f>
        <v>#VALUE!</v>
      </c>
    </row>
    <row r="3" spans="1:11">
      <c r="A3" t="s">
        <v>884</v>
      </c>
      <c r="B3" t="s">
        <v>887</v>
      </c>
      <c r="C3" t="s">
        <v>888</v>
      </c>
      <c r="D3" t="s">
        <v>1081</v>
      </c>
      <c r="E3" t="s">
        <v>1082</v>
      </c>
      <c r="F3" t="s">
        <v>1083</v>
      </c>
      <c r="G3" t="e">
        <f>JMM_Fatura[[#This Row],[Valor Ilíquido]]*(1+#REF!)</f>
        <v>#VALUE!</v>
      </c>
    </row>
    <row r="4" spans="1:11">
      <c r="A4" t="s">
        <v>884</v>
      </c>
      <c r="B4" t="s">
        <v>889</v>
      </c>
      <c r="C4" t="s">
        <v>890</v>
      </c>
      <c r="D4" t="s">
        <v>1084</v>
      </c>
      <c r="E4" t="s">
        <v>1085</v>
      </c>
      <c r="F4" t="s">
        <v>1086</v>
      </c>
      <c r="G4" t="e">
        <f>JMM_Fatura[[#This Row],[Valor Ilíquido]]*(1+#REF!)</f>
        <v>#VALUE!</v>
      </c>
    </row>
    <row r="5" spans="1:11">
      <c r="A5" t="s">
        <v>884</v>
      </c>
      <c r="B5" t="s">
        <v>891</v>
      </c>
      <c r="C5" t="s">
        <v>892</v>
      </c>
      <c r="D5" t="s">
        <v>1087</v>
      </c>
      <c r="E5" t="s">
        <v>1088</v>
      </c>
      <c r="F5" t="s">
        <v>1089</v>
      </c>
      <c r="G5" t="e">
        <f>JMM_Fatura[[#This Row],[Valor Ilíquido]]*(1+#REF!)</f>
        <v>#VALUE!</v>
      </c>
      <c r="I5" s="10"/>
      <c r="J5" s="10"/>
      <c r="K5" s="10"/>
    </row>
    <row r="6" spans="1:11">
      <c r="A6" t="s">
        <v>893</v>
      </c>
      <c r="B6" t="s">
        <v>894</v>
      </c>
      <c r="C6" t="s">
        <v>895</v>
      </c>
      <c r="D6" t="s">
        <v>1090</v>
      </c>
      <c r="E6" t="s">
        <v>1091</v>
      </c>
      <c r="F6" t="s">
        <v>1090</v>
      </c>
      <c r="G6" t="e">
        <f>JMM_Fatura[[#This Row],[Valor Ilíquido]]*(1+#REF!)</f>
        <v>#VALUE!</v>
      </c>
      <c r="I6" s="12" t="s">
        <v>1092</v>
      </c>
      <c r="J6" s="10"/>
      <c r="K6" s="10"/>
    </row>
    <row r="7" spans="1:11">
      <c r="A7" t="s">
        <v>893</v>
      </c>
      <c r="B7" t="s">
        <v>885</v>
      </c>
      <c r="C7" t="s">
        <v>886</v>
      </c>
      <c r="D7" t="s">
        <v>1078</v>
      </c>
      <c r="E7" t="s">
        <v>1093</v>
      </c>
      <c r="F7" t="s">
        <v>1078</v>
      </c>
      <c r="G7" t="e">
        <f>JMM_Fatura[[#This Row],[Valor Ilíquido]]*(1+#REF!)</f>
        <v>#VALUE!</v>
      </c>
      <c r="I7" s="10"/>
      <c r="J7" s="10"/>
      <c r="K7" s="10"/>
    </row>
    <row r="8" spans="1:11">
      <c r="A8" t="s">
        <v>893</v>
      </c>
      <c r="B8" t="s">
        <v>896</v>
      </c>
      <c r="C8" t="s">
        <v>897</v>
      </c>
      <c r="D8" t="s">
        <v>1094</v>
      </c>
      <c r="E8" t="s">
        <v>1095</v>
      </c>
      <c r="F8" t="s">
        <v>1094</v>
      </c>
      <c r="G8" t="e">
        <f>JMM_Fatura[[#This Row],[Valor Ilíquido]]*(1+#REF!)</f>
        <v>#VALUE!</v>
      </c>
    </row>
    <row r="9" spans="1:11">
      <c r="A9" t="s">
        <v>893</v>
      </c>
      <c r="B9" t="s">
        <v>898</v>
      </c>
      <c r="C9" t="s">
        <v>899</v>
      </c>
      <c r="D9" t="s">
        <v>1084</v>
      </c>
      <c r="E9" t="s">
        <v>1085</v>
      </c>
      <c r="F9" t="s">
        <v>1084</v>
      </c>
      <c r="G9" t="e">
        <f>JMM_Fatura[[#This Row],[Valor Ilíquido]]*(1+#REF!)</f>
        <v>#VALUE!</v>
      </c>
    </row>
    <row r="10" spans="1:11">
      <c r="A10" t="s">
        <v>900</v>
      </c>
      <c r="B10" t="s">
        <v>901</v>
      </c>
      <c r="C10" t="s">
        <v>902</v>
      </c>
      <c r="D10" t="s">
        <v>1096</v>
      </c>
      <c r="E10" t="s">
        <v>1097</v>
      </c>
      <c r="F10" t="s">
        <v>1096</v>
      </c>
      <c r="G10" t="e">
        <f>JMM_Fatura[[#This Row],[Valor Ilíquido]]*(1+#REF!)</f>
        <v>#VALUE!</v>
      </c>
    </row>
    <row r="11" spans="1:11">
      <c r="A11" t="s">
        <v>900</v>
      </c>
      <c r="B11" t="s">
        <v>903</v>
      </c>
      <c r="C11" t="s">
        <v>904</v>
      </c>
      <c r="D11" t="s">
        <v>1084</v>
      </c>
      <c r="E11" t="s">
        <v>1098</v>
      </c>
      <c r="F11" t="s">
        <v>1084</v>
      </c>
      <c r="G11" t="e">
        <f>JMM_Fatura[[#This Row],[Valor Ilíquido]]*(1+#REF!)</f>
        <v>#VALUE!</v>
      </c>
    </row>
    <row r="12" spans="1:11">
      <c r="A12" t="s">
        <v>900</v>
      </c>
      <c r="B12" t="s">
        <v>905</v>
      </c>
      <c r="C12" t="s">
        <v>906</v>
      </c>
      <c r="D12" t="s">
        <v>1094</v>
      </c>
      <c r="E12" t="s">
        <v>1099</v>
      </c>
      <c r="F12" t="s">
        <v>1094</v>
      </c>
      <c r="G12" t="e">
        <f>JMM_Fatura[[#This Row],[Valor Ilíquido]]*(1+#REF!)</f>
        <v>#VALUE!</v>
      </c>
    </row>
    <row r="13" spans="1:11">
      <c r="A13" t="s">
        <v>900</v>
      </c>
      <c r="B13" t="s">
        <v>907</v>
      </c>
      <c r="C13" t="s">
        <v>908</v>
      </c>
      <c r="D13" t="s">
        <v>1084</v>
      </c>
      <c r="E13" t="s">
        <v>1085</v>
      </c>
      <c r="F13" t="s">
        <v>1084</v>
      </c>
      <c r="G13" t="e">
        <f>JMM_Fatura[[#This Row],[Valor Ilíquido]]*(1+#REF!)</f>
        <v>#VALUE!</v>
      </c>
    </row>
    <row r="14" spans="1:11">
      <c r="A14" t="s">
        <v>900</v>
      </c>
      <c r="B14" t="s">
        <v>909</v>
      </c>
      <c r="C14" t="s">
        <v>910</v>
      </c>
      <c r="D14" t="s">
        <v>1100</v>
      </c>
      <c r="E14" t="s">
        <v>1101</v>
      </c>
      <c r="F14" t="s">
        <v>1100</v>
      </c>
      <c r="G14" t="e">
        <f>JMM_Fatura[[#This Row],[Valor Ilíquido]]*(1+#REF!)</f>
        <v>#VALUE!</v>
      </c>
    </row>
    <row r="15" spans="1:11">
      <c r="A15" t="s">
        <v>900</v>
      </c>
      <c r="B15" t="s">
        <v>911</v>
      </c>
      <c r="C15" t="s">
        <v>912</v>
      </c>
      <c r="D15" t="s">
        <v>1102</v>
      </c>
      <c r="E15" t="s">
        <v>1103</v>
      </c>
      <c r="F15" t="s">
        <v>1102</v>
      </c>
      <c r="G15" t="e">
        <f>JMM_Fatura[[#This Row],[Valor Ilíquido]]*(1+#REF!)</f>
        <v>#VALUE!</v>
      </c>
    </row>
    <row r="16" spans="1:11">
      <c r="A16" t="s">
        <v>925</v>
      </c>
      <c r="B16" t="s">
        <v>926</v>
      </c>
      <c r="C16" t="s">
        <v>927</v>
      </c>
      <c r="D16" t="s">
        <v>1104</v>
      </c>
      <c r="E16" t="s">
        <v>1105</v>
      </c>
      <c r="F16" t="s">
        <v>1104</v>
      </c>
      <c r="G16" t="e">
        <f>JMM_Fatura[[#This Row],[Valor Ilíquido]]*(1+#REF!)</f>
        <v>#VALUE!</v>
      </c>
    </row>
    <row r="17" spans="1:7">
      <c r="A17" t="s">
        <v>925</v>
      </c>
      <c r="B17" t="s">
        <v>928</v>
      </c>
      <c r="C17" t="s">
        <v>929</v>
      </c>
      <c r="D17" t="s">
        <v>1106</v>
      </c>
      <c r="E17" t="s">
        <v>1107</v>
      </c>
      <c r="F17" t="s">
        <v>1106</v>
      </c>
      <c r="G17" t="e">
        <f>JMM_Fatura[[#This Row],[Valor Ilíquido]]*(1+#REF!)</f>
        <v>#VALUE!</v>
      </c>
    </row>
    <row r="18" spans="1:7">
      <c r="A18" t="s">
        <v>913</v>
      </c>
      <c r="B18" t="s">
        <v>914</v>
      </c>
      <c r="C18" t="s">
        <v>915</v>
      </c>
      <c r="D18" t="s">
        <v>1108</v>
      </c>
      <c r="E18" t="s">
        <v>1109</v>
      </c>
      <c r="F18" t="s">
        <v>1110</v>
      </c>
      <c r="G18" t="e">
        <f>JMM_Fatura[[#This Row],[Valor Ilíquido]]*(1+#REF!)</f>
        <v>#VALUE!</v>
      </c>
    </row>
    <row r="19" spans="1:7">
      <c r="A19" t="s">
        <v>945</v>
      </c>
      <c r="B19" t="s">
        <v>926</v>
      </c>
      <c r="C19" t="s">
        <v>927</v>
      </c>
      <c r="D19" t="s">
        <v>1111</v>
      </c>
      <c r="E19" t="s">
        <v>1105</v>
      </c>
      <c r="F19" t="s">
        <v>1111</v>
      </c>
      <c r="G19" t="e">
        <f>JMM_Fatura[[#This Row],[Valor Ilíquido]]*(1+#REF!)</f>
        <v>#VALUE!</v>
      </c>
    </row>
    <row r="20" spans="1:7">
      <c r="A20" t="s">
        <v>945</v>
      </c>
      <c r="B20" t="s">
        <v>946</v>
      </c>
      <c r="C20" t="s">
        <v>947</v>
      </c>
      <c r="D20" t="s">
        <v>1112</v>
      </c>
      <c r="E20" t="s">
        <v>1107</v>
      </c>
      <c r="F20" t="s">
        <v>1112</v>
      </c>
      <c r="G20" t="e">
        <f>JMM_Fatura[[#This Row],[Valor Ilíquido]]*(1+#REF!)</f>
        <v>#VALUE!</v>
      </c>
    </row>
    <row r="21" spans="1:7">
      <c r="A21" t="s">
        <v>916</v>
      </c>
      <c r="B21" t="s">
        <v>917</v>
      </c>
      <c r="C21" t="s">
        <v>918</v>
      </c>
      <c r="D21" t="s">
        <v>1081</v>
      </c>
      <c r="E21" t="s">
        <v>1113</v>
      </c>
      <c r="F21" t="s">
        <v>1114</v>
      </c>
      <c r="G21" t="e">
        <f>JMM_Fatura[[#This Row],[Valor Ilíquido]]*(1+#REF!)</f>
        <v>#VALUE!</v>
      </c>
    </row>
    <row r="22" spans="1:7">
      <c r="A22" t="s">
        <v>916</v>
      </c>
      <c r="B22" t="s">
        <v>919</v>
      </c>
      <c r="C22" t="s">
        <v>920</v>
      </c>
      <c r="D22" t="s">
        <v>1084</v>
      </c>
      <c r="E22" t="s">
        <v>1085</v>
      </c>
      <c r="F22" t="s">
        <v>1086</v>
      </c>
      <c r="G22" t="e">
        <f>JMM_Fatura[[#This Row],[Valor Ilíquido]]*(1+#REF!)</f>
        <v>#VALUE!</v>
      </c>
    </row>
    <row r="23" spans="1:7">
      <c r="A23" t="s">
        <v>921</v>
      </c>
      <c r="B23" t="s">
        <v>894</v>
      </c>
      <c r="C23" t="s">
        <v>895</v>
      </c>
      <c r="D23" t="s">
        <v>1090</v>
      </c>
      <c r="E23" t="s">
        <v>1115</v>
      </c>
      <c r="F23" t="s">
        <v>1116</v>
      </c>
      <c r="G23" t="e">
        <f>JMM_Fatura[[#This Row],[Valor Ilíquido]]*(1+#REF!)</f>
        <v>#VALUE!</v>
      </c>
    </row>
    <row r="24" spans="1:7">
      <c r="A24" t="s">
        <v>921</v>
      </c>
      <c r="B24" t="s">
        <v>922</v>
      </c>
      <c r="C24" t="s">
        <v>923</v>
      </c>
      <c r="D24" t="s">
        <v>1094</v>
      </c>
      <c r="E24" t="s">
        <v>1117</v>
      </c>
      <c r="F24" t="s">
        <v>1118</v>
      </c>
      <c r="G24" t="e">
        <f>JMM_Fatura[[#This Row],[Valor Ilíquido]]*(1+#REF!)</f>
        <v>#VALUE!</v>
      </c>
    </row>
    <row r="25" spans="1:7">
      <c r="A25" t="s">
        <v>924</v>
      </c>
      <c r="B25" t="s">
        <v>922</v>
      </c>
      <c r="C25" t="s">
        <v>923</v>
      </c>
      <c r="D25" t="s">
        <v>1094</v>
      </c>
      <c r="E25" t="s">
        <v>1119</v>
      </c>
      <c r="F25" t="s">
        <v>1120</v>
      </c>
      <c r="G25" t="e">
        <f>JMM_Fatura[[#This Row],[Valor Ilíquido]]*(1+#REF!)</f>
        <v>#VALUE!</v>
      </c>
    </row>
    <row r="26" spans="1:7">
      <c r="A26" t="s">
        <v>924</v>
      </c>
      <c r="B26" t="s">
        <v>885</v>
      </c>
      <c r="C26" t="s">
        <v>886</v>
      </c>
      <c r="D26" t="s">
        <v>1121</v>
      </c>
      <c r="E26" t="s">
        <v>1122</v>
      </c>
      <c r="F26" t="s">
        <v>1123</v>
      </c>
      <c r="G26" t="e">
        <f>JMM_Fatura[[#This Row],[Valor Ilíquido]]*(1+#REF!)</f>
        <v>#VALUE!</v>
      </c>
    </row>
    <row r="27" spans="1:7">
      <c r="A27" t="s">
        <v>948</v>
      </c>
      <c r="B27" t="s">
        <v>949</v>
      </c>
      <c r="C27" t="s">
        <v>950</v>
      </c>
      <c r="D27" t="s">
        <v>1124</v>
      </c>
      <c r="E27" t="s">
        <v>1105</v>
      </c>
      <c r="F27" t="s">
        <v>1124</v>
      </c>
      <c r="G27" t="e">
        <f>JMM_Fatura[[#This Row],[Valor Ilíquido]]*(1+#REF!)</f>
        <v>#VALUE!</v>
      </c>
    </row>
    <row r="28" spans="1:7">
      <c r="A28" t="s">
        <v>951</v>
      </c>
      <c r="B28" t="s">
        <v>885</v>
      </c>
      <c r="C28" t="s">
        <v>886</v>
      </c>
      <c r="D28" t="s">
        <v>1125</v>
      </c>
      <c r="E28" t="s">
        <v>1105</v>
      </c>
      <c r="F28" t="s">
        <v>1125</v>
      </c>
      <c r="G28" t="e">
        <f>JMM_Fatura[[#This Row],[Valor Ilíquido]]*(1+#REF!)</f>
        <v>#VALUE!</v>
      </c>
    </row>
    <row r="29" spans="1:7">
      <c r="A29" t="s">
        <v>952</v>
      </c>
      <c r="B29" t="s">
        <v>896</v>
      </c>
      <c r="C29" t="s">
        <v>953</v>
      </c>
      <c r="D29" t="s">
        <v>1126</v>
      </c>
      <c r="E29" t="s">
        <v>1105</v>
      </c>
      <c r="F29" t="s">
        <v>1126</v>
      </c>
      <c r="G29" t="e">
        <f>JMM_Fatura[[#This Row],[Valor Ilíquido]]*(1+#REF!)</f>
        <v>#VALUE!</v>
      </c>
    </row>
    <row r="30" spans="1:7">
      <c r="A30" t="s">
        <v>952</v>
      </c>
      <c r="B30" t="s">
        <v>954</v>
      </c>
      <c r="C30" t="s">
        <v>955</v>
      </c>
      <c r="D30" t="s">
        <v>1127</v>
      </c>
      <c r="E30" t="s">
        <v>1105</v>
      </c>
      <c r="F30" t="s">
        <v>1127</v>
      </c>
      <c r="G30" t="e">
        <f>JMM_Fatura[[#This Row],[Valor Ilíquido]]*(1+#REF!)</f>
        <v>#VALUE!</v>
      </c>
    </row>
    <row r="31" spans="1:7">
      <c r="A31" t="s">
        <v>952</v>
      </c>
      <c r="B31" t="s">
        <v>956</v>
      </c>
      <c r="C31" t="s">
        <v>957</v>
      </c>
      <c r="D31" t="s">
        <v>1128</v>
      </c>
      <c r="E31" t="s">
        <v>1105</v>
      </c>
      <c r="F31" t="s">
        <v>1128</v>
      </c>
      <c r="G31" t="e">
        <f>JMM_Fatura[[#This Row],[Valor Ilíquido]]*(1+#REF!)</f>
        <v>#VALUE!</v>
      </c>
    </row>
    <row r="32" spans="1:7">
      <c r="A32" t="s">
        <v>952</v>
      </c>
      <c r="B32" t="s">
        <v>958</v>
      </c>
      <c r="C32" t="s">
        <v>959</v>
      </c>
      <c r="D32" t="s">
        <v>1112</v>
      </c>
      <c r="E32" t="s">
        <v>1107</v>
      </c>
      <c r="F32" t="s">
        <v>1112</v>
      </c>
      <c r="G32" t="e">
        <f>JMM_Fatura[[#This Row],[Valor Ilíquido]]*(1+#REF!)</f>
        <v>#VALUE!</v>
      </c>
    </row>
    <row r="33" spans="1:7">
      <c r="A33" t="s">
        <v>952</v>
      </c>
      <c r="B33" t="s">
        <v>960</v>
      </c>
      <c r="C33" t="s">
        <v>961</v>
      </c>
      <c r="D33" t="s">
        <v>1129</v>
      </c>
      <c r="E33" t="s">
        <v>1105</v>
      </c>
      <c r="F33" t="s">
        <v>1129</v>
      </c>
      <c r="G33" t="e">
        <f>JMM_Fatura[[#This Row],[Valor Ilíquido]]*(1+#REF!)</f>
        <v>#VALUE!</v>
      </c>
    </row>
    <row r="34" spans="1:7">
      <c r="A34" t="s">
        <v>962</v>
      </c>
      <c r="B34" t="s">
        <v>885</v>
      </c>
      <c r="C34" t="s">
        <v>886</v>
      </c>
      <c r="D34" t="s">
        <v>1130</v>
      </c>
      <c r="E34" t="s">
        <v>1105</v>
      </c>
      <c r="F34" t="s">
        <v>1130</v>
      </c>
      <c r="G34" t="e">
        <f>JMM_Fatura[[#This Row],[Valor Ilíquido]]*(1+#REF!)</f>
        <v>#VALUE!</v>
      </c>
    </row>
    <row r="35" spans="1:7">
      <c r="A35" t="s">
        <v>963</v>
      </c>
      <c r="B35" t="s">
        <v>926</v>
      </c>
      <c r="C35" t="s">
        <v>927</v>
      </c>
      <c r="D35" t="s">
        <v>1131</v>
      </c>
      <c r="E35" t="s">
        <v>1105</v>
      </c>
      <c r="F35" t="s">
        <v>1131</v>
      </c>
      <c r="G35" t="e">
        <f>JMM_Fatura[[#This Row],[Valor Ilíquido]]*(1+#REF!)</f>
        <v>#VALUE!</v>
      </c>
    </row>
    <row r="36" spans="1:7">
      <c r="A36" t="s">
        <v>963</v>
      </c>
      <c r="B36" t="s">
        <v>964</v>
      </c>
      <c r="C36" t="s">
        <v>965</v>
      </c>
      <c r="D36" t="s">
        <v>1112</v>
      </c>
      <c r="E36" t="s">
        <v>1107</v>
      </c>
      <c r="F36" t="s">
        <v>1112</v>
      </c>
      <c r="G36" t="e">
        <f>JMM_Fatura[[#This Row],[Valor Ilíquido]]*(1+#REF!)</f>
        <v>#VALUE!</v>
      </c>
    </row>
    <row r="37" spans="1:7">
      <c r="A37" t="s">
        <v>963</v>
      </c>
      <c r="B37" t="s">
        <v>966</v>
      </c>
      <c r="C37" t="s">
        <v>967</v>
      </c>
      <c r="D37" t="s">
        <v>1132</v>
      </c>
      <c r="E37" t="s">
        <v>1105</v>
      </c>
      <c r="F37" t="s">
        <v>1132</v>
      </c>
      <c r="G37" t="e">
        <f>JMM_Fatura[[#This Row],[Valor Ilíquido]]*(1+#REF!)</f>
        <v>#VALUE!</v>
      </c>
    </row>
    <row r="38" spans="1:7">
      <c r="A38" t="s">
        <v>963</v>
      </c>
      <c r="B38" t="s">
        <v>968</v>
      </c>
      <c r="C38" t="s">
        <v>969</v>
      </c>
      <c r="D38" t="s">
        <v>1112</v>
      </c>
      <c r="E38" t="s">
        <v>1107</v>
      </c>
      <c r="F38" t="s">
        <v>1112</v>
      </c>
      <c r="G38" t="e">
        <f>JMM_Fatura[[#This Row],[Valor Ilíquido]]*(1+#REF!)</f>
        <v>#VALUE!</v>
      </c>
    </row>
    <row r="39" spans="1:7">
      <c r="A39" t="s">
        <v>963</v>
      </c>
      <c r="B39" t="s">
        <v>1133</v>
      </c>
      <c r="C39" t="s">
        <v>661</v>
      </c>
      <c r="D39" t="s">
        <v>1134</v>
      </c>
      <c r="E39" t="s">
        <v>1107</v>
      </c>
      <c r="F39" t="s">
        <v>1134</v>
      </c>
      <c r="G39" t="e">
        <f>JMM_Fatura[[#This Row],[Valor Ilíquido]]*(1+#REF!)</f>
        <v>#VALUE!</v>
      </c>
    </row>
    <row r="40" spans="1:7">
      <c r="A40" t="s">
        <v>970</v>
      </c>
      <c r="B40" t="s">
        <v>885</v>
      </c>
      <c r="C40" t="s">
        <v>931</v>
      </c>
      <c r="D40" t="s">
        <v>1130</v>
      </c>
      <c r="E40" t="s">
        <v>1105</v>
      </c>
      <c r="F40" t="s">
        <v>1130</v>
      </c>
      <c r="G40" t="e">
        <f>JMM_Fatura[[#This Row],[Valor Ilíquido]]*(1+#REF!)</f>
        <v>#VALUE!</v>
      </c>
    </row>
    <row r="41" spans="1:7">
      <c r="A41" t="s">
        <v>970</v>
      </c>
      <c r="B41" t="s">
        <v>926</v>
      </c>
      <c r="C41" t="s">
        <v>927</v>
      </c>
      <c r="D41" t="s">
        <v>1131</v>
      </c>
      <c r="E41" t="s">
        <v>1105</v>
      </c>
      <c r="F41" t="s">
        <v>1131</v>
      </c>
      <c r="G41" t="e">
        <f>JMM_Fatura[[#This Row],[Valor Ilíquido]]*(1+#REF!)</f>
        <v>#VALUE!</v>
      </c>
    </row>
    <row r="42" spans="1:7">
      <c r="A42" t="s">
        <v>970</v>
      </c>
      <c r="B42" t="s">
        <v>964</v>
      </c>
      <c r="C42" t="s">
        <v>965</v>
      </c>
      <c r="D42" t="s">
        <v>1112</v>
      </c>
      <c r="E42" t="s">
        <v>1107</v>
      </c>
      <c r="F42" t="s">
        <v>1112</v>
      </c>
      <c r="G42" t="e">
        <f>JMM_Fatura[[#This Row],[Valor Ilíquido]]*(1+#REF!)</f>
        <v>#VALUE!</v>
      </c>
    </row>
    <row r="43" spans="1:7">
      <c r="A43" t="s">
        <v>970</v>
      </c>
      <c r="B43" t="s">
        <v>966</v>
      </c>
      <c r="C43" t="s">
        <v>967</v>
      </c>
      <c r="D43" t="s">
        <v>1132</v>
      </c>
      <c r="E43" t="s">
        <v>1105</v>
      </c>
      <c r="F43" t="s">
        <v>1132</v>
      </c>
      <c r="G43" t="e">
        <f>JMM_Fatura[[#This Row],[Valor Ilíquido]]*(1+#REF!)</f>
        <v>#VALUE!</v>
      </c>
    </row>
    <row r="44" spans="1:7">
      <c r="A44" t="s">
        <v>970</v>
      </c>
      <c r="B44" t="s">
        <v>968</v>
      </c>
      <c r="C44" t="s">
        <v>969</v>
      </c>
      <c r="D44" t="s">
        <v>1112</v>
      </c>
      <c r="E44" t="s">
        <v>1107</v>
      </c>
      <c r="F44" t="s">
        <v>1112</v>
      </c>
      <c r="G44" t="e">
        <f>JMM_Fatura[[#This Row],[Valor Ilíquido]]*(1+#REF!)</f>
        <v>#VALUE!</v>
      </c>
    </row>
    <row r="45" spans="1:7">
      <c r="A45" t="s">
        <v>970</v>
      </c>
      <c r="B45" t="s">
        <v>971</v>
      </c>
      <c r="C45" t="s">
        <v>972</v>
      </c>
      <c r="D45" t="s">
        <v>1135</v>
      </c>
      <c r="E45" t="s">
        <v>1136</v>
      </c>
      <c r="F45" t="s">
        <v>1135</v>
      </c>
      <c r="G45" t="e">
        <f>JMM_Fatura[[#This Row],[Valor Ilíquido]]*(1+#REF!)</f>
        <v>#VALUE!</v>
      </c>
    </row>
    <row r="46" spans="1:7">
      <c r="A46" t="s">
        <v>970</v>
      </c>
      <c r="B46" t="s">
        <v>973</v>
      </c>
      <c r="C46" t="s">
        <v>974</v>
      </c>
      <c r="D46" t="s">
        <v>1137</v>
      </c>
      <c r="E46" t="s">
        <v>1136</v>
      </c>
      <c r="F46" t="s">
        <v>1137</v>
      </c>
      <c r="G46" t="e">
        <f>JMM_Fatura[[#This Row],[Valor Ilíquido]]*(1+#REF!)</f>
        <v>#VALUE!</v>
      </c>
    </row>
    <row r="47" spans="1:7">
      <c r="A47" t="s">
        <v>970</v>
      </c>
      <c r="B47" t="s">
        <v>975</v>
      </c>
      <c r="C47" t="s">
        <v>976</v>
      </c>
      <c r="D47" t="s">
        <v>1138</v>
      </c>
      <c r="E47" t="s">
        <v>1136</v>
      </c>
      <c r="F47" t="s">
        <v>1138</v>
      </c>
      <c r="G47" t="e">
        <f>JMM_Fatura[[#This Row],[Valor Ilíquido]]*(1+#REF!)</f>
        <v>#VALUE!</v>
      </c>
    </row>
    <row r="48" spans="1:7">
      <c r="A48" t="s">
        <v>977</v>
      </c>
      <c r="B48" t="s">
        <v>966</v>
      </c>
      <c r="C48" t="s">
        <v>978</v>
      </c>
      <c r="D48" t="s">
        <v>1139</v>
      </c>
      <c r="E48" t="s">
        <v>1105</v>
      </c>
      <c r="F48" t="s">
        <v>1139</v>
      </c>
      <c r="G48" t="e">
        <f>JMM_Fatura[[#This Row],[Valor Ilíquido]]*(1+#REF!)</f>
        <v>#VALUE!</v>
      </c>
    </row>
    <row r="49" spans="1:7">
      <c r="A49" t="s">
        <v>979</v>
      </c>
      <c r="B49" t="s">
        <v>917</v>
      </c>
      <c r="C49" t="s">
        <v>918</v>
      </c>
      <c r="D49" t="s">
        <v>1140</v>
      </c>
      <c r="E49" t="s">
        <v>1141</v>
      </c>
      <c r="F49" t="s">
        <v>1140</v>
      </c>
      <c r="G49" t="e">
        <f>JMM_Fatura[[#This Row],[Valor Ilíquido]]*(1+#REF!)</f>
        <v>#VALUE!</v>
      </c>
    </row>
    <row r="50" spans="1:7">
      <c r="A50" t="s">
        <v>979</v>
      </c>
      <c r="B50" t="s">
        <v>980</v>
      </c>
      <c r="C50" t="s">
        <v>981</v>
      </c>
      <c r="D50" t="s">
        <v>1084</v>
      </c>
      <c r="E50" t="s">
        <v>1085</v>
      </c>
      <c r="F50" t="s">
        <v>1084</v>
      </c>
      <c r="G50" t="e">
        <f>JMM_Fatura[[#This Row],[Valor Ilíquido]]*(1+#REF!)</f>
        <v>#VALUE!</v>
      </c>
    </row>
    <row r="51" spans="1:7">
      <c r="A51" t="s">
        <v>979</v>
      </c>
      <c r="B51" t="s">
        <v>937</v>
      </c>
      <c r="C51" t="s">
        <v>982</v>
      </c>
      <c r="D51" t="s">
        <v>1142</v>
      </c>
      <c r="E51" t="s">
        <v>1143</v>
      </c>
      <c r="F51" t="s">
        <v>1142</v>
      </c>
      <c r="G51" t="e">
        <f>JMM_Fatura[[#This Row],[Valor Ilíquido]]*(1+#REF!)</f>
        <v>#VALUE!</v>
      </c>
    </row>
    <row r="52" spans="1:7">
      <c r="A52" t="s">
        <v>979</v>
      </c>
      <c r="B52" t="s">
        <v>983</v>
      </c>
      <c r="C52" t="s">
        <v>984</v>
      </c>
      <c r="D52" t="s">
        <v>1084</v>
      </c>
      <c r="E52" t="s">
        <v>1144</v>
      </c>
      <c r="F52" t="s">
        <v>1084</v>
      </c>
      <c r="G52" t="e">
        <f>JMM_Fatura[[#This Row],[Valor Ilíquido]]*(1+#REF!)</f>
        <v>#VALUE!</v>
      </c>
    </row>
    <row r="53" spans="1:7">
      <c r="A53" t="s">
        <v>979</v>
      </c>
      <c r="B53" t="s">
        <v>937</v>
      </c>
      <c r="C53" t="s">
        <v>982</v>
      </c>
      <c r="D53" t="s">
        <v>1142</v>
      </c>
      <c r="E53" t="s">
        <v>1143</v>
      </c>
      <c r="F53" t="s">
        <v>1142</v>
      </c>
      <c r="G53" t="e">
        <f>JMM_Fatura[[#This Row],[Valor Ilíquido]]*(1+#REF!)</f>
        <v>#VALUE!</v>
      </c>
    </row>
    <row r="54" spans="1:7">
      <c r="A54" t="s">
        <v>979</v>
      </c>
      <c r="B54" t="s">
        <v>985</v>
      </c>
      <c r="C54" t="s">
        <v>986</v>
      </c>
      <c r="D54" t="s">
        <v>1084</v>
      </c>
      <c r="E54" t="s">
        <v>1144</v>
      </c>
      <c r="F54" t="s">
        <v>1084</v>
      </c>
      <c r="G54" t="e">
        <f>JMM_Fatura[[#This Row],[Valor Ilíquido]]*(1+#REF!)</f>
        <v>#VALUE!</v>
      </c>
    </row>
    <row r="55" spans="1:7">
      <c r="A55" t="s">
        <v>979</v>
      </c>
      <c r="B55" t="s">
        <v>933</v>
      </c>
      <c r="C55" t="s">
        <v>987</v>
      </c>
      <c r="D55" t="s">
        <v>1145</v>
      </c>
      <c r="E55" t="s">
        <v>1146</v>
      </c>
      <c r="F55" t="s">
        <v>1145</v>
      </c>
      <c r="G55" t="e">
        <f>JMM_Fatura[[#This Row],[Valor Ilíquido]]*(1+#REF!)</f>
        <v>#VALUE!</v>
      </c>
    </row>
    <row r="56" spans="1:7">
      <c r="A56" t="s">
        <v>979</v>
      </c>
      <c r="B56" t="s">
        <v>988</v>
      </c>
      <c r="C56" t="s">
        <v>989</v>
      </c>
      <c r="D56" t="s">
        <v>1084</v>
      </c>
      <c r="E56" t="s">
        <v>1098</v>
      </c>
      <c r="F56" t="s">
        <v>1084</v>
      </c>
      <c r="G56" t="e">
        <f>JMM_Fatura[[#This Row],[Valor Ilíquido]]*(1+#REF!)</f>
        <v>#VALUE!</v>
      </c>
    </row>
    <row r="57" spans="1:7">
      <c r="A57" t="s">
        <v>979</v>
      </c>
      <c r="B57" t="s">
        <v>933</v>
      </c>
      <c r="C57" t="s">
        <v>987</v>
      </c>
      <c r="D57" t="s">
        <v>1145</v>
      </c>
      <c r="E57" t="s">
        <v>1146</v>
      </c>
      <c r="F57" t="s">
        <v>1145</v>
      </c>
      <c r="G57" t="e">
        <f>JMM_Fatura[[#This Row],[Valor Ilíquido]]*(1+#REF!)</f>
        <v>#VALUE!</v>
      </c>
    </row>
    <row r="58" spans="1:7">
      <c r="A58" t="s">
        <v>979</v>
      </c>
      <c r="B58" t="s">
        <v>990</v>
      </c>
      <c r="C58" t="s">
        <v>991</v>
      </c>
      <c r="D58" t="s">
        <v>1084</v>
      </c>
      <c r="E58" t="s">
        <v>1098</v>
      </c>
      <c r="F58" t="s">
        <v>1084</v>
      </c>
      <c r="G58" t="e">
        <f>JMM_Fatura[[#This Row],[Valor Ilíquido]]*(1+#REF!)</f>
        <v>#VALUE!</v>
      </c>
    </row>
    <row r="59" spans="1:7">
      <c r="A59" t="s">
        <v>979</v>
      </c>
      <c r="B59" t="s">
        <v>992</v>
      </c>
      <c r="C59" t="s">
        <v>993</v>
      </c>
      <c r="D59" t="s">
        <v>1094</v>
      </c>
      <c r="E59" t="s">
        <v>1147</v>
      </c>
      <c r="F59" t="s">
        <v>1094</v>
      </c>
      <c r="G59" t="e">
        <f>JMM_Fatura[[#This Row],[Valor Ilíquido]]*(1+#REF!)</f>
        <v>#VALUE!</v>
      </c>
    </row>
    <row r="60" spans="1:7">
      <c r="A60" t="s">
        <v>994</v>
      </c>
      <c r="B60" t="s">
        <v>992</v>
      </c>
      <c r="C60" t="s">
        <v>993</v>
      </c>
      <c r="D60" t="s">
        <v>1148</v>
      </c>
      <c r="E60" t="s">
        <v>1149</v>
      </c>
      <c r="F60" t="s">
        <v>1150</v>
      </c>
      <c r="G60" t="e">
        <f>JMM_Fatura[[#This Row],[Valor Ilíquido]]*(1+#REF!)</f>
        <v>#VALUE!</v>
      </c>
    </row>
    <row r="61" spans="1:7">
      <c r="A61" t="s">
        <v>994</v>
      </c>
      <c r="B61" t="s">
        <v>995</v>
      </c>
      <c r="C61" t="s">
        <v>996</v>
      </c>
      <c r="D61" t="s">
        <v>1100</v>
      </c>
      <c r="E61" t="s">
        <v>1151</v>
      </c>
      <c r="F61" t="s">
        <v>1152</v>
      </c>
      <c r="G61" t="e">
        <f>JMM_Fatura[[#This Row],[Valor Ilíquido]]*(1+#REF!)</f>
        <v>#VALUE!</v>
      </c>
    </row>
    <row r="62" spans="1:7">
      <c r="A62" t="s">
        <v>1002</v>
      </c>
      <c r="B62" t="s">
        <v>1003</v>
      </c>
      <c r="C62" t="s">
        <v>1004</v>
      </c>
      <c r="D62" t="s">
        <v>1153</v>
      </c>
      <c r="E62" t="s">
        <v>1154</v>
      </c>
      <c r="F62" t="s">
        <v>1155</v>
      </c>
      <c r="G62" t="e">
        <f>JMM_Fatura[[#This Row],[Valor Ilíquido]]*(1+#REF!)</f>
        <v>#VALUE!</v>
      </c>
    </row>
    <row r="63" spans="1:7">
      <c r="A63" t="s">
        <v>1002</v>
      </c>
      <c r="B63" t="s">
        <v>1005</v>
      </c>
      <c r="C63" t="s">
        <v>1006</v>
      </c>
      <c r="D63" t="s">
        <v>1156</v>
      </c>
      <c r="E63" t="s">
        <v>1157</v>
      </c>
      <c r="F63" t="s">
        <v>1158</v>
      </c>
      <c r="G63" t="e">
        <f>JMM_Fatura[[#This Row],[Valor Ilíquido]]*(1+#REF!)</f>
        <v>#VALUE!</v>
      </c>
    </row>
    <row r="64" spans="1:7">
      <c r="A64" t="s">
        <v>1002</v>
      </c>
      <c r="B64" t="s">
        <v>995</v>
      </c>
      <c r="C64" t="s">
        <v>1007</v>
      </c>
      <c r="D64" t="s">
        <v>1156</v>
      </c>
      <c r="E64" t="s">
        <v>1159</v>
      </c>
      <c r="F64" t="s">
        <v>1160</v>
      </c>
      <c r="G64" t="e">
        <f>JMM_Fatura[[#This Row],[Valor Ilíquido]]*(1+#REF!)</f>
        <v>#VALUE!</v>
      </c>
    </row>
    <row r="65" spans="1:7">
      <c r="A65" t="s">
        <v>1002</v>
      </c>
      <c r="B65" t="s">
        <v>885</v>
      </c>
      <c r="C65" t="s">
        <v>886</v>
      </c>
      <c r="D65" t="s">
        <v>1121</v>
      </c>
      <c r="E65" t="s">
        <v>1161</v>
      </c>
      <c r="F65" t="s">
        <v>1162</v>
      </c>
      <c r="G65" t="e">
        <f>JMM_Fatura[[#This Row],[Valor Ilíquido]]*(1+#REF!)</f>
        <v>#VALUE!</v>
      </c>
    </row>
    <row r="66" spans="1:7">
      <c r="A66" t="s">
        <v>1002</v>
      </c>
      <c r="B66" t="s">
        <v>922</v>
      </c>
      <c r="C66" t="s">
        <v>923</v>
      </c>
      <c r="D66" t="s">
        <v>1081</v>
      </c>
      <c r="E66" t="s">
        <v>1163</v>
      </c>
      <c r="F66" t="s">
        <v>1164</v>
      </c>
      <c r="G66" t="e">
        <f>JMM_Fatura[[#This Row],[Valor Ilíquido]]*(1+#REF!)</f>
        <v>#VALUE!</v>
      </c>
    </row>
    <row r="67" spans="1:7">
      <c r="A67" t="s">
        <v>1002</v>
      </c>
      <c r="B67" t="s">
        <v>894</v>
      </c>
      <c r="C67" t="s">
        <v>895</v>
      </c>
      <c r="D67" t="s">
        <v>1090</v>
      </c>
      <c r="E67" t="s">
        <v>1161</v>
      </c>
      <c r="F67" t="s">
        <v>1165</v>
      </c>
      <c r="G67" t="e">
        <f>JMM_Fatura[[#This Row],[Valor Ilíquido]]*(1+#REF!)</f>
        <v>#VALUE!</v>
      </c>
    </row>
    <row r="68" spans="1:7">
      <c r="A68" t="s">
        <v>1008</v>
      </c>
      <c r="B68" t="s">
        <v>966</v>
      </c>
      <c r="C68" t="s">
        <v>978</v>
      </c>
      <c r="D68" t="s">
        <v>1166</v>
      </c>
      <c r="E68" t="s">
        <v>1167</v>
      </c>
      <c r="F68" t="s">
        <v>1166</v>
      </c>
      <c r="G68" t="e">
        <f>JMM_Fatura[[#This Row],[Valor Ilíquido]]*(1+#REF!)</f>
        <v>#REF!</v>
      </c>
    </row>
    <row r="69" spans="1:7">
      <c r="A69" t="s">
        <v>1008</v>
      </c>
      <c r="B69" t="s">
        <v>1009</v>
      </c>
      <c r="C69" t="s">
        <v>1010</v>
      </c>
      <c r="D69" t="s">
        <v>1168</v>
      </c>
      <c r="E69" t="s">
        <v>1094</v>
      </c>
      <c r="F69" t="s">
        <v>1168</v>
      </c>
      <c r="G69" t="e">
        <f>JMM_Fatura[[#This Row],[Valor Ilíquido]]*(1+#REF!)</f>
        <v>#REF!</v>
      </c>
    </row>
    <row r="70" spans="1:7">
      <c r="A70" t="s">
        <v>1008</v>
      </c>
      <c r="B70" t="s">
        <v>1011</v>
      </c>
      <c r="C70" t="s">
        <v>1012</v>
      </c>
      <c r="D70" t="s">
        <v>1169</v>
      </c>
      <c r="E70" t="s">
        <v>1170</v>
      </c>
      <c r="F70" t="s">
        <v>1169</v>
      </c>
      <c r="G70" t="e">
        <f>JMM_Fatura[[#This Row],[Valor Ilíquido]]*(1+#REF!)</f>
        <v>#REF!</v>
      </c>
    </row>
    <row r="71" spans="1:7">
      <c r="A71" t="s">
        <v>1008</v>
      </c>
      <c r="B71" t="s">
        <v>1013</v>
      </c>
      <c r="C71" t="s">
        <v>1014</v>
      </c>
      <c r="D71" t="s">
        <v>1171</v>
      </c>
      <c r="E71" t="s">
        <v>1172</v>
      </c>
      <c r="F71" t="s">
        <v>1171</v>
      </c>
      <c r="G71" t="e">
        <f>JMM_Fatura[[#This Row],[Valor Ilíquido]]*(1+#REF!)</f>
        <v>#REF!</v>
      </c>
    </row>
    <row r="72" spans="1:7">
      <c r="A72" t="s">
        <v>1015</v>
      </c>
      <c r="B72" t="s">
        <v>896</v>
      </c>
      <c r="C72" t="s">
        <v>897</v>
      </c>
      <c r="D72" t="s">
        <v>1173</v>
      </c>
      <c r="E72" t="s">
        <v>1174</v>
      </c>
      <c r="F72" t="s">
        <v>1173</v>
      </c>
      <c r="G72" t="e">
        <f>JMM_Fatura[[#This Row],[Valor Ilíquido]]*(1+#REF!)</f>
        <v>#REF!</v>
      </c>
    </row>
    <row r="73" spans="1:7">
      <c r="A73" t="s">
        <v>1015</v>
      </c>
      <c r="B73" t="s">
        <v>1016</v>
      </c>
      <c r="C73" t="s">
        <v>1017</v>
      </c>
      <c r="D73" t="s">
        <v>1175</v>
      </c>
      <c r="E73" t="s">
        <v>1176</v>
      </c>
      <c r="F73" t="s">
        <v>1175</v>
      </c>
      <c r="G73" t="e">
        <f>JMM_Fatura[[#This Row],[Valor Ilíquido]]*(1+#REF!)</f>
        <v>#REF!</v>
      </c>
    </row>
    <row r="74" spans="1:7">
      <c r="A74" t="s">
        <v>1015</v>
      </c>
      <c r="B74" t="s">
        <v>1018</v>
      </c>
      <c r="C74" t="s">
        <v>1019</v>
      </c>
      <c r="D74" t="s">
        <v>1177</v>
      </c>
      <c r="E74" t="s">
        <v>1084</v>
      </c>
      <c r="F74" t="s">
        <v>1177</v>
      </c>
      <c r="G74" t="e">
        <f>JMM_Fatura[[#This Row],[Valor Ilíquido]]*(1+#REF!)</f>
        <v>#REF!</v>
      </c>
    </row>
    <row r="75" spans="1:7">
      <c r="A75" t="s">
        <v>1015</v>
      </c>
      <c r="B75" t="s">
        <v>905</v>
      </c>
      <c r="C75" t="s">
        <v>906</v>
      </c>
      <c r="D75" t="s">
        <v>1178</v>
      </c>
      <c r="E75" t="s">
        <v>1179</v>
      </c>
      <c r="F75" t="s">
        <v>1178</v>
      </c>
      <c r="G75" t="e">
        <f>JMM_Fatura[[#This Row],[Valor Ilíquido]]*(1+#REF!)</f>
        <v>#REF!</v>
      </c>
    </row>
    <row r="76" spans="1:7">
      <c r="A76" t="s">
        <v>1015</v>
      </c>
      <c r="B76" t="s">
        <v>1020</v>
      </c>
      <c r="C76" t="s">
        <v>1021</v>
      </c>
      <c r="D76" t="s">
        <v>1085</v>
      </c>
      <c r="E76" t="s">
        <v>1084</v>
      </c>
      <c r="F76" t="s">
        <v>1085</v>
      </c>
      <c r="G76" t="e">
        <f>JMM_Fatura[[#This Row],[Valor Ilíquido]]*(1+#REF!)</f>
        <v>#REF!</v>
      </c>
    </row>
    <row r="77" spans="1:7">
      <c r="A77" t="s">
        <v>1015</v>
      </c>
      <c r="B77" t="s">
        <v>909</v>
      </c>
      <c r="C77" t="s">
        <v>910</v>
      </c>
      <c r="D77" t="s">
        <v>1180</v>
      </c>
      <c r="E77" t="s">
        <v>1081</v>
      </c>
      <c r="F77" t="s">
        <v>1180</v>
      </c>
      <c r="G77" t="e">
        <f>JMM_Fatura[[#This Row],[Valor Ilíquido]]*(1+#REF!)</f>
        <v>#REF!</v>
      </c>
    </row>
    <row r="78" spans="1:7">
      <c r="A78" t="s">
        <v>1015</v>
      </c>
      <c r="B78" t="s">
        <v>1022</v>
      </c>
      <c r="C78" t="s">
        <v>1023</v>
      </c>
      <c r="D78" t="s">
        <v>1085</v>
      </c>
      <c r="E78" t="s">
        <v>1084</v>
      </c>
      <c r="F78" t="s">
        <v>1085</v>
      </c>
      <c r="G78" t="e">
        <f>JMM_Fatura[[#This Row],[Valor Ilíquido]]*(1+#REF!)</f>
        <v>#REF!</v>
      </c>
    </row>
    <row r="79" spans="1:7">
      <c r="A79" t="s">
        <v>1024</v>
      </c>
      <c r="B79" t="s">
        <v>909</v>
      </c>
      <c r="C79" t="s">
        <v>1025</v>
      </c>
      <c r="D79" t="s">
        <v>1181</v>
      </c>
      <c r="E79" t="s">
        <v>1081</v>
      </c>
      <c r="F79" t="s">
        <v>1181</v>
      </c>
      <c r="G79" t="e">
        <f>JMM_Fatura[[#This Row],[Valor Ilíquido]]*(1+#REF!)</f>
        <v>#VALUE!</v>
      </c>
    </row>
    <row r="80" spans="1:7">
      <c r="A80" t="s">
        <v>1024</v>
      </c>
      <c r="B80" t="s">
        <v>1026</v>
      </c>
      <c r="C80" t="s">
        <v>1027</v>
      </c>
      <c r="D80" t="s">
        <v>1085</v>
      </c>
      <c r="E80" t="s">
        <v>1084</v>
      </c>
      <c r="F80" t="s">
        <v>1085</v>
      </c>
      <c r="G80" t="e">
        <f>JMM_Fatura[[#This Row],[Valor Ilíquido]]*(1+#REF!)</f>
        <v>#REF!</v>
      </c>
    </row>
    <row r="81" spans="1:7">
      <c r="A81" t="s">
        <v>1024</v>
      </c>
      <c r="B81" t="s">
        <v>905</v>
      </c>
      <c r="C81" t="s">
        <v>1025</v>
      </c>
      <c r="D81" t="s">
        <v>1182</v>
      </c>
      <c r="E81" t="s">
        <v>1179</v>
      </c>
      <c r="F81" t="s">
        <v>1182</v>
      </c>
      <c r="G81" t="e">
        <f>JMM_Fatura[[#This Row],[Valor Ilíquido]]*(1+#REF!)</f>
        <v>#VALUE!</v>
      </c>
    </row>
    <row r="82" spans="1:7">
      <c r="A82" t="s">
        <v>1024</v>
      </c>
      <c r="B82" t="s">
        <v>1028</v>
      </c>
      <c r="C82" t="s">
        <v>1029</v>
      </c>
      <c r="D82" t="s">
        <v>1085</v>
      </c>
      <c r="E82" t="s">
        <v>1084</v>
      </c>
      <c r="F82" t="s">
        <v>1085</v>
      </c>
      <c r="G82" t="e">
        <f>JMM_Fatura[[#This Row],[Valor Ilíquido]]*(1+#REF!)</f>
        <v>#REF!</v>
      </c>
    </row>
    <row r="83" spans="1:7">
      <c r="A83" t="s">
        <v>1030</v>
      </c>
      <c r="B83" t="s">
        <v>885</v>
      </c>
      <c r="C83" t="s">
        <v>931</v>
      </c>
      <c r="D83" t="s">
        <v>1183</v>
      </c>
      <c r="E83" t="s">
        <v>1121</v>
      </c>
      <c r="F83" t="s">
        <v>1183</v>
      </c>
      <c r="G83" t="e">
        <f>JMM_Fatura[[#This Row],[Valor Ilíquido]]*(1+#REF!)</f>
        <v>#REF!</v>
      </c>
    </row>
    <row r="84" spans="1:7">
      <c r="A84" t="s">
        <v>1031</v>
      </c>
      <c r="B84" t="s">
        <v>1032</v>
      </c>
      <c r="C84" t="s">
        <v>1033</v>
      </c>
      <c r="D84" t="s">
        <v>1184</v>
      </c>
      <c r="E84" t="s">
        <v>1185</v>
      </c>
      <c r="F84" t="s">
        <v>1186</v>
      </c>
      <c r="G84" t="e">
        <f>JMM_Fatura[[#This Row],[Valor Ilíquido]]*(1+#REF!)</f>
        <v>#VALUE!</v>
      </c>
    </row>
    <row r="85" spans="1:7">
      <c r="A85" t="s">
        <v>1031</v>
      </c>
      <c r="B85" t="s">
        <v>1034</v>
      </c>
      <c r="C85" t="s">
        <v>1035</v>
      </c>
      <c r="D85" t="s">
        <v>1084</v>
      </c>
      <c r="E85" t="s">
        <v>1098</v>
      </c>
      <c r="F85" t="s">
        <v>1187</v>
      </c>
      <c r="G85" t="e">
        <f>JMM_Fatura[[#This Row],[Valor Ilíquido]]*(1+#REF!)</f>
        <v>#VALUE!</v>
      </c>
    </row>
    <row r="86" spans="1:7">
      <c r="A86" t="s">
        <v>1031</v>
      </c>
      <c r="B86" t="s">
        <v>1009</v>
      </c>
      <c r="C86" t="s">
        <v>1010</v>
      </c>
      <c r="D86" t="s">
        <v>1188</v>
      </c>
      <c r="E86" t="s">
        <v>1189</v>
      </c>
      <c r="F86" t="s">
        <v>1190</v>
      </c>
      <c r="G86" t="e">
        <f>JMM_Fatura[[#This Row],[Valor Ilíquido]]*(1+#REF!)</f>
        <v>#VALUE!</v>
      </c>
    </row>
    <row r="87" spans="1:7">
      <c r="A87" t="s">
        <v>1031</v>
      </c>
      <c r="B87" t="s">
        <v>1036</v>
      </c>
      <c r="C87" t="s">
        <v>1037</v>
      </c>
      <c r="D87" t="s">
        <v>1084</v>
      </c>
      <c r="E87" t="s">
        <v>1085</v>
      </c>
      <c r="F87" t="s">
        <v>1086</v>
      </c>
      <c r="G87" t="e">
        <f>JMM_Fatura[[#This Row],[Valor Ilíquido]]*(1+#REF!)</f>
        <v>#VALUE!</v>
      </c>
    </row>
    <row r="88" spans="1:7">
      <c r="A88" t="s">
        <v>1031</v>
      </c>
      <c r="B88" t="s">
        <v>1038</v>
      </c>
      <c r="C88" t="s">
        <v>1039</v>
      </c>
      <c r="D88" t="s">
        <v>1191</v>
      </c>
      <c r="E88" t="s">
        <v>1192</v>
      </c>
      <c r="F88" t="s">
        <v>1193</v>
      </c>
      <c r="G88" t="e">
        <f>JMM_Fatura[[#This Row],[Valor Ilíquido]]*(1+#REF!)</f>
        <v>#VALUE!</v>
      </c>
    </row>
    <row r="89" spans="1:7">
      <c r="A89" t="s">
        <v>1040</v>
      </c>
      <c r="B89" t="s">
        <v>885</v>
      </c>
      <c r="C89" t="s">
        <v>886</v>
      </c>
      <c r="D89" t="s">
        <v>1194</v>
      </c>
      <c r="E89" t="s">
        <v>1121</v>
      </c>
      <c r="F89" t="s">
        <v>1194</v>
      </c>
      <c r="G89" t="e">
        <f>JMM_Fatura[[#This Row],[Valor Ilíquido]]*(1+#REF!)</f>
        <v>#REF!</v>
      </c>
    </row>
    <row r="90" spans="1:7">
      <c r="A90" t="s">
        <v>1040</v>
      </c>
      <c r="B90" t="s">
        <v>1041</v>
      </c>
      <c r="C90" t="s">
        <v>1042</v>
      </c>
      <c r="D90" t="s">
        <v>1195</v>
      </c>
      <c r="E90" t="s">
        <v>1100</v>
      </c>
      <c r="F90" t="s">
        <v>1195</v>
      </c>
      <c r="G90" t="e">
        <f>JMM_Fatura[[#This Row],[Valor Ilíquido]]*(1+#REF!)</f>
        <v>#VALUE!</v>
      </c>
    </row>
    <row r="91" spans="1:7">
      <c r="A91" t="s">
        <v>1043</v>
      </c>
      <c r="B91" t="s">
        <v>1044</v>
      </c>
      <c r="C91" t="s">
        <v>1045</v>
      </c>
      <c r="D91" t="s">
        <v>1196</v>
      </c>
      <c r="E91" t="s">
        <v>1096</v>
      </c>
      <c r="F91" t="s">
        <v>1196</v>
      </c>
      <c r="G91" t="e">
        <f>JMM_Fatura[[#This Row],[Valor Ilíquido]]*(1+#REF!)</f>
        <v>#REF!</v>
      </c>
    </row>
    <row r="92" spans="1:7">
      <c r="A92" t="s">
        <v>1043</v>
      </c>
      <c r="B92" t="s">
        <v>1046</v>
      </c>
      <c r="C92" t="s">
        <v>1047</v>
      </c>
      <c r="D92" t="s">
        <v>1098</v>
      </c>
      <c r="E92" t="s">
        <v>1084</v>
      </c>
      <c r="F92" t="s">
        <v>1098</v>
      </c>
      <c r="G92" t="e">
        <f>JMM_Fatura[[#This Row],[Valor Ilíquido]]*(1+#REF!)</f>
        <v>#REF!</v>
      </c>
    </row>
    <row r="93" spans="1:7">
      <c r="A93" t="s">
        <v>1043</v>
      </c>
      <c r="B93" t="s">
        <v>911</v>
      </c>
      <c r="C93" t="s">
        <v>912</v>
      </c>
      <c r="D93" t="s">
        <v>1103</v>
      </c>
      <c r="E93" t="s">
        <v>1102</v>
      </c>
      <c r="F93" t="s">
        <v>1103</v>
      </c>
      <c r="G93" t="e">
        <f>JMM_Fatura[[#This Row],[Valor Ilíquido]]*(1+#REF!)</f>
        <v>#REF!</v>
      </c>
    </row>
    <row r="94" spans="1:7">
      <c r="A94" t="s">
        <v>1043</v>
      </c>
      <c r="B94" t="s">
        <v>1009</v>
      </c>
      <c r="C94" t="s">
        <v>1010</v>
      </c>
      <c r="D94" t="s">
        <v>1197</v>
      </c>
      <c r="E94" t="s">
        <v>1094</v>
      </c>
      <c r="F94" t="s">
        <v>1197</v>
      </c>
      <c r="G94" t="e">
        <f>JMM_Fatura[[#This Row],[Valor Ilíquido]]*(1+#REF!)</f>
        <v>#REF!</v>
      </c>
    </row>
    <row r="95" spans="1:7">
      <c r="A95" t="s">
        <v>1043</v>
      </c>
      <c r="B95" t="s">
        <v>1048</v>
      </c>
      <c r="C95" t="s">
        <v>1049</v>
      </c>
      <c r="D95" t="s">
        <v>1085</v>
      </c>
      <c r="E95" t="s">
        <v>1084</v>
      </c>
      <c r="F95" t="s">
        <v>1085</v>
      </c>
      <c r="G95" t="e">
        <f>JMM_Fatura[[#This Row],[Valor Ilíquido]]*(1+#REF!)</f>
        <v>#REF!</v>
      </c>
    </row>
    <row r="96" spans="1:7">
      <c r="A96" t="s">
        <v>1050</v>
      </c>
      <c r="B96" t="s">
        <v>1051</v>
      </c>
      <c r="C96" t="s">
        <v>1052</v>
      </c>
      <c r="D96" t="s">
        <v>1198</v>
      </c>
      <c r="E96" t="s">
        <v>1172</v>
      </c>
      <c r="F96" t="s">
        <v>1198</v>
      </c>
      <c r="G96" t="e">
        <f>JMM_Fatura[[#This Row],[Valor Ilíquido]]*(1+#REF!)</f>
        <v>#REF!</v>
      </c>
    </row>
    <row r="97" spans="1:7">
      <c r="A97" t="s">
        <v>1050</v>
      </c>
      <c r="B97" t="s">
        <v>1003</v>
      </c>
      <c r="C97" t="s">
        <v>1004</v>
      </c>
      <c r="D97" t="s">
        <v>1199</v>
      </c>
      <c r="E97" t="s">
        <v>1153</v>
      </c>
      <c r="F97" t="s">
        <v>1199</v>
      </c>
      <c r="G97" t="e">
        <f>JMM_Fatura[[#This Row],[Valor Ilíquido]]*(1+#REF!)</f>
        <v>#REF!</v>
      </c>
    </row>
    <row r="98" spans="1:7">
      <c r="A98" t="s">
        <v>1050</v>
      </c>
      <c r="B98" t="s">
        <v>885</v>
      </c>
      <c r="C98" t="s">
        <v>886</v>
      </c>
      <c r="D98" t="s">
        <v>1200</v>
      </c>
      <c r="E98" t="s">
        <v>1108</v>
      </c>
      <c r="F98" t="s">
        <v>1200</v>
      </c>
      <c r="G98" t="e">
        <f>JMM_Fatura[[#This Row],[Valor Ilíquido]]*(1+#REF!)</f>
        <v>#REF!</v>
      </c>
    </row>
    <row r="99" spans="1:7">
      <c r="A99" t="s">
        <v>1050</v>
      </c>
      <c r="B99" t="s">
        <v>1053</v>
      </c>
      <c r="C99" t="s">
        <v>1054</v>
      </c>
      <c r="D99" t="s">
        <v>1201</v>
      </c>
      <c r="E99" t="s">
        <v>1081</v>
      </c>
      <c r="F99" t="s">
        <v>1201</v>
      </c>
      <c r="G99" t="e">
        <f>JMM_Fatura[[#This Row],[Valor Ilíquido]]*(1+#REF!)</f>
        <v>#REF!</v>
      </c>
    </row>
    <row r="100" spans="1:7">
      <c r="A100" t="s">
        <v>1055</v>
      </c>
      <c r="B100" t="s">
        <v>1000</v>
      </c>
      <c r="C100" t="s">
        <v>1001</v>
      </c>
      <c r="D100" t="s">
        <v>1094</v>
      </c>
      <c r="E100" t="s">
        <v>1202</v>
      </c>
      <c r="F100" t="s">
        <v>1203</v>
      </c>
      <c r="G100" t="e">
        <f>JMM_Fatura[[#This Row],[Valor Ilíquido]]*(1+#REF!)</f>
        <v>#VALUE!</v>
      </c>
    </row>
    <row r="101" spans="1:7">
      <c r="A101" t="s">
        <v>1056</v>
      </c>
      <c r="B101" t="s">
        <v>966</v>
      </c>
      <c r="C101" t="s">
        <v>978</v>
      </c>
      <c r="D101" t="s">
        <v>1204</v>
      </c>
      <c r="E101" t="s">
        <v>1205</v>
      </c>
      <c r="F101" t="s">
        <v>1204</v>
      </c>
      <c r="G101" t="e">
        <f>JMM_Fatura[[#This Row],[Valor Ilíquido]]*(1+#REF!)</f>
        <v>#REF!</v>
      </c>
    </row>
    <row r="102" spans="1:7">
      <c r="A102" t="s">
        <v>1056</v>
      </c>
      <c r="B102" t="s">
        <v>1057</v>
      </c>
      <c r="C102" t="s">
        <v>1058</v>
      </c>
      <c r="D102" t="s">
        <v>1085</v>
      </c>
      <c r="E102" t="s">
        <v>1084</v>
      </c>
      <c r="F102" t="s">
        <v>1085</v>
      </c>
      <c r="G102" t="e">
        <f>JMM_Fatura[[#This Row],[Valor Ilíquido]]*(1+#REF!)</f>
        <v>#REF!</v>
      </c>
    </row>
    <row r="103" spans="1:7">
      <c r="A103" t="s">
        <v>1056</v>
      </c>
      <c r="B103" t="s">
        <v>894</v>
      </c>
      <c r="C103" t="s">
        <v>895</v>
      </c>
      <c r="D103" t="s">
        <v>1206</v>
      </c>
      <c r="E103" t="s">
        <v>1081</v>
      </c>
      <c r="F103" t="s">
        <v>1206</v>
      </c>
      <c r="G103" t="e">
        <f>JMM_Fatura[[#This Row],[Valor Ilíquido]]*(1+#REF!)</f>
        <v>#REF!</v>
      </c>
    </row>
    <row r="104" spans="1:7">
      <c r="A104" t="s">
        <v>1056</v>
      </c>
      <c r="B104" t="s">
        <v>966</v>
      </c>
      <c r="C104" t="s">
        <v>978</v>
      </c>
      <c r="D104" t="s">
        <v>1204</v>
      </c>
      <c r="E104" t="s">
        <v>1207</v>
      </c>
      <c r="F104" t="s">
        <v>1204</v>
      </c>
      <c r="G104" t="e">
        <f>JMM_Fatura[[#This Row],[Valor Ilíquido]]*(1+#REF!)</f>
        <v>#REF!</v>
      </c>
    </row>
    <row r="105" spans="1:7">
      <c r="A105" t="s">
        <v>1056</v>
      </c>
      <c r="B105" t="s">
        <v>885</v>
      </c>
      <c r="C105" t="s">
        <v>886</v>
      </c>
      <c r="D105" t="s">
        <v>1208</v>
      </c>
      <c r="E105" t="s">
        <v>1121</v>
      </c>
      <c r="F105" t="s">
        <v>1208</v>
      </c>
      <c r="G105" t="e">
        <f>JMM_Fatura[[#This Row],[Valor Ilíquido]]*(1+#REF!)</f>
        <v>#REF!</v>
      </c>
    </row>
    <row r="106" spans="1:7">
      <c r="A106" t="s">
        <v>1059</v>
      </c>
      <c r="B106" t="s">
        <v>894</v>
      </c>
      <c r="C106" t="s">
        <v>895</v>
      </c>
      <c r="D106" t="s">
        <v>1209</v>
      </c>
      <c r="E106" t="s">
        <v>1090</v>
      </c>
      <c r="F106" t="s">
        <v>1209</v>
      </c>
      <c r="G106" t="e">
        <f>JMM_Fatura[[#This Row],[Valor Ilíquido]]*(1+#REF!)</f>
        <v>#REF!</v>
      </c>
    </row>
    <row r="107" spans="1:7">
      <c r="A107" t="s">
        <v>1059</v>
      </c>
      <c r="B107" t="s">
        <v>1060</v>
      </c>
      <c r="C107" t="s">
        <v>1061</v>
      </c>
      <c r="D107" t="s">
        <v>1210</v>
      </c>
      <c r="E107" t="s">
        <v>1211</v>
      </c>
      <c r="F107" t="s">
        <v>1210</v>
      </c>
      <c r="G107" t="e">
        <f>JMM_Fatura[[#This Row],[Valor Ilíquido]]*(1+#REF!)</f>
        <v>#REF!</v>
      </c>
    </row>
    <row r="108" spans="1:7">
      <c r="A108" t="s">
        <v>1059</v>
      </c>
      <c r="B108" t="s">
        <v>1062</v>
      </c>
      <c r="C108" t="s">
        <v>1063</v>
      </c>
      <c r="D108" t="s">
        <v>1085</v>
      </c>
      <c r="E108" t="s">
        <v>1084</v>
      </c>
      <c r="F108" t="s">
        <v>1085</v>
      </c>
      <c r="G108" t="e">
        <f>JMM_Fatura[[#This Row],[Valor Ilíquido]]*(1+#REF!)</f>
        <v>#REF!</v>
      </c>
    </row>
    <row r="109" spans="1:7">
      <c r="A109" t="s">
        <v>1059</v>
      </c>
      <c r="B109" t="s">
        <v>1064</v>
      </c>
      <c r="C109" t="s">
        <v>1065</v>
      </c>
      <c r="D109" t="s">
        <v>1212</v>
      </c>
      <c r="E109" t="s">
        <v>1094</v>
      </c>
      <c r="F109" t="s">
        <v>1212</v>
      </c>
      <c r="G109" t="e">
        <f>JMM_Fatura[[#This Row],[Valor Ilíquido]]*(1+#REF!)</f>
        <v>#REF!</v>
      </c>
    </row>
    <row r="110" spans="1:7">
      <c r="A110" t="s">
        <v>1059</v>
      </c>
      <c r="B110" t="s">
        <v>1009</v>
      </c>
      <c r="C110" t="s">
        <v>1010</v>
      </c>
      <c r="D110" t="s">
        <v>1143</v>
      </c>
      <c r="E110" t="s">
        <v>1205</v>
      </c>
      <c r="F110" t="s">
        <v>1143</v>
      </c>
      <c r="G110" t="e">
        <f>JMM_Fatura[[#This Row],[Valor Ilíquido]]*(1+#REF!)</f>
        <v>#REF!</v>
      </c>
    </row>
    <row r="111" spans="1:7">
      <c r="A111" t="s">
        <v>1059</v>
      </c>
      <c r="B111" t="s">
        <v>1066</v>
      </c>
      <c r="C111" t="s">
        <v>1067</v>
      </c>
      <c r="D111" t="s">
        <v>1085</v>
      </c>
      <c r="E111" t="s">
        <v>1084</v>
      </c>
      <c r="F111" t="s">
        <v>1085</v>
      </c>
      <c r="G111" t="e">
        <f>JMM_Fatura[[#This Row],[Valor Ilíquido]]*(1+#REF!)</f>
        <v>#REF!</v>
      </c>
    </row>
    <row r="112" spans="1:7">
      <c r="A112" t="s">
        <v>1059</v>
      </c>
      <c r="B112" t="s">
        <v>1032</v>
      </c>
      <c r="C112" t="s">
        <v>1033</v>
      </c>
      <c r="D112" t="s">
        <v>1213</v>
      </c>
      <c r="E112" t="s">
        <v>1214</v>
      </c>
      <c r="F112" t="s">
        <v>1213</v>
      </c>
      <c r="G112" t="e">
        <f>JMM_Fatura[[#This Row],[Valor Ilíquido]]*(1+#REF!)</f>
        <v>#REF!</v>
      </c>
    </row>
    <row r="113" spans="1:7">
      <c r="A113" t="s">
        <v>1059</v>
      </c>
      <c r="B113" t="s">
        <v>1068</v>
      </c>
      <c r="C113" t="s">
        <v>1069</v>
      </c>
      <c r="D113" t="s">
        <v>1215</v>
      </c>
      <c r="E113" t="s">
        <v>1084</v>
      </c>
      <c r="F113" t="s">
        <v>1215</v>
      </c>
      <c r="G113" t="e">
        <f>JMM_Fatura[[#This Row],[Valor Ilíquido]]*(1+#REF!)</f>
        <v>#REF!</v>
      </c>
    </row>
    <row r="114" spans="1:7">
      <c r="A114" t="s">
        <v>1059</v>
      </c>
      <c r="B114" t="s">
        <v>885</v>
      </c>
      <c r="C114" t="s">
        <v>931</v>
      </c>
      <c r="D114" t="s">
        <v>1216</v>
      </c>
      <c r="E114" t="s">
        <v>1217</v>
      </c>
      <c r="F114" t="s">
        <v>1216</v>
      </c>
      <c r="G114" t="e">
        <f>JMM_Fatura[[#This Row],[Valor Ilíquido]]*(1+#REF!)</f>
        <v>#REF!</v>
      </c>
    </row>
    <row r="115" spans="1:7">
      <c r="A115" t="s">
        <v>1070</v>
      </c>
      <c r="B115" t="s">
        <v>1071</v>
      </c>
      <c r="C115" t="s">
        <v>1042</v>
      </c>
      <c r="D115" t="s">
        <v>1218</v>
      </c>
      <c r="E115" t="s">
        <v>1219</v>
      </c>
      <c r="F115" t="s">
        <v>1218</v>
      </c>
      <c r="G115" t="e">
        <f>JMM_Fatura[[#This Row],[Valor Ilíquido]]*(1+#REF!)</f>
        <v>#VALUE!</v>
      </c>
    </row>
    <row r="116" spans="1:7">
      <c r="A116" t="s">
        <v>1072</v>
      </c>
      <c r="B116" t="s">
        <v>1073</v>
      </c>
      <c r="C116" t="s">
        <v>1042</v>
      </c>
      <c r="D116" t="s">
        <v>1220</v>
      </c>
      <c r="E116" t="s">
        <v>1221</v>
      </c>
      <c r="F116" t="s">
        <v>1220</v>
      </c>
      <c r="G116" t="e">
        <f>JMM_Fatura[[#This Row],[Valor Ilíquido]]*(1+#REF!)</f>
        <v>#VALUE!</v>
      </c>
    </row>
    <row r="117" spans="1:7">
      <c r="A117" t="s">
        <v>1072</v>
      </c>
      <c r="B117" t="s">
        <v>1074</v>
      </c>
      <c r="C117" t="s">
        <v>1075</v>
      </c>
      <c r="D117" t="s">
        <v>1085</v>
      </c>
      <c r="E117" t="s">
        <v>1084</v>
      </c>
      <c r="F117" t="s">
        <v>1085</v>
      </c>
      <c r="G117" t="e">
        <f>JMM_Fatura[[#This Row],[Valor Ilíquido]]*(1+#REF!)</f>
        <v>#REF!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A3B69-04E8-4C4C-BBA9-F933464D4E7C}">
  <dimension ref="A1:J34"/>
  <sheetViews>
    <sheetView workbookViewId="0">
      <selection activeCell="A44" sqref="A44"/>
    </sheetView>
  </sheetViews>
  <sheetFormatPr defaultRowHeight="15"/>
  <cols>
    <col min="1" max="1" width="58" bestFit="1" customWidth="1"/>
    <col min="2" max="2" width="15.85546875" bestFit="1" customWidth="1"/>
    <col min="3" max="3" width="41.7109375" bestFit="1" customWidth="1"/>
    <col min="4" max="4" width="13.28515625" bestFit="1" customWidth="1"/>
    <col min="5" max="5" width="9.5703125" bestFit="1" customWidth="1"/>
    <col min="6" max="7" width="8.42578125" bestFit="1" customWidth="1"/>
    <col min="8" max="8" width="15.42578125" bestFit="1" customWidth="1"/>
    <col min="9" max="9" width="6.42578125" bestFit="1" customWidth="1"/>
    <col min="10" max="10" width="7.7109375" bestFit="1" customWidth="1"/>
    <col min="11" max="11" width="18.5703125" bestFit="1" customWidth="1"/>
    <col min="12" max="12" width="7.140625" bestFit="1" customWidth="1"/>
    <col min="13" max="13" width="7.140625" customWidth="1"/>
    <col min="14" max="14" width="18" bestFit="1" customWidth="1"/>
    <col min="15" max="15" width="8" bestFit="1" customWidth="1"/>
    <col min="16" max="16" width="7.140625" bestFit="1" customWidth="1"/>
    <col min="17" max="17" width="18" bestFit="1" customWidth="1"/>
    <col min="18" max="18" width="8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1222</v>
      </c>
      <c r="G1" t="s">
        <v>1223</v>
      </c>
      <c r="H1" t="s">
        <v>1077</v>
      </c>
      <c r="I1" t="s">
        <v>1224</v>
      </c>
      <c r="J1" t="s">
        <v>8</v>
      </c>
    </row>
    <row r="2" spans="1:10">
      <c r="A2" t="s">
        <v>925</v>
      </c>
      <c r="B2" t="s">
        <v>926</v>
      </c>
      <c r="C2" t="s">
        <v>927</v>
      </c>
      <c r="D2" t="s">
        <v>1108</v>
      </c>
      <c r="E2" t="s">
        <v>1225</v>
      </c>
      <c r="F2" t="s">
        <v>1226</v>
      </c>
      <c r="G2" t="s">
        <v>1226</v>
      </c>
      <c r="H2" t="s">
        <v>1227</v>
      </c>
      <c r="I2">
        <v>0.23</v>
      </c>
      <c r="J2" s="3">
        <f>JMM_Fatura_Recibo[[#This Row],[Valor Ilíquido]]*(1+JMM_Fatura_Recibo[[#This Row],[IVA]])</f>
        <v>364.51050000000004</v>
      </c>
    </row>
    <row r="3" spans="1:10">
      <c r="A3" t="s">
        <v>925</v>
      </c>
      <c r="B3" t="s">
        <v>928</v>
      </c>
      <c r="C3" t="s">
        <v>929</v>
      </c>
      <c r="D3" t="s">
        <v>1084</v>
      </c>
      <c r="E3" t="s">
        <v>1098</v>
      </c>
      <c r="F3" t="s">
        <v>1226</v>
      </c>
      <c r="G3" t="s">
        <v>1226</v>
      </c>
      <c r="H3" t="s">
        <v>1228</v>
      </c>
      <c r="I3">
        <v>0.23</v>
      </c>
      <c r="J3" s="3">
        <f>JMM_Fatura_Recibo[[#This Row],[Valor Ilíquido]]*(1+JMM_Fatura_Recibo[[#This Row],[IVA]])</f>
        <v>166.05</v>
      </c>
    </row>
    <row r="4" spans="1:10">
      <c r="A4" t="s">
        <v>930</v>
      </c>
      <c r="B4" t="s">
        <v>885</v>
      </c>
      <c r="C4" t="s">
        <v>931</v>
      </c>
      <c r="D4" t="s">
        <v>1229</v>
      </c>
      <c r="E4" t="s">
        <v>1230</v>
      </c>
      <c r="F4" t="s">
        <v>1226</v>
      </c>
      <c r="G4" t="s">
        <v>1226</v>
      </c>
      <c r="H4" t="s">
        <v>1231</v>
      </c>
      <c r="I4">
        <v>0.23</v>
      </c>
      <c r="J4" s="3">
        <f>JMM_Fatura_Recibo[[#This Row],[Valor Ilíquido]]*(1+JMM_Fatura_Recibo[[#This Row],[IVA]])</f>
        <v>1378.0920000000001</v>
      </c>
    </row>
    <row r="5" spans="1:10">
      <c r="A5" t="s">
        <v>932</v>
      </c>
      <c r="B5" t="s">
        <v>933</v>
      </c>
      <c r="C5" t="s">
        <v>934</v>
      </c>
      <c r="D5" t="s">
        <v>1232</v>
      </c>
      <c r="E5" t="s">
        <v>1233</v>
      </c>
      <c r="F5" t="s">
        <v>1226</v>
      </c>
      <c r="G5" t="s">
        <v>1226</v>
      </c>
      <c r="H5" t="s">
        <v>1234</v>
      </c>
      <c r="I5">
        <v>0.23</v>
      </c>
      <c r="J5" s="3">
        <f>JMM_Fatura_Recibo[[#This Row],[Valor Ilíquido]]*(1+JMM_Fatura_Recibo[[#This Row],[IVA]])</f>
        <v>256.4796</v>
      </c>
    </row>
    <row r="6" spans="1:10">
      <c r="A6" t="s">
        <v>932</v>
      </c>
      <c r="B6" t="s">
        <v>935</v>
      </c>
      <c r="C6" t="s">
        <v>936</v>
      </c>
      <c r="D6" t="s">
        <v>1084</v>
      </c>
      <c r="E6" t="s">
        <v>1085</v>
      </c>
      <c r="F6" t="s">
        <v>1226</v>
      </c>
      <c r="G6" t="s">
        <v>1226</v>
      </c>
      <c r="H6" t="s">
        <v>1235</v>
      </c>
      <c r="I6">
        <v>0.23</v>
      </c>
      <c r="J6" s="3">
        <f>JMM_Fatura_Recibo[[#This Row],[Valor Ilíquido]]*(1+JMM_Fatura_Recibo[[#This Row],[IVA]])</f>
        <v>110.7</v>
      </c>
    </row>
    <row r="7" spans="1:10">
      <c r="A7" t="s">
        <v>932</v>
      </c>
      <c r="B7" t="s">
        <v>937</v>
      </c>
      <c r="C7" t="s">
        <v>938</v>
      </c>
      <c r="D7" t="s">
        <v>1232</v>
      </c>
      <c r="E7" t="s">
        <v>1236</v>
      </c>
      <c r="F7" t="s">
        <v>1226</v>
      </c>
      <c r="G7" t="s">
        <v>1226</v>
      </c>
      <c r="H7" t="s">
        <v>1237</v>
      </c>
      <c r="I7">
        <v>0.23</v>
      </c>
      <c r="J7" s="3">
        <f>JMM_Fatura_Recibo[[#This Row],[Valor Ilíquido]]*(1+JMM_Fatura_Recibo[[#This Row],[IVA]])</f>
        <v>405.9246</v>
      </c>
    </row>
    <row r="8" spans="1:10">
      <c r="A8" t="s">
        <v>932</v>
      </c>
      <c r="B8" t="s">
        <v>939</v>
      </c>
      <c r="C8" t="s">
        <v>940</v>
      </c>
      <c r="D8" t="s">
        <v>1084</v>
      </c>
      <c r="E8" t="s">
        <v>1085</v>
      </c>
      <c r="F8" t="s">
        <v>1226</v>
      </c>
      <c r="G8" t="s">
        <v>1226</v>
      </c>
      <c r="H8" t="s">
        <v>1235</v>
      </c>
      <c r="I8">
        <v>0.23</v>
      </c>
      <c r="J8" s="3">
        <f>JMM_Fatura_Recibo[[#This Row],[Valor Ilíquido]]*(1+JMM_Fatura_Recibo[[#This Row],[IVA]])</f>
        <v>110.7</v>
      </c>
    </row>
    <row r="9" spans="1:10">
      <c r="A9" t="s">
        <v>932</v>
      </c>
      <c r="B9" t="s">
        <v>941</v>
      </c>
      <c r="C9" t="s">
        <v>942</v>
      </c>
      <c r="D9" t="s">
        <v>1153</v>
      </c>
      <c r="E9" t="s">
        <v>1238</v>
      </c>
      <c r="F9" t="s">
        <v>1226</v>
      </c>
      <c r="G9" t="s">
        <v>1226</v>
      </c>
      <c r="H9" t="s">
        <v>1239</v>
      </c>
      <c r="I9">
        <v>0.23</v>
      </c>
      <c r="J9" s="3">
        <f>JMM_Fatura_Recibo[[#This Row],[Valor Ilíquido]]*(1+JMM_Fatura_Recibo[[#This Row],[IVA]])</f>
        <v>534.68099999999993</v>
      </c>
    </row>
    <row r="10" spans="1:10">
      <c r="A10" t="s">
        <v>932</v>
      </c>
      <c r="B10" t="s">
        <v>943</v>
      </c>
      <c r="C10" t="s">
        <v>944</v>
      </c>
      <c r="D10" t="s">
        <v>1240</v>
      </c>
      <c r="E10" t="s">
        <v>1241</v>
      </c>
      <c r="F10" t="s">
        <v>1242</v>
      </c>
      <c r="G10" t="s">
        <v>1226</v>
      </c>
      <c r="H10" t="s">
        <v>1243</v>
      </c>
      <c r="I10">
        <v>0.23</v>
      </c>
      <c r="J10" s="3">
        <f>JMM_Fatura_Recibo[[#This Row],[Valor Ilíquido]]*(1+JMM_Fatura_Recibo[[#This Row],[IVA]])</f>
        <v>90.897000000000006</v>
      </c>
    </row>
    <row r="11" spans="1:10">
      <c r="A11" t="s">
        <v>945</v>
      </c>
      <c r="B11" t="s">
        <v>926</v>
      </c>
      <c r="C11" t="s">
        <v>927</v>
      </c>
      <c r="D11" t="s">
        <v>1108</v>
      </c>
      <c r="E11" t="s">
        <v>1244</v>
      </c>
      <c r="F11" t="s">
        <v>1226</v>
      </c>
      <c r="G11" t="s">
        <v>1226</v>
      </c>
      <c r="H11" t="s">
        <v>1245</v>
      </c>
      <c r="I11">
        <v>0.23</v>
      </c>
      <c r="J11" s="3">
        <f>JMM_Fatura_Recibo[[#This Row],[Valor Ilíquido]]*(1+JMM_Fatura_Recibo[[#This Row],[IVA]])</f>
        <v>449.565</v>
      </c>
    </row>
    <row r="12" spans="1:10">
      <c r="A12" t="s">
        <v>945</v>
      </c>
      <c r="B12" t="s">
        <v>946</v>
      </c>
      <c r="C12" t="s">
        <v>947</v>
      </c>
      <c r="D12" t="s">
        <v>1084</v>
      </c>
      <c r="E12" t="s">
        <v>1085</v>
      </c>
      <c r="F12" t="s">
        <v>1226</v>
      </c>
      <c r="G12" t="s">
        <v>1226</v>
      </c>
      <c r="H12" t="s">
        <v>1235</v>
      </c>
      <c r="I12">
        <v>0.23</v>
      </c>
      <c r="J12" s="3">
        <f>JMM_Fatura_Recibo[[#This Row],[Valor Ilíquido]]*(1+JMM_Fatura_Recibo[[#This Row],[IVA]])</f>
        <v>110.7</v>
      </c>
    </row>
    <row r="13" spans="1:10">
      <c r="A13" t="s">
        <v>948</v>
      </c>
      <c r="B13" t="s">
        <v>949</v>
      </c>
      <c r="C13" t="s">
        <v>950</v>
      </c>
      <c r="D13" t="s">
        <v>1094</v>
      </c>
      <c r="E13" t="s">
        <v>1246</v>
      </c>
      <c r="F13" t="s">
        <v>1226</v>
      </c>
      <c r="G13" t="s">
        <v>1226</v>
      </c>
      <c r="H13" t="s">
        <v>1247</v>
      </c>
      <c r="I13">
        <v>0.23</v>
      </c>
      <c r="J13" s="3">
        <f>JMM_Fatura_Recibo[[#This Row],[Valor Ilíquido]]*(1+JMM_Fatura_Recibo[[#This Row],[IVA]])</f>
        <v>319.77539999999999</v>
      </c>
    </row>
    <row r="14" spans="1:10">
      <c r="A14" t="s">
        <v>951</v>
      </c>
      <c r="B14" t="s">
        <v>885</v>
      </c>
      <c r="C14" t="s">
        <v>886</v>
      </c>
      <c r="D14" t="s">
        <v>1229</v>
      </c>
      <c r="E14" t="s">
        <v>1248</v>
      </c>
      <c r="F14" t="s">
        <v>1226</v>
      </c>
      <c r="G14" t="s">
        <v>1226</v>
      </c>
      <c r="H14" t="s">
        <v>1249</v>
      </c>
      <c r="I14">
        <v>0.23</v>
      </c>
      <c r="J14" s="3">
        <f>JMM_Fatura_Recibo[[#This Row],[Valor Ilíquido]]*(1+JMM_Fatura_Recibo[[#This Row],[IVA]])</f>
        <v>1331.106</v>
      </c>
    </row>
    <row r="15" spans="1:10">
      <c r="A15" t="s">
        <v>952</v>
      </c>
      <c r="B15" t="s">
        <v>896</v>
      </c>
      <c r="C15" t="s">
        <v>953</v>
      </c>
      <c r="D15" t="s">
        <v>1094</v>
      </c>
      <c r="E15" t="s">
        <v>1250</v>
      </c>
      <c r="F15" t="s">
        <v>1226</v>
      </c>
      <c r="G15" t="s">
        <v>1226</v>
      </c>
      <c r="H15" t="s">
        <v>1251</v>
      </c>
      <c r="I15">
        <v>0.23</v>
      </c>
      <c r="J15" s="3">
        <f>JMM_Fatura_Recibo[[#This Row],[Valor Ilíquido]]*(1+JMM_Fatura_Recibo[[#This Row],[IVA]])</f>
        <v>617.60760000000005</v>
      </c>
    </row>
    <row r="16" spans="1:10">
      <c r="A16" t="s">
        <v>952</v>
      </c>
      <c r="B16" t="s">
        <v>954</v>
      </c>
      <c r="C16" t="s">
        <v>955</v>
      </c>
      <c r="D16" t="s">
        <v>1081</v>
      </c>
      <c r="E16" t="s">
        <v>1252</v>
      </c>
      <c r="F16" t="s">
        <v>1226</v>
      </c>
      <c r="G16" t="s">
        <v>1226</v>
      </c>
      <c r="H16" t="s">
        <v>1253</v>
      </c>
      <c r="I16">
        <v>0.23</v>
      </c>
      <c r="J16" s="3">
        <f>JMM_Fatura_Recibo[[#This Row],[Valor Ilíquido]]*(1+JMM_Fatura_Recibo[[#This Row],[IVA]])</f>
        <v>491.4588</v>
      </c>
    </row>
    <row r="17" spans="1:10">
      <c r="A17" t="s">
        <v>952</v>
      </c>
      <c r="B17" t="s">
        <v>956</v>
      </c>
      <c r="C17" t="s">
        <v>957</v>
      </c>
      <c r="D17" t="s">
        <v>1094</v>
      </c>
      <c r="E17" t="s">
        <v>1254</v>
      </c>
      <c r="F17" t="s">
        <v>1226</v>
      </c>
      <c r="G17" t="s">
        <v>1226</v>
      </c>
      <c r="H17" t="s">
        <v>1255</v>
      </c>
      <c r="I17">
        <v>0.23</v>
      </c>
      <c r="J17" s="3">
        <f>JMM_Fatura_Recibo[[#This Row],[Valor Ilíquido]]*(1+JMM_Fatura_Recibo[[#This Row],[IVA]])</f>
        <v>1553.6375999999998</v>
      </c>
    </row>
    <row r="18" spans="1:10">
      <c r="A18" t="s">
        <v>952</v>
      </c>
      <c r="B18" t="s">
        <v>958</v>
      </c>
      <c r="C18" t="s">
        <v>959</v>
      </c>
      <c r="D18" t="s">
        <v>1084</v>
      </c>
      <c r="E18" t="s">
        <v>1085</v>
      </c>
      <c r="F18" t="s">
        <v>1226</v>
      </c>
      <c r="G18" t="s">
        <v>1226</v>
      </c>
      <c r="H18" t="s">
        <v>1235</v>
      </c>
      <c r="I18">
        <v>0.23</v>
      </c>
      <c r="J18" s="3">
        <f>JMM_Fatura_Recibo[[#This Row],[Valor Ilíquido]]*(1+JMM_Fatura_Recibo[[#This Row],[IVA]])</f>
        <v>110.7</v>
      </c>
    </row>
    <row r="19" spans="1:10">
      <c r="A19" t="s">
        <v>952</v>
      </c>
      <c r="B19" t="s">
        <v>960</v>
      </c>
      <c r="C19" t="s">
        <v>961</v>
      </c>
      <c r="D19" t="s">
        <v>1094</v>
      </c>
      <c r="E19" t="s">
        <v>1256</v>
      </c>
      <c r="F19" t="s">
        <v>1226</v>
      </c>
      <c r="G19" t="s">
        <v>1226</v>
      </c>
      <c r="H19" t="s">
        <v>1257</v>
      </c>
      <c r="I19">
        <v>0.23</v>
      </c>
      <c r="J19" s="3">
        <f>JMM_Fatura_Recibo[[#This Row],[Valor Ilíquido]]*(1+JMM_Fatura_Recibo[[#This Row],[IVA]])</f>
        <v>580.70759999999996</v>
      </c>
    </row>
    <row r="20" spans="1:10">
      <c r="A20" t="s">
        <v>962</v>
      </c>
      <c r="B20" t="s">
        <v>885</v>
      </c>
      <c r="C20" t="s">
        <v>886</v>
      </c>
      <c r="D20" t="s">
        <v>1121</v>
      </c>
      <c r="E20" t="s">
        <v>1258</v>
      </c>
      <c r="F20" t="s">
        <v>1226</v>
      </c>
      <c r="G20" t="s">
        <v>1226</v>
      </c>
      <c r="H20" t="s">
        <v>1259</v>
      </c>
      <c r="I20">
        <v>0.23</v>
      </c>
      <c r="J20" s="3">
        <f>JMM_Fatura_Recibo[[#This Row],[Valor Ilíquido]]*(1+JMM_Fatura_Recibo[[#This Row],[IVA]])</f>
        <v>707.00399999999991</v>
      </c>
    </row>
    <row r="21" spans="1:10">
      <c r="A21" t="s">
        <v>963</v>
      </c>
      <c r="B21" t="s">
        <v>926</v>
      </c>
      <c r="C21" t="s">
        <v>927</v>
      </c>
      <c r="D21" t="s">
        <v>1260</v>
      </c>
      <c r="E21" t="s">
        <v>1261</v>
      </c>
      <c r="F21" t="s">
        <v>1226</v>
      </c>
      <c r="G21" t="s">
        <v>1226</v>
      </c>
      <c r="H21" t="s">
        <v>1262</v>
      </c>
      <c r="I21">
        <v>0.23</v>
      </c>
      <c r="J21" s="3">
        <f>JMM_Fatura_Recibo[[#This Row],[Valor Ilíquido]]*(1+JMM_Fatura_Recibo[[#This Row],[IVA]])</f>
        <v>548.70299999999997</v>
      </c>
    </row>
    <row r="22" spans="1:10">
      <c r="A22" t="s">
        <v>963</v>
      </c>
      <c r="B22" t="s">
        <v>964</v>
      </c>
      <c r="C22" t="s">
        <v>965</v>
      </c>
      <c r="D22" t="s">
        <v>1084</v>
      </c>
      <c r="E22" t="s">
        <v>1085</v>
      </c>
      <c r="F22" t="s">
        <v>1226</v>
      </c>
      <c r="G22" t="s">
        <v>1226</v>
      </c>
      <c r="H22" t="s">
        <v>1235</v>
      </c>
      <c r="I22">
        <v>0.23</v>
      </c>
      <c r="J22" s="3">
        <f>JMM_Fatura_Recibo[[#This Row],[Valor Ilíquido]]*(1+JMM_Fatura_Recibo[[#This Row],[IVA]])</f>
        <v>110.7</v>
      </c>
    </row>
    <row r="23" spans="1:10">
      <c r="A23" t="s">
        <v>963</v>
      </c>
      <c r="B23" t="s">
        <v>966</v>
      </c>
      <c r="C23" t="s">
        <v>967</v>
      </c>
      <c r="D23" t="s">
        <v>1205</v>
      </c>
      <c r="E23" t="s">
        <v>1263</v>
      </c>
      <c r="F23" t="s">
        <v>1226</v>
      </c>
      <c r="G23" t="s">
        <v>1226</v>
      </c>
      <c r="H23" t="s">
        <v>1264</v>
      </c>
      <c r="I23">
        <v>0.23</v>
      </c>
      <c r="J23" s="3">
        <f>JMM_Fatura_Recibo[[#This Row],[Valor Ilíquido]]*(1+JMM_Fatura_Recibo[[#This Row],[IVA]])</f>
        <v>227.79599999999999</v>
      </c>
    </row>
    <row r="24" spans="1:10">
      <c r="A24" t="s">
        <v>963</v>
      </c>
      <c r="B24" t="s">
        <v>968</v>
      </c>
      <c r="C24" t="s">
        <v>969</v>
      </c>
      <c r="D24" t="s">
        <v>1084</v>
      </c>
      <c r="E24" t="s">
        <v>1085</v>
      </c>
      <c r="F24" t="s">
        <v>1226</v>
      </c>
      <c r="G24" t="s">
        <v>1226</v>
      </c>
      <c r="H24" t="s">
        <v>1235</v>
      </c>
      <c r="I24">
        <v>0.23</v>
      </c>
      <c r="J24" s="3">
        <f>JMM_Fatura_Recibo[[#This Row],[Valor Ilíquido]]*(1+JMM_Fatura_Recibo[[#This Row],[IVA]])</f>
        <v>110.7</v>
      </c>
    </row>
    <row r="25" spans="1:10">
      <c r="A25" t="s">
        <v>963</v>
      </c>
      <c r="B25" t="s">
        <v>1133</v>
      </c>
      <c r="C25" t="s">
        <v>661</v>
      </c>
      <c r="D25" t="s">
        <v>1084</v>
      </c>
      <c r="E25" t="s">
        <v>1265</v>
      </c>
      <c r="F25" t="s">
        <v>1226</v>
      </c>
      <c r="G25" t="s">
        <v>1226</v>
      </c>
      <c r="H25" t="s">
        <v>1266</v>
      </c>
      <c r="I25">
        <v>0.23</v>
      </c>
      <c r="J25" s="3">
        <f>JMM_Fatura_Recibo[[#This Row],[Valor Ilíquido]]*(1+JMM_Fatura_Recibo[[#This Row],[IVA]])</f>
        <v>45.51</v>
      </c>
    </row>
    <row r="26" spans="1:10">
      <c r="A26" t="s">
        <v>970</v>
      </c>
      <c r="B26" t="s">
        <v>885</v>
      </c>
      <c r="C26" t="s">
        <v>931</v>
      </c>
      <c r="D26" t="s">
        <v>1121</v>
      </c>
      <c r="E26" t="s">
        <v>1258</v>
      </c>
      <c r="F26" t="s">
        <v>1226</v>
      </c>
      <c r="G26" t="s">
        <v>1226</v>
      </c>
      <c r="H26" t="s">
        <v>1259</v>
      </c>
      <c r="I26">
        <v>0.23</v>
      </c>
      <c r="J26" s="3">
        <f>JMM_Fatura_Recibo[[#This Row],[Valor Ilíquido]]*(1+JMM_Fatura_Recibo[[#This Row],[IVA]])</f>
        <v>707.00399999999991</v>
      </c>
    </row>
    <row r="27" spans="1:10">
      <c r="A27" t="s">
        <v>970</v>
      </c>
      <c r="B27" t="s">
        <v>926</v>
      </c>
      <c r="C27" t="s">
        <v>927</v>
      </c>
      <c r="D27" t="s">
        <v>1260</v>
      </c>
      <c r="E27" t="s">
        <v>1261</v>
      </c>
      <c r="F27" t="s">
        <v>1226</v>
      </c>
      <c r="G27" t="s">
        <v>1226</v>
      </c>
      <c r="H27" t="s">
        <v>1262</v>
      </c>
      <c r="I27">
        <v>0.23</v>
      </c>
      <c r="J27" s="3">
        <f>JMM_Fatura_Recibo[[#This Row],[Valor Ilíquido]]*(1+JMM_Fatura_Recibo[[#This Row],[IVA]])</f>
        <v>548.70299999999997</v>
      </c>
    </row>
    <row r="28" spans="1:10">
      <c r="A28" t="s">
        <v>970</v>
      </c>
      <c r="B28" t="s">
        <v>964</v>
      </c>
      <c r="C28" t="s">
        <v>965</v>
      </c>
      <c r="D28" t="s">
        <v>1084</v>
      </c>
      <c r="E28" t="s">
        <v>1085</v>
      </c>
      <c r="F28" t="s">
        <v>1226</v>
      </c>
      <c r="G28" t="s">
        <v>1226</v>
      </c>
      <c r="H28" t="s">
        <v>1235</v>
      </c>
      <c r="I28">
        <v>0.23</v>
      </c>
      <c r="J28" s="3">
        <f>JMM_Fatura_Recibo[[#This Row],[Valor Ilíquido]]*(1+JMM_Fatura_Recibo[[#This Row],[IVA]])</f>
        <v>110.7</v>
      </c>
    </row>
    <row r="29" spans="1:10">
      <c r="A29" t="s">
        <v>970</v>
      </c>
      <c r="B29" t="s">
        <v>966</v>
      </c>
      <c r="C29" t="s">
        <v>967</v>
      </c>
      <c r="D29" t="s">
        <v>1205</v>
      </c>
      <c r="E29" t="s">
        <v>1263</v>
      </c>
      <c r="F29" t="s">
        <v>1226</v>
      </c>
      <c r="G29" t="s">
        <v>1226</v>
      </c>
      <c r="H29" t="s">
        <v>1264</v>
      </c>
      <c r="I29">
        <v>0.23</v>
      </c>
      <c r="J29" s="3">
        <f>JMM_Fatura_Recibo[[#This Row],[Valor Ilíquido]]*(1+JMM_Fatura_Recibo[[#This Row],[IVA]])</f>
        <v>227.79599999999999</v>
      </c>
    </row>
    <row r="30" spans="1:10">
      <c r="A30" t="s">
        <v>970</v>
      </c>
      <c r="B30" t="s">
        <v>968</v>
      </c>
      <c r="C30" t="s">
        <v>969</v>
      </c>
      <c r="D30" t="s">
        <v>1084</v>
      </c>
      <c r="E30" t="s">
        <v>1085</v>
      </c>
      <c r="F30" t="s">
        <v>1226</v>
      </c>
      <c r="G30" t="s">
        <v>1226</v>
      </c>
      <c r="H30" t="s">
        <v>1235</v>
      </c>
      <c r="I30">
        <v>0.23</v>
      </c>
      <c r="J30" s="3">
        <f>JMM_Fatura_Recibo[[#This Row],[Valor Ilíquido]]*(1+JMM_Fatura_Recibo[[#This Row],[IVA]])</f>
        <v>110.7</v>
      </c>
    </row>
    <row r="31" spans="1:10">
      <c r="A31" t="s">
        <v>970</v>
      </c>
      <c r="B31" t="s">
        <v>971</v>
      </c>
      <c r="C31" t="s">
        <v>972</v>
      </c>
      <c r="D31" t="s">
        <v>1267</v>
      </c>
      <c r="E31" t="s">
        <v>1268</v>
      </c>
      <c r="F31" t="s">
        <v>1269</v>
      </c>
      <c r="G31" t="s">
        <v>1226</v>
      </c>
      <c r="H31" t="s">
        <v>1270</v>
      </c>
      <c r="I31">
        <v>0.23</v>
      </c>
      <c r="J31" s="3">
        <f>JMM_Fatura_Recibo[[#This Row],[Valor Ilíquido]]*(1+JMM_Fatura_Recibo[[#This Row],[IVA]])</f>
        <v>4.4526000000000003</v>
      </c>
    </row>
    <row r="32" spans="1:10">
      <c r="A32" t="s">
        <v>970</v>
      </c>
      <c r="B32" t="s">
        <v>973</v>
      </c>
      <c r="C32" t="s">
        <v>974</v>
      </c>
      <c r="D32" t="s">
        <v>1267</v>
      </c>
      <c r="E32" t="s">
        <v>1271</v>
      </c>
      <c r="F32" t="s">
        <v>1269</v>
      </c>
      <c r="G32" t="s">
        <v>1226</v>
      </c>
      <c r="H32" t="s">
        <v>1272</v>
      </c>
      <c r="I32">
        <v>0.23</v>
      </c>
      <c r="J32" s="3">
        <f>JMM_Fatura_Recibo[[#This Row],[Valor Ilíquido]]*(1+JMM_Fatura_Recibo[[#This Row],[IVA]])</f>
        <v>1.3776000000000002</v>
      </c>
    </row>
    <row r="33" spans="1:10">
      <c r="A33" t="s">
        <v>970</v>
      </c>
      <c r="B33" t="s">
        <v>975</v>
      </c>
      <c r="C33" t="s">
        <v>976</v>
      </c>
      <c r="D33" t="s">
        <v>1267</v>
      </c>
      <c r="E33" t="s">
        <v>1273</v>
      </c>
      <c r="F33" t="s">
        <v>1269</v>
      </c>
      <c r="G33" t="s">
        <v>1226</v>
      </c>
      <c r="H33" t="s">
        <v>1274</v>
      </c>
      <c r="I33">
        <v>0.23</v>
      </c>
      <c r="J33" s="3">
        <f>JMM_Fatura_Recibo[[#This Row],[Valor Ilíquido]]*(1+JMM_Fatura_Recibo[[#This Row],[IVA]])</f>
        <v>1.4883</v>
      </c>
    </row>
    <row r="34" spans="1:10">
      <c r="A34" t="s">
        <v>977</v>
      </c>
      <c r="B34" t="s">
        <v>966</v>
      </c>
      <c r="C34" t="s">
        <v>978</v>
      </c>
      <c r="D34" t="s">
        <v>1094</v>
      </c>
      <c r="E34" t="s">
        <v>1275</v>
      </c>
      <c r="F34" t="s">
        <v>1226</v>
      </c>
      <c r="G34" t="s">
        <v>1226</v>
      </c>
      <c r="H34" t="s">
        <v>1276</v>
      </c>
      <c r="I34">
        <v>0.23</v>
      </c>
      <c r="J34" s="3">
        <f>JMM_Fatura_Recibo[[#This Row],[Valor Ilíquido]]*(1+JMM_Fatura_Recibo[[#This Row],[IVA]])</f>
        <v>94.820700000000002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8A3B0-03CA-44E9-B1C5-5DFB17CF640F}">
  <dimension ref="A1:J150"/>
  <sheetViews>
    <sheetView workbookViewId="0">
      <selection activeCell="E29" sqref="E29"/>
    </sheetView>
  </sheetViews>
  <sheetFormatPr defaultRowHeight="15"/>
  <cols>
    <col min="1" max="1" width="58" bestFit="1" customWidth="1"/>
    <col min="2" max="2" width="20" bestFit="1" customWidth="1"/>
    <col min="3" max="3" width="41.7109375" bestFit="1" customWidth="1"/>
    <col min="4" max="4" width="46" bestFit="1" customWidth="1"/>
    <col min="5" max="5" width="16.85546875" bestFit="1" customWidth="1"/>
    <col min="6" max="6" width="46" bestFit="1" customWidth="1"/>
    <col min="7" max="8" width="8.42578125" bestFit="1" customWidth="1"/>
    <col min="9" max="9" width="6.42578125" bestFit="1" customWidth="1"/>
    <col min="10" max="10" width="8.4257812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1077</v>
      </c>
      <c r="G1" t="s">
        <v>1222</v>
      </c>
      <c r="H1" t="s">
        <v>1223</v>
      </c>
      <c r="I1" t="s">
        <v>1224</v>
      </c>
      <c r="J1" t="s">
        <v>8</v>
      </c>
    </row>
    <row r="2" spans="1:10">
      <c r="A2" t="s">
        <v>884</v>
      </c>
      <c r="B2" t="s">
        <v>885</v>
      </c>
      <c r="C2" t="s">
        <v>886</v>
      </c>
      <c r="D2" s="7" t="s">
        <v>1078</v>
      </c>
      <c r="E2" s="7" t="s">
        <v>1079</v>
      </c>
      <c r="F2" s="7" t="s">
        <v>1080</v>
      </c>
      <c r="G2" s="7"/>
      <c r="H2" s="7"/>
      <c r="I2" s="13"/>
      <c r="J2" s="8" t="e">
        <f>JMM_Total[[#This Row],[Valor Ilíquido]]*(1+JMM_Total[[#This Row],[IVA]])</f>
        <v>#VALUE!</v>
      </c>
    </row>
    <row r="3" spans="1:10" hidden="1">
      <c r="A3" t="s">
        <v>884</v>
      </c>
      <c r="B3" t="s">
        <v>887</v>
      </c>
      <c r="C3" t="s">
        <v>888</v>
      </c>
      <c r="D3" s="7" t="s">
        <v>1081</v>
      </c>
      <c r="E3" s="7" t="s">
        <v>1082</v>
      </c>
      <c r="F3" s="7" t="s">
        <v>1083</v>
      </c>
      <c r="G3" s="7"/>
      <c r="H3" s="7"/>
      <c r="I3" s="13"/>
      <c r="J3" s="8" t="e">
        <f>JMM_Total[[#This Row],[Valor Ilíquido]]*(1+JMM_Total[[#This Row],[IVA]])</f>
        <v>#VALUE!</v>
      </c>
    </row>
    <row r="4" spans="1:10" hidden="1">
      <c r="A4" t="s">
        <v>884</v>
      </c>
      <c r="B4" t="s">
        <v>889</v>
      </c>
      <c r="C4" t="s">
        <v>890</v>
      </c>
      <c r="D4" s="7" t="s">
        <v>1084</v>
      </c>
      <c r="E4" s="7" t="s">
        <v>1085</v>
      </c>
      <c r="F4" s="7" t="s">
        <v>1086</v>
      </c>
      <c r="G4" s="7"/>
      <c r="H4" s="7"/>
      <c r="I4" s="13"/>
      <c r="J4" s="8" t="e">
        <f>JMM_Total[[#This Row],[Valor Ilíquido]]*(1+JMM_Total[[#This Row],[IVA]])</f>
        <v>#VALUE!</v>
      </c>
    </row>
    <row r="5" spans="1:10" hidden="1">
      <c r="A5" t="s">
        <v>884</v>
      </c>
      <c r="B5" t="s">
        <v>891</v>
      </c>
      <c r="C5" t="s">
        <v>892</v>
      </c>
      <c r="D5" s="7" t="s">
        <v>1087</v>
      </c>
      <c r="E5" s="7" t="s">
        <v>1088</v>
      </c>
      <c r="F5" s="7" t="s">
        <v>1089</v>
      </c>
      <c r="G5" s="7"/>
      <c r="H5" s="7"/>
      <c r="I5" s="13"/>
      <c r="J5" s="8" t="e">
        <f>JMM_Total[[#This Row],[Valor Ilíquido]]*(1+JMM_Total[[#This Row],[IVA]])</f>
        <v>#VALUE!</v>
      </c>
    </row>
    <row r="6" spans="1:10">
      <c r="A6" t="s">
        <v>893</v>
      </c>
      <c r="B6" t="s">
        <v>894</v>
      </c>
      <c r="C6" t="s">
        <v>895</v>
      </c>
      <c r="D6" s="7" t="s">
        <v>1090</v>
      </c>
      <c r="E6" s="7" t="s">
        <v>1091</v>
      </c>
      <c r="F6" s="7" t="s">
        <v>1090</v>
      </c>
      <c r="G6" s="7"/>
      <c r="H6" s="7"/>
      <c r="I6" s="13"/>
      <c r="J6" s="8" t="e">
        <f>JMM_Total[[#This Row],[Valor Ilíquido]]*(1+JMM_Total[[#This Row],[IVA]])</f>
        <v>#VALUE!</v>
      </c>
    </row>
    <row r="7" spans="1:10">
      <c r="A7" t="s">
        <v>893</v>
      </c>
      <c r="B7" t="s">
        <v>885</v>
      </c>
      <c r="C7" t="s">
        <v>886</v>
      </c>
      <c r="D7" s="7" t="s">
        <v>1078</v>
      </c>
      <c r="E7" s="7" t="s">
        <v>1093</v>
      </c>
      <c r="F7" s="7" t="s">
        <v>1078</v>
      </c>
      <c r="G7" s="7"/>
      <c r="H7" s="7"/>
      <c r="I7" s="13"/>
      <c r="J7" s="8" t="e">
        <f>JMM_Total[[#This Row],[Valor Ilíquido]]*(1+JMM_Total[[#This Row],[IVA]])</f>
        <v>#VALUE!</v>
      </c>
    </row>
    <row r="8" spans="1:10">
      <c r="A8" t="s">
        <v>893</v>
      </c>
      <c r="B8" t="s">
        <v>896</v>
      </c>
      <c r="C8" t="s">
        <v>897</v>
      </c>
      <c r="D8" s="7" t="s">
        <v>1094</v>
      </c>
      <c r="E8" s="7" t="s">
        <v>1095</v>
      </c>
      <c r="F8" s="7" t="s">
        <v>1094</v>
      </c>
      <c r="G8" s="7"/>
      <c r="H8" s="7"/>
      <c r="I8" s="13"/>
      <c r="J8" s="8" t="e">
        <f>JMM_Total[[#This Row],[Valor Ilíquido]]*(1+JMM_Total[[#This Row],[IVA]])</f>
        <v>#VALUE!</v>
      </c>
    </row>
    <row r="9" spans="1:10" hidden="1">
      <c r="A9" t="s">
        <v>893</v>
      </c>
      <c r="B9" t="s">
        <v>898</v>
      </c>
      <c r="C9" t="s">
        <v>899</v>
      </c>
      <c r="D9" s="7" t="s">
        <v>1084</v>
      </c>
      <c r="E9" s="7" t="s">
        <v>1085</v>
      </c>
      <c r="F9" s="7" t="s">
        <v>1084</v>
      </c>
      <c r="G9" s="7"/>
      <c r="H9" s="7"/>
      <c r="I9" s="13"/>
      <c r="J9" s="8" t="e">
        <f>JMM_Total[[#This Row],[Valor Ilíquido]]*(1+JMM_Total[[#This Row],[IVA]])</f>
        <v>#VALUE!</v>
      </c>
    </row>
    <row r="10" spans="1:10" hidden="1">
      <c r="A10" t="s">
        <v>900</v>
      </c>
      <c r="B10" t="s">
        <v>901</v>
      </c>
      <c r="C10" t="s">
        <v>902</v>
      </c>
      <c r="D10" s="7" t="s">
        <v>1096</v>
      </c>
      <c r="E10" s="7" t="s">
        <v>1097</v>
      </c>
      <c r="F10" s="7" t="s">
        <v>1096</v>
      </c>
      <c r="G10" s="7"/>
      <c r="H10" s="7"/>
      <c r="I10" s="13"/>
      <c r="J10" s="8" t="e">
        <f>JMM_Total[[#This Row],[Valor Ilíquido]]*(1+JMM_Total[[#This Row],[IVA]])</f>
        <v>#VALUE!</v>
      </c>
    </row>
    <row r="11" spans="1:10" hidden="1">
      <c r="A11" t="s">
        <v>900</v>
      </c>
      <c r="B11" t="s">
        <v>903</v>
      </c>
      <c r="C11" t="s">
        <v>904</v>
      </c>
      <c r="D11" s="7" t="s">
        <v>1084</v>
      </c>
      <c r="E11" s="7" t="s">
        <v>1098</v>
      </c>
      <c r="F11" s="7" t="s">
        <v>1084</v>
      </c>
      <c r="G11" s="7"/>
      <c r="H11" s="7"/>
      <c r="I11" s="13"/>
      <c r="J11" s="8" t="e">
        <f>JMM_Total[[#This Row],[Valor Ilíquido]]*(1+JMM_Total[[#This Row],[IVA]])</f>
        <v>#VALUE!</v>
      </c>
    </row>
    <row r="12" spans="1:10" hidden="1">
      <c r="A12" t="s">
        <v>900</v>
      </c>
      <c r="B12" t="s">
        <v>905</v>
      </c>
      <c r="C12" t="s">
        <v>906</v>
      </c>
      <c r="D12" s="7" t="s">
        <v>1094</v>
      </c>
      <c r="E12" s="7" t="s">
        <v>1099</v>
      </c>
      <c r="F12" s="7" t="s">
        <v>1094</v>
      </c>
      <c r="G12" s="7"/>
      <c r="H12" s="7"/>
      <c r="I12" s="13"/>
      <c r="J12" s="8" t="e">
        <f>JMM_Total[[#This Row],[Valor Ilíquido]]*(1+JMM_Total[[#This Row],[IVA]])</f>
        <v>#VALUE!</v>
      </c>
    </row>
    <row r="13" spans="1:10" hidden="1">
      <c r="A13" t="s">
        <v>900</v>
      </c>
      <c r="B13" t="s">
        <v>907</v>
      </c>
      <c r="C13" t="s">
        <v>908</v>
      </c>
      <c r="D13" s="7" t="s">
        <v>1084</v>
      </c>
      <c r="E13" s="7" t="s">
        <v>1085</v>
      </c>
      <c r="F13" s="7" t="s">
        <v>1084</v>
      </c>
      <c r="G13" s="7"/>
      <c r="H13" s="7"/>
      <c r="I13" s="13"/>
      <c r="J13" s="8" t="e">
        <f>JMM_Total[[#This Row],[Valor Ilíquido]]*(1+JMM_Total[[#This Row],[IVA]])</f>
        <v>#VALUE!</v>
      </c>
    </row>
    <row r="14" spans="1:10" hidden="1">
      <c r="A14" t="s">
        <v>900</v>
      </c>
      <c r="B14" t="s">
        <v>909</v>
      </c>
      <c r="C14" t="s">
        <v>910</v>
      </c>
      <c r="D14" s="7" t="s">
        <v>1100</v>
      </c>
      <c r="E14" s="7" t="s">
        <v>1101</v>
      </c>
      <c r="F14" s="7" t="s">
        <v>1100</v>
      </c>
      <c r="G14" s="7"/>
      <c r="H14" s="7"/>
      <c r="I14" s="13"/>
      <c r="J14" s="8" t="e">
        <f>JMM_Total[[#This Row],[Valor Ilíquido]]*(1+JMM_Total[[#This Row],[IVA]])</f>
        <v>#VALUE!</v>
      </c>
    </row>
    <row r="15" spans="1:10" hidden="1">
      <c r="A15" t="s">
        <v>900</v>
      </c>
      <c r="B15" t="s">
        <v>911</v>
      </c>
      <c r="C15" t="s">
        <v>912</v>
      </c>
      <c r="D15" s="7" t="s">
        <v>1102</v>
      </c>
      <c r="E15" s="7" t="s">
        <v>1103</v>
      </c>
      <c r="F15" s="7" t="s">
        <v>1102</v>
      </c>
      <c r="G15" s="7"/>
      <c r="H15" s="7"/>
      <c r="I15" s="13"/>
      <c r="J15" s="8" t="e">
        <f>JMM_Total[[#This Row],[Valor Ilíquido]]*(1+JMM_Total[[#This Row],[IVA]])</f>
        <v>#VALUE!</v>
      </c>
    </row>
    <row r="16" spans="1:10">
      <c r="A16" t="s">
        <v>925</v>
      </c>
      <c r="B16" t="s">
        <v>926</v>
      </c>
      <c r="C16" t="s">
        <v>927</v>
      </c>
      <c r="D16" s="7" t="s">
        <v>1104</v>
      </c>
      <c r="E16" s="7" t="s">
        <v>1105</v>
      </c>
      <c r="F16" s="7" t="s">
        <v>1104</v>
      </c>
      <c r="G16" s="7"/>
      <c r="H16" s="7"/>
      <c r="I16" s="13"/>
      <c r="J16" s="8" t="e">
        <f>JMM_Total[[#This Row],[Valor Ilíquido]]*(1+JMM_Total[[#This Row],[IVA]])</f>
        <v>#VALUE!</v>
      </c>
    </row>
    <row r="17" spans="1:10" hidden="1">
      <c r="A17" t="s">
        <v>925</v>
      </c>
      <c r="B17" t="s">
        <v>928</v>
      </c>
      <c r="C17" t="s">
        <v>929</v>
      </c>
      <c r="D17" s="7" t="s">
        <v>1106</v>
      </c>
      <c r="E17" s="7" t="s">
        <v>1107</v>
      </c>
      <c r="F17" s="7" t="s">
        <v>1106</v>
      </c>
      <c r="G17" s="7"/>
      <c r="H17" s="7"/>
      <c r="I17" s="13"/>
      <c r="J17" s="8" t="e">
        <f>JMM_Total[[#This Row],[Valor Ilíquido]]*(1+JMM_Total[[#This Row],[IVA]])</f>
        <v>#VALUE!</v>
      </c>
    </row>
    <row r="18" spans="1:10">
      <c r="A18" t="s">
        <v>913</v>
      </c>
      <c r="B18" t="s">
        <v>914</v>
      </c>
      <c r="C18" t="s">
        <v>915</v>
      </c>
      <c r="D18" s="7" t="s">
        <v>1108</v>
      </c>
      <c r="E18" s="7" t="s">
        <v>1109</v>
      </c>
      <c r="F18" s="7" t="s">
        <v>1110</v>
      </c>
      <c r="G18" s="7"/>
      <c r="H18" s="7"/>
      <c r="I18" s="13"/>
      <c r="J18" s="8" t="e">
        <f>JMM_Total[[#This Row],[Valor Ilíquido]]*(1+JMM_Total[[#This Row],[IVA]])</f>
        <v>#VALUE!</v>
      </c>
    </row>
    <row r="19" spans="1:10">
      <c r="A19" t="s">
        <v>945</v>
      </c>
      <c r="B19" t="s">
        <v>926</v>
      </c>
      <c r="C19" t="s">
        <v>927</v>
      </c>
      <c r="D19" s="7" t="s">
        <v>1111</v>
      </c>
      <c r="E19" s="7" t="s">
        <v>1105</v>
      </c>
      <c r="F19" s="7" t="s">
        <v>1111</v>
      </c>
      <c r="G19" s="7"/>
      <c r="H19" s="7"/>
      <c r="I19" s="13"/>
      <c r="J19" s="8" t="e">
        <f>JMM_Total[[#This Row],[Valor Ilíquido]]*(1+JMM_Total[[#This Row],[IVA]])</f>
        <v>#VALUE!</v>
      </c>
    </row>
    <row r="20" spans="1:10" hidden="1">
      <c r="A20" t="s">
        <v>945</v>
      </c>
      <c r="B20" t="s">
        <v>946</v>
      </c>
      <c r="C20" t="s">
        <v>947</v>
      </c>
      <c r="D20" s="7" t="s">
        <v>1112</v>
      </c>
      <c r="E20" s="7" t="s">
        <v>1107</v>
      </c>
      <c r="F20" s="7" t="s">
        <v>1112</v>
      </c>
      <c r="G20" s="7"/>
      <c r="H20" s="7"/>
      <c r="I20" s="13"/>
      <c r="J20" s="8" t="e">
        <f>JMM_Total[[#This Row],[Valor Ilíquido]]*(1+JMM_Total[[#This Row],[IVA]])</f>
        <v>#VALUE!</v>
      </c>
    </row>
    <row r="21" spans="1:10">
      <c r="A21" t="s">
        <v>916</v>
      </c>
      <c r="B21" t="s">
        <v>917</v>
      </c>
      <c r="C21" t="s">
        <v>918</v>
      </c>
      <c r="D21" s="7" t="s">
        <v>1081</v>
      </c>
      <c r="E21" s="7" t="s">
        <v>1113</v>
      </c>
      <c r="F21" s="7" t="s">
        <v>1114</v>
      </c>
      <c r="G21" s="7"/>
      <c r="H21" s="7"/>
      <c r="I21" s="13"/>
      <c r="J21" s="8" t="e">
        <f>JMM_Total[[#This Row],[Valor Ilíquido]]*(1+JMM_Total[[#This Row],[IVA]])</f>
        <v>#VALUE!</v>
      </c>
    </row>
    <row r="22" spans="1:10" hidden="1">
      <c r="A22" t="s">
        <v>916</v>
      </c>
      <c r="B22" t="s">
        <v>919</v>
      </c>
      <c r="C22" t="s">
        <v>920</v>
      </c>
      <c r="D22" s="7" t="s">
        <v>1084</v>
      </c>
      <c r="E22" s="7" t="s">
        <v>1085</v>
      </c>
      <c r="F22" s="7" t="s">
        <v>1086</v>
      </c>
      <c r="G22" s="7"/>
      <c r="H22" s="7"/>
      <c r="I22" s="13"/>
      <c r="J22" s="8" t="e">
        <f>JMM_Total[[#This Row],[Valor Ilíquido]]*(1+JMM_Total[[#This Row],[IVA]])</f>
        <v>#VALUE!</v>
      </c>
    </row>
    <row r="23" spans="1:10">
      <c r="A23" t="s">
        <v>921</v>
      </c>
      <c r="B23" t="s">
        <v>894</v>
      </c>
      <c r="C23" t="s">
        <v>895</v>
      </c>
      <c r="D23" s="7" t="s">
        <v>1090</v>
      </c>
      <c r="E23" s="7" t="s">
        <v>1115</v>
      </c>
      <c r="F23" s="7" t="s">
        <v>1116</v>
      </c>
      <c r="G23" s="7"/>
      <c r="H23" s="7"/>
      <c r="I23" s="13"/>
      <c r="J23" s="8" t="e">
        <f>JMM_Total[[#This Row],[Valor Ilíquido]]*(1+JMM_Total[[#This Row],[IVA]])</f>
        <v>#VALUE!</v>
      </c>
    </row>
    <row r="24" spans="1:10">
      <c r="A24" t="s">
        <v>921</v>
      </c>
      <c r="B24" t="s">
        <v>922</v>
      </c>
      <c r="C24" t="s">
        <v>923</v>
      </c>
      <c r="D24" s="7" t="s">
        <v>1094</v>
      </c>
      <c r="E24" s="7" t="s">
        <v>1117</v>
      </c>
      <c r="F24" s="7" t="s">
        <v>1118</v>
      </c>
      <c r="G24" s="7"/>
      <c r="H24" s="7"/>
      <c r="I24" s="13"/>
      <c r="J24" s="8" t="e">
        <f>JMM_Total[[#This Row],[Valor Ilíquido]]*(1+JMM_Total[[#This Row],[IVA]])</f>
        <v>#VALUE!</v>
      </c>
    </row>
    <row r="25" spans="1:10">
      <c r="A25" t="s">
        <v>924</v>
      </c>
      <c r="B25" t="s">
        <v>922</v>
      </c>
      <c r="C25" t="s">
        <v>923</v>
      </c>
      <c r="D25" s="7" t="s">
        <v>1094</v>
      </c>
      <c r="E25" s="7" t="s">
        <v>1119</v>
      </c>
      <c r="F25" s="7" t="s">
        <v>1120</v>
      </c>
      <c r="G25" s="7"/>
      <c r="H25" s="7"/>
      <c r="I25" s="13"/>
      <c r="J25" s="8" t="e">
        <f>JMM_Total[[#This Row],[Valor Ilíquido]]*(1+JMM_Total[[#This Row],[IVA]])</f>
        <v>#VALUE!</v>
      </c>
    </row>
    <row r="26" spans="1:10">
      <c r="A26" t="s">
        <v>924</v>
      </c>
      <c r="B26" t="s">
        <v>885</v>
      </c>
      <c r="C26" t="s">
        <v>886</v>
      </c>
      <c r="D26" s="7" t="s">
        <v>1121</v>
      </c>
      <c r="E26" s="7" t="s">
        <v>1122</v>
      </c>
      <c r="F26" s="7" t="s">
        <v>1123</v>
      </c>
      <c r="G26" s="7"/>
      <c r="H26" s="7"/>
      <c r="I26" s="13"/>
      <c r="J26" s="8" t="e">
        <f>JMM_Total[[#This Row],[Valor Ilíquido]]*(1+JMM_Total[[#This Row],[IVA]])</f>
        <v>#VALUE!</v>
      </c>
    </row>
    <row r="27" spans="1:10">
      <c r="A27" t="s">
        <v>948</v>
      </c>
      <c r="B27" t="s">
        <v>949</v>
      </c>
      <c r="C27" t="s">
        <v>950</v>
      </c>
      <c r="D27" s="7" t="s">
        <v>1124</v>
      </c>
      <c r="E27" s="7" t="s">
        <v>1105</v>
      </c>
      <c r="F27" s="7" t="s">
        <v>1124</v>
      </c>
      <c r="G27" s="7"/>
      <c r="H27" s="7"/>
      <c r="I27" s="13"/>
      <c r="J27" s="8" t="e">
        <f>JMM_Total[[#This Row],[Valor Ilíquido]]*(1+JMM_Total[[#This Row],[IVA]])</f>
        <v>#VALUE!</v>
      </c>
    </row>
    <row r="28" spans="1:10">
      <c r="A28" t="s">
        <v>951</v>
      </c>
      <c r="B28" t="s">
        <v>885</v>
      </c>
      <c r="C28" t="s">
        <v>886</v>
      </c>
      <c r="D28" s="7" t="s">
        <v>1125</v>
      </c>
      <c r="E28" s="7" t="s">
        <v>1105</v>
      </c>
      <c r="F28" s="7" t="s">
        <v>1125</v>
      </c>
      <c r="G28" s="7"/>
      <c r="H28" s="7"/>
      <c r="I28" s="13"/>
      <c r="J28" s="8" t="e">
        <f>JMM_Total[[#This Row],[Valor Ilíquido]]*(1+JMM_Total[[#This Row],[IVA]])</f>
        <v>#VALUE!</v>
      </c>
    </row>
    <row r="29" spans="1:10">
      <c r="A29" t="s">
        <v>952</v>
      </c>
      <c r="B29" t="s">
        <v>896</v>
      </c>
      <c r="C29" t="s">
        <v>953</v>
      </c>
      <c r="D29" s="7" t="s">
        <v>1126</v>
      </c>
      <c r="E29" s="7" t="s">
        <v>1105</v>
      </c>
      <c r="F29" s="7" t="s">
        <v>1126</v>
      </c>
      <c r="G29" s="7"/>
      <c r="H29" s="7"/>
      <c r="I29" s="13"/>
      <c r="J29" s="8" t="e">
        <f>JMM_Total[[#This Row],[Valor Ilíquido]]*(1+JMM_Total[[#This Row],[IVA]])</f>
        <v>#VALUE!</v>
      </c>
    </row>
    <row r="30" spans="1:10">
      <c r="A30" t="s">
        <v>952</v>
      </c>
      <c r="B30" t="s">
        <v>954</v>
      </c>
      <c r="C30" t="s">
        <v>955</v>
      </c>
      <c r="D30" s="7" t="s">
        <v>1127</v>
      </c>
      <c r="E30" s="7" t="s">
        <v>1105</v>
      </c>
      <c r="F30" s="7" t="s">
        <v>1127</v>
      </c>
      <c r="G30" s="7"/>
      <c r="H30" s="7"/>
      <c r="I30" s="13"/>
      <c r="J30" s="8" t="e">
        <f>JMM_Total[[#This Row],[Valor Ilíquido]]*(1+JMM_Total[[#This Row],[IVA]])</f>
        <v>#VALUE!</v>
      </c>
    </row>
    <row r="31" spans="1:10">
      <c r="A31" t="s">
        <v>952</v>
      </c>
      <c r="B31" t="s">
        <v>956</v>
      </c>
      <c r="C31" t="s">
        <v>957</v>
      </c>
      <c r="D31" s="7" t="s">
        <v>1128</v>
      </c>
      <c r="E31" s="7" t="s">
        <v>1105</v>
      </c>
      <c r="F31" s="7" t="s">
        <v>1128</v>
      </c>
      <c r="G31" s="7"/>
      <c r="H31" s="7"/>
      <c r="I31" s="13"/>
      <c r="J31" s="8" t="e">
        <f>JMM_Total[[#This Row],[Valor Ilíquido]]*(1+JMM_Total[[#This Row],[IVA]])</f>
        <v>#VALUE!</v>
      </c>
    </row>
    <row r="32" spans="1:10" hidden="1">
      <c r="A32" t="s">
        <v>952</v>
      </c>
      <c r="B32" t="s">
        <v>958</v>
      </c>
      <c r="C32" t="s">
        <v>959</v>
      </c>
      <c r="D32" s="7" t="s">
        <v>1112</v>
      </c>
      <c r="E32" s="7" t="s">
        <v>1107</v>
      </c>
      <c r="F32" s="7" t="s">
        <v>1112</v>
      </c>
      <c r="G32" s="7"/>
      <c r="H32" s="7"/>
      <c r="I32" s="13"/>
      <c r="J32" s="8" t="e">
        <f>JMM_Total[[#This Row],[Valor Ilíquido]]*(1+JMM_Total[[#This Row],[IVA]])</f>
        <v>#VALUE!</v>
      </c>
    </row>
    <row r="33" spans="1:10">
      <c r="A33" t="s">
        <v>952</v>
      </c>
      <c r="B33" t="s">
        <v>960</v>
      </c>
      <c r="C33" t="s">
        <v>961</v>
      </c>
      <c r="D33" s="7" t="s">
        <v>1129</v>
      </c>
      <c r="E33" s="7" t="s">
        <v>1105</v>
      </c>
      <c r="F33" s="7" t="s">
        <v>1129</v>
      </c>
      <c r="G33" s="7"/>
      <c r="H33" s="7"/>
      <c r="I33" s="13"/>
      <c r="J33" s="8" t="e">
        <f>JMM_Total[[#This Row],[Valor Ilíquido]]*(1+JMM_Total[[#This Row],[IVA]])</f>
        <v>#VALUE!</v>
      </c>
    </row>
    <row r="34" spans="1:10">
      <c r="A34" t="s">
        <v>962</v>
      </c>
      <c r="B34" t="s">
        <v>885</v>
      </c>
      <c r="C34" t="s">
        <v>886</v>
      </c>
      <c r="D34" s="7" t="s">
        <v>1130</v>
      </c>
      <c r="E34" s="7" t="s">
        <v>1105</v>
      </c>
      <c r="F34" s="7" t="s">
        <v>1130</v>
      </c>
      <c r="G34" s="7"/>
      <c r="H34" s="7"/>
      <c r="I34" s="13"/>
      <c r="J34" s="8" t="e">
        <f>JMM_Total[[#This Row],[Valor Ilíquido]]*(1+JMM_Total[[#This Row],[IVA]])</f>
        <v>#VALUE!</v>
      </c>
    </row>
    <row r="35" spans="1:10">
      <c r="A35" t="s">
        <v>963</v>
      </c>
      <c r="B35" t="s">
        <v>926</v>
      </c>
      <c r="C35" t="s">
        <v>927</v>
      </c>
      <c r="D35" s="7" t="s">
        <v>1131</v>
      </c>
      <c r="E35" s="7" t="s">
        <v>1105</v>
      </c>
      <c r="F35" s="7" t="s">
        <v>1131</v>
      </c>
      <c r="G35" s="7"/>
      <c r="H35" s="7"/>
      <c r="I35" s="13"/>
      <c r="J35" s="8" t="e">
        <f>JMM_Total[[#This Row],[Valor Ilíquido]]*(1+JMM_Total[[#This Row],[IVA]])</f>
        <v>#VALUE!</v>
      </c>
    </row>
    <row r="36" spans="1:10" hidden="1">
      <c r="A36" t="s">
        <v>963</v>
      </c>
      <c r="B36" t="s">
        <v>964</v>
      </c>
      <c r="C36" t="s">
        <v>965</v>
      </c>
      <c r="D36" s="7" t="s">
        <v>1112</v>
      </c>
      <c r="E36" s="7" t="s">
        <v>1107</v>
      </c>
      <c r="F36" s="7" t="s">
        <v>1112</v>
      </c>
      <c r="G36" s="7"/>
      <c r="H36" s="7"/>
      <c r="I36" s="13"/>
      <c r="J36" s="8" t="e">
        <f>JMM_Total[[#This Row],[Valor Ilíquido]]*(1+JMM_Total[[#This Row],[IVA]])</f>
        <v>#VALUE!</v>
      </c>
    </row>
    <row r="37" spans="1:10">
      <c r="A37" t="s">
        <v>963</v>
      </c>
      <c r="B37" t="s">
        <v>966</v>
      </c>
      <c r="C37" t="s">
        <v>967</v>
      </c>
      <c r="D37" s="7" t="s">
        <v>1132</v>
      </c>
      <c r="E37" s="7" t="s">
        <v>1105</v>
      </c>
      <c r="F37" s="7" t="s">
        <v>1132</v>
      </c>
      <c r="G37" s="7"/>
      <c r="H37" s="7"/>
      <c r="I37" s="13"/>
      <c r="J37" s="8" t="e">
        <f>JMM_Total[[#This Row],[Valor Ilíquido]]*(1+JMM_Total[[#This Row],[IVA]])</f>
        <v>#VALUE!</v>
      </c>
    </row>
    <row r="38" spans="1:10" hidden="1">
      <c r="A38" t="s">
        <v>963</v>
      </c>
      <c r="B38" t="s">
        <v>968</v>
      </c>
      <c r="C38" t="s">
        <v>969</v>
      </c>
      <c r="D38" s="7" t="s">
        <v>1112</v>
      </c>
      <c r="E38" s="7" t="s">
        <v>1107</v>
      </c>
      <c r="F38" s="7" t="s">
        <v>1112</v>
      </c>
      <c r="G38" s="7"/>
      <c r="H38" s="7"/>
      <c r="I38" s="13"/>
      <c r="J38" s="8" t="e">
        <f>JMM_Total[[#This Row],[Valor Ilíquido]]*(1+JMM_Total[[#This Row],[IVA]])</f>
        <v>#VALUE!</v>
      </c>
    </row>
    <row r="39" spans="1:10" hidden="1">
      <c r="A39" t="s">
        <v>963</v>
      </c>
      <c r="B39" t="s">
        <v>1133</v>
      </c>
      <c r="C39" t="s">
        <v>661</v>
      </c>
      <c r="D39" s="7" t="s">
        <v>1134</v>
      </c>
      <c r="E39" s="7" t="s">
        <v>1107</v>
      </c>
      <c r="F39" s="7" t="s">
        <v>1134</v>
      </c>
      <c r="G39" s="7"/>
      <c r="H39" s="7"/>
      <c r="I39" s="13"/>
      <c r="J39" s="8" t="e">
        <f>JMM_Total[[#This Row],[Valor Ilíquido]]*(1+JMM_Total[[#This Row],[IVA]])</f>
        <v>#VALUE!</v>
      </c>
    </row>
    <row r="40" spans="1:10">
      <c r="A40" t="s">
        <v>970</v>
      </c>
      <c r="B40" t="s">
        <v>885</v>
      </c>
      <c r="C40" t="s">
        <v>931</v>
      </c>
      <c r="D40" s="7" t="s">
        <v>1130</v>
      </c>
      <c r="E40" s="7" t="s">
        <v>1105</v>
      </c>
      <c r="F40" s="7" t="s">
        <v>1130</v>
      </c>
      <c r="G40" s="7"/>
      <c r="H40" s="7"/>
      <c r="I40" s="13"/>
      <c r="J40" s="8" t="e">
        <f>JMM_Total[[#This Row],[Valor Ilíquido]]*(1+JMM_Total[[#This Row],[IVA]])</f>
        <v>#VALUE!</v>
      </c>
    </row>
    <row r="41" spans="1:10">
      <c r="A41" t="s">
        <v>970</v>
      </c>
      <c r="B41" t="s">
        <v>926</v>
      </c>
      <c r="C41" t="s">
        <v>927</v>
      </c>
      <c r="D41" s="7" t="s">
        <v>1131</v>
      </c>
      <c r="E41" s="7" t="s">
        <v>1105</v>
      </c>
      <c r="F41" s="7" t="s">
        <v>1131</v>
      </c>
      <c r="G41" s="7"/>
      <c r="H41" s="7"/>
      <c r="I41" s="13"/>
      <c r="J41" s="8" t="e">
        <f>JMM_Total[[#This Row],[Valor Ilíquido]]*(1+JMM_Total[[#This Row],[IVA]])</f>
        <v>#VALUE!</v>
      </c>
    </row>
    <row r="42" spans="1:10" hidden="1">
      <c r="A42" t="s">
        <v>970</v>
      </c>
      <c r="B42" t="s">
        <v>964</v>
      </c>
      <c r="C42" t="s">
        <v>965</v>
      </c>
      <c r="D42" s="7" t="s">
        <v>1112</v>
      </c>
      <c r="E42" s="7" t="s">
        <v>1107</v>
      </c>
      <c r="F42" s="7" t="s">
        <v>1112</v>
      </c>
      <c r="G42" s="7"/>
      <c r="H42" s="7"/>
      <c r="I42" s="13"/>
      <c r="J42" s="8" t="e">
        <f>JMM_Total[[#This Row],[Valor Ilíquido]]*(1+JMM_Total[[#This Row],[IVA]])</f>
        <v>#VALUE!</v>
      </c>
    </row>
    <row r="43" spans="1:10">
      <c r="A43" t="s">
        <v>970</v>
      </c>
      <c r="B43" t="s">
        <v>966</v>
      </c>
      <c r="C43" t="s">
        <v>967</v>
      </c>
      <c r="D43" s="7" t="s">
        <v>1132</v>
      </c>
      <c r="E43" s="7" t="s">
        <v>1105</v>
      </c>
      <c r="F43" s="7" t="s">
        <v>1132</v>
      </c>
      <c r="G43" s="7"/>
      <c r="H43" s="7"/>
      <c r="I43" s="13"/>
      <c r="J43" s="8" t="e">
        <f>JMM_Total[[#This Row],[Valor Ilíquido]]*(1+JMM_Total[[#This Row],[IVA]])</f>
        <v>#VALUE!</v>
      </c>
    </row>
    <row r="44" spans="1:10" hidden="1">
      <c r="A44" t="s">
        <v>970</v>
      </c>
      <c r="B44" t="s">
        <v>968</v>
      </c>
      <c r="C44" t="s">
        <v>969</v>
      </c>
      <c r="D44" s="7" t="s">
        <v>1112</v>
      </c>
      <c r="E44" s="7" t="s">
        <v>1107</v>
      </c>
      <c r="F44" s="7" t="s">
        <v>1112</v>
      </c>
      <c r="G44" s="7"/>
      <c r="H44" s="7"/>
      <c r="I44" s="13"/>
      <c r="J44" s="8" t="e">
        <f>JMM_Total[[#This Row],[Valor Ilíquido]]*(1+JMM_Total[[#This Row],[IVA]])</f>
        <v>#VALUE!</v>
      </c>
    </row>
    <row r="45" spans="1:10" hidden="1">
      <c r="A45" t="s">
        <v>970</v>
      </c>
      <c r="B45" t="s">
        <v>971</v>
      </c>
      <c r="C45" t="s">
        <v>972</v>
      </c>
      <c r="D45" s="7" t="s">
        <v>1135</v>
      </c>
      <c r="E45" s="7" t="s">
        <v>1136</v>
      </c>
      <c r="F45" s="7" t="s">
        <v>1135</v>
      </c>
      <c r="G45" s="7"/>
      <c r="H45" s="7"/>
      <c r="I45" s="13"/>
      <c r="J45" s="8" t="e">
        <f>JMM_Total[[#This Row],[Valor Ilíquido]]*(1+JMM_Total[[#This Row],[IVA]])</f>
        <v>#VALUE!</v>
      </c>
    </row>
    <row r="46" spans="1:10" hidden="1">
      <c r="A46" t="s">
        <v>970</v>
      </c>
      <c r="B46" t="s">
        <v>973</v>
      </c>
      <c r="C46" t="s">
        <v>974</v>
      </c>
      <c r="D46" s="7" t="s">
        <v>1137</v>
      </c>
      <c r="E46" s="7" t="s">
        <v>1136</v>
      </c>
      <c r="F46" s="7" t="s">
        <v>1137</v>
      </c>
      <c r="G46" s="7"/>
      <c r="H46" s="7"/>
      <c r="I46" s="13"/>
      <c r="J46" s="8" t="e">
        <f>JMM_Total[[#This Row],[Valor Ilíquido]]*(1+JMM_Total[[#This Row],[IVA]])</f>
        <v>#VALUE!</v>
      </c>
    </row>
    <row r="47" spans="1:10" hidden="1">
      <c r="A47" t="s">
        <v>970</v>
      </c>
      <c r="B47" t="s">
        <v>975</v>
      </c>
      <c r="C47" t="s">
        <v>976</v>
      </c>
      <c r="D47" s="7" t="s">
        <v>1138</v>
      </c>
      <c r="E47" s="7" t="s">
        <v>1136</v>
      </c>
      <c r="F47" s="7" t="s">
        <v>1138</v>
      </c>
      <c r="G47" s="7"/>
      <c r="H47" s="7"/>
      <c r="I47" s="13"/>
      <c r="J47" s="8" t="e">
        <f>JMM_Total[[#This Row],[Valor Ilíquido]]*(1+JMM_Total[[#This Row],[IVA]])</f>
        <v>#VALUE!</v>
      </c>
    </row>
    <row r="48" spans="1:10">
      <c r="A48" t="s">
        <v>977</v>
      </c>
      <c r="B48" t="s">
        <v>966</v>
      </c>
      <c r="C48" t="s">
        <v>978</v>
      </c>
      <c r="D48" s="7" t="s">
        <v>1139</v>
      </c>
      <c r="E48" s="7" t="s">
        <v>1105</v>
      </c>
      <c r="F48" s="7" t="s">
        <v>1139</v>
      </c>
      <c r="G48" s="7"/>
      <c r="H48" s="7"/>
      <c r="I48" s="13"/>
      <c r="J48" s="8" t="e">
        <f>JMM_Total[[#This Row],[Valor Ilíquido]]*(1+JMM_Total[[#This Row],[IVA]])</f>
        <v>#VALUE!</v>
      </c>
    </row>
    <row r="49" spans="1:10">
      <c r="A49" t="s">
        <v>979</v>
      </c>
      <c r="B49" t="s">
        <v>917</v>
      </c>
      <c r="C49" t="s">
        <v>918</v>
      </c>
      <c r="D49" s="7" t="s">
        <v>1140</v>
      </c>
      <c r="E49" s="7" t="s">
        <v>1141</v>
      </c>
      <c r="F49" s="7" t="s">
        <v>1140</v>
      </c>
      <c r="G49" s="7"/>
      <c r="H49" s="7"/>
      <c r="I49" s="13"/>
      <c r="J49" s="8" t="e">
        <f>JMM_Total[[#This Row],[Valor Ilíquido]]*(1+JMM_Total[[#This Row],[IVA]])</f>
        <v>#VALUE!</v>
      </c>
    </row>
    <row r="50" spans="1:10" hidden="1">
      <c r="A50" t="s">
        <v>979</v>
      </c>
      <c r="B50" t="s">
        <v>980</v>
      </c>
      <c r="C50" t="s">
        <v>981</v>
      </c>
      <c r="D50" s="7" t="s">
        <v>1084</v>
      </c>
      <c r="E50" s="7" t="s">
        <v>1085</v>
      </c>
      <c r="F50" s="7" t="s">
        <v>1084</v>
      </c>
      <c r="G50" s="7"/>
      <c r="H50" s="7"/>
      <c r="I50" s="13"/>
      <c r="J50" s="8" t="e">
        <f>JMM_Total[[#This Row],[Valor Ilíquido]]*(1+JMM_Total[[#This Row],[IVA]])</f>
        <v>#VALUE!</v>
      </c>
    </row>
    <row r="51" spans="1:10">
      <c r="A51" t="s">
        <v>979</v>
      </c>
      <c r="B51" t="s">
        <v>937</v>
      </c>
      <c r="C51" t="s">
        <v>982</v>
      </c>
      <c r="D51" s="7" t="s">
        <v>1142</v>
      </c>
      <c r="E51" s="7" t="s">
        <v>1143</v>
      </c>
      <c r="F51" s="7" t="s">
        <v>1142</v>
      </c>
      <c r="G51" s="7"/>
      <c r="H51" s="7"/>
      <c r="I51" s="13"/>
      <c r="J51" s="8" t="e">
        <f>JMM_Total[[#This Row],[Valor Ilíquido]]*(1+JMM_Total[[#This Row],[IVA]])</f>
        <v>#VALUE!</v>
      </c>
    </row>
    <row r="52" spans="1:10" hidden="1">
      <c r="A52" t="s">
        <v>979</v>
      </c>
      <c r="B52" t="s">
        <v>983</v>
      </c>
      <c r="C52" t="s">
        <v>984</v>
      </c>
      <c r="D52" s="7" t="s">
        <v>1084</v>
      </c>
      <c r="E52" s="7" t="s">
        <v>1144</v>
      </c>
      <c r="F52" s="7" t="s">
        <v>1084</v>
      </c>
      <c r="G52" s="7"/>
      <c r="H52" s="7"/>
      <c r="I52" s="13"/>
      <c r="J52" s="8" t="e">
        <f>JMM_Total[[#This Row],[Valor Ilíquido]]*(1+JMM_Total[[#This Row],[IVA]])</f>
        <v>#VALUE!</v>
      </c>
    </row>
    <row r="53" spans="1:10">
      <c r="A53" t="s">
        <v>979</v>
      </c>
      <c r="B53" t="s">
        <v>937</v>
      </c>
      <c r="C53" t="s">
        <v>982</v>
      </c>
      <c r="D53" s="7" t="s">
        <v>1142</v>
      </c>
      <c r="E53" s="7" t="s">
        <v>1143</v>
      </c>
      <c r="F53" s="7" t="s">
        <v>1142</v>
      </c>
      <c r="G53" s="7"/>
      <c r="H53" s="7"/>
      <c r="I53" s="13"/>
      <c r="J53" s="8" t="e">
        <f>JMM_Total[[#This Row],[Valor Ilíquido]]*(1+JMM_Total[[#This Row],[IVA]])</f>
        <v>#VALUE!</v>
      </c>
    </row>
    <row r="54" spans="1:10" hidden="1">
      <c r="A54" t="s">
        <v>979</v>
      </c>
      <c r="B54" t="s">
        <v>985</v>
      </c>
      <c r="C54" t="s">
        <v>986</v>
      </c>
      <c r="D54" s="7" t="s">
        <v>1084</v>
      </c>
      <c r="E54" s="7" t="s">
        <v>1144</v>
      </c>
      <c r="F54" s="7" t="s">
        <v>1084</v>
      </c>
      <c r="G54" s="7"/>
      <c r="H54" s="7"/>
      <c r="I54" s="13"/>
      <c r="J54" s="8" t="e">
        <f>JMM_Total[[#This Row],[Valor Ilíquido]]*(1+JMM_Total[[#This Row],[IVA]])</f>
        <v>#VALUE!</v>
      </c>
    </row>
    <row r="55" spans="1:10">
      <c r="A55" t="s">
        <v>979</v>
      </c>
      <c r="B55" t="s">
        <v>933</v>
      </c>
      <c r="C55" t="s">
        <v>987</v>
      </c>
      <c r="D55" s="7" t="s">
        <v>1145</v>
      </c>
      <c r="E55" s="7" t="s">
        <v>1146</v>
      </c>
      <c r="F55" s="7" t="s">
        <v>1145</v>
      </c>
      <c r="G55" s="7"/>
      <c r="H55" s="7"/>
      <c r="I55" s="13"/>
      <c r="J55" s="8" t="e">
        <f>JMM_Total[[#This Row],[Valor Ilíquido]]*(1+JMM_Total[[#This Row],[IVA]])</f>
        <v>#VALUE!</v>
      </c>
    </row>
    <row r="56" spans="1:10" hidden="1">
      <c r="A56" t="s">
        <v>979</v>
      </c>
      <c r="B56" t="s">
        <v>988</v>
      </c>
      <c r="C56" t="s">
        <v>989</v>
      </c>
      <c r="D56" s="7" t="s">
        <v>1084</v>
      </c>
      <c r="E56" s="7" t="s">
        <v>1098</v>
      </c>
      <c r="F56" s="7" t="s">
        <v>1084</v>
      </c>
      <c r="G56" s="7"/>
      <c r="H56" s="7"/>
      <c r="I56" s="13"/>
      <c r="J56" s="8" t="e">
        <f>JMM_Total[[#This Row],[Valor Ilíquido]]*(1+JMM_Total[[#This Row],[IVA]])</f>
        <v>#VALUE!</v>
      </c>
    </row>
    <row r="57" spans="1:10">
      <c r="A57" t="s">
        <v>979</v>
      </c>
      <c r="B57" t="s">
        <v>933</v>
      </c>
      <c r="C57" t="s">
        <v>987</v>
      </c>
      <c r="D57" s="7" t="s">
        <v>1145</v>
      </c>
      <c r="E57" s="7" t="s">
        <v>1146</v>
      </c>
      <c r="F57" s="7" t="s">
        <v>1145</v>
      </c>
      <c r="G57" s="7"/>
      <c r="H57" s="7"/>
      <c r="I57" s="13"/>
      <c r="J57" s="8" t="e">
        <f>JMM_Total[[#This Row],[Valor Ilíquido]]*(1+JMM_Total[[#This Row],[IVA]])</f>
        <v>#VALUE!</v>
      </c>
    </row>
    <row r="58" spans="1:10" hidden="1">
      <c r="A58" t="s">
        <v>979</v>
      </c>
      <c r="B58" t="s">
        <v>990</v>
      </c>
      <c r="C58" t="s">
        <v>991</v>
      </c>
      <c r="D58" s="7" t="s">
        <v>1084</v>
      </c>
      <c r="E58" s="7" t="s">
        <v>1098</v>
      </c>
      <c r="F58" s="7" t="s">
        <v>1084</v>
      </c>
      <c r="G58" s="7"/>
      <c r="H58" s="7"/>
      <c r="I58" s="13"/>
      <c r="J58" s="8" t="e">
        <f>JMM_Total[[#This Row],[Valor Ilíquido]]*(1+JMM_Total[[#This Row],[IVA]])</f>
        <v>#VALUE!</v>
      </c>
    </row>
    <row r="59" spans="1:10">
      <c r="A59" t="s">
        <v>979</v>
      </c>
      <c r="B59" t="s">
        <v>992</v>
      </c>
      <c r="C59" t="s">
        <v>993</v>
      </c>
      <c r="D59" s="7" t="s">
        <v>1094</v>
      </c>
      <c r="E59" s="7" t="s">
        <v>1147</v>
      </c>
      <c r="F59" s="7" t="s">
        <v>1094</v>
      </c>
      <c r="G59" s="7"/>
      <c r="H59" s="7"/>
      <c r="I59" s="13"/>
      <c r="J59" s="8" t="e">
        <f>JMM_Total[[#This Row],[Valor Ilíquido]]*(1+JMM_Total[[#This Row],[IVA]])</f>
        <v>#VALUE!</v>
      </c>
    </row>
    <row r="60" spans="1:10">
      <c r="A60" t="s">
        <v>994</v>
      </c>
      <c r="B60" t="s">
        <v>992</v>
      </c>
      <c r="C60" t="s">
        <v>993</v>
      </c>
      <c r="D60" s="7" t="s">
        <v>1148</v>
      </c>
      <c r="E60" s="7" t="s">
        <v>1149</v>
      </c>
      <c r="F60" s="7" t="s">
        <v>1150</v>
      </c>
      <c r="G60" s="13"/>
      <c r="H60" s="7"/>
      <c r="I60" s="13"/>
      <c r="J60" s="8" t="e">
        <f>JMM_Total[[#This Row],[Valor Ilíquido]]*(1+JMM_Total[[#This Row],[IVA]])</f>
        <v>#VALUE!</v>
      </c>
    </row>
    <row r="61" spans="1:10">
      <c r="A61" t="s">
        <v>994</v>
      </c>
      <c r="B61" t="s">
        <v>995</v>
      </c>
      <c r="C61" t="s">
        <v>996</v>
      </c>
      <c r="D61" s="7" t="s">
        <v>1100</v>
      </c>
      <c r="E61" s="7" t="s">
        <v>1151</v>
      </c>
      <c r="F61" s="7" t="s">
        <v>1152</v>
      </c>
      <c r="G61" s="13"/>
      <c r="H61" s="7"/>
      <c r="I61" s="13"/>
      <c r="J61" s="8" t="e">
        <f>JMM_Total[[#This Row],[Valor Ilíquido]]*(1+JMM_Total[[#This Row],[IVA]])</f>
        <v>#VALUE!</v>
      </c>
    </row>
    <row r="62" spans="1:10">
      <c r="A62" t="s">
        <v>1002</v>
      </c>
      <c r="B62" t="s">
        <v>1003</v>
      </c>
      <c r="C62" t="s">
        <v>1004</v>
      </c>
      <c r="D62" s="7" t="s">
        <v>1153</v>
      </c>
      <c r="E62" s="7" t="s">
        <v>1154</v>
      </c>
      <c r="F62" s="7" t="s">
        <v>1155</v>
      </c>
      <c r="G62" s="13"/>
      <c r="H62" s="7"/>
      <c r="I62" s="13"/>
      <c r="J62" s="8" t="e">
        <f>JMM_Total[[#This Row],[Valor Ilíquido]]*(1+JMM_Total[[#This Row],[IVA]])</f>
        <v>#VALUE!</v>
      </c>
    </row>
    <row r="63" spans="1:10">
      <c r="A63" t="s">
        <v>1002</v>
      </c>
      <c r="B63" t="s">
        <v>1005</v>
      </c>
      <c r="C63" t="s">
        <v>1006</v>
      </c>
      <c r="D63" s="7" t="s">
        <v>1156</v>
      </c>
      <c r="E63" s="7" t="s">
        <v>1157</v>
      </c>
      <c r="F63" s="7" t="s">
        <v>1158</v>
      </c>
      <c r="G63" s="13"/>
      <c r="H63" s="7"/>
      <c r="I63" s="13"/>
      <c r="J63" s="8" t="e">
        <f>JMM_Total[[#This Row],[Valor Ilíquido]]*(1+JMM_Total[[#This Row],[IVA]])</f>
        <v>#VALUE!</v>
      </c>
    </row>
    <row r="64" spans="1:10">
      <c r="A64" t="s">
        <v>1002</v>
      </c>
      <c r="B64" t="s">
        <v>995</v>
      </c>
      <c r="C64" t="s">
        <v>1007</v>
      </c>
      <c r="D64" s="7" t="s">
        <v>1156</v>
      </c>
      <c r="E64" s="7" t="s">
        <v>1159</v>
      </c>
      <c r="F64" s="7" t="s">
        <v>1160</v>
      </c>
      <c r="G64" s="7"/>
      <c r="H64" s="7"/>
      <c r="I64" s="13"/>
      <c r="J64" s="8" t="e">
        <f>JMM_Total[[#This Row],[Valor Ilíquido]]*(1+JMM_Total[[#This Row],[IVA]])</f>
        <v>#VALUE!</v>
      </c>
    </row>
    <row r="65" spans="1:10">
      <c r="A65" t="s">
        <v>1002</v>
      </c>
      <c r="B65" t="s">
        <v>885</v>
      </c>
      <c r="C65" t="s">
        <v>886</v>
      </c>
      <c r="D65" s="7" t="s">
        <v>1121</v>
      </c>
      <c r="E65" s="7" t="s">
        <v>1161</v>
      </c>
      <c r="F65" s="7" t="s">
        <v>1162</v>
      </c>
      <c r="G65" s="7"/>
      <c r="H65" s="7"/>
      <c r="I65" s="13"/>
      <c r="J65" s="8" t="e">
        <f>JMM_Total[[#This Row],[Valor Ilíquido]]*(1+JMM_Total[[#This Row],[IVA]])</f>
        <v>#VALUE!</v>
      </c>
    </row>
    <row r="66" spans="1:10">
      <c r="A66" t="s">
        <v>1002</v>
      </c>
      <c r="B66" t="s">
        <v>922</v>
      </c>
      <c r="C66" t="s">
        <v>923</v>
      </c>
      <c r="D66" s="7" t="s">
        <v>1081</v>
      </c>
      <c r="E66" s="7" t="s">
        <v>1163</v>
      </c>
      <c r="F66" s="7" t="s">
        <v>1164</v>
      </c>
      <c r="G66" s="7"/>
      <c r="H66" s="7"/>
      <c r="I66" s="13"/>
      <c r="J66" s="8" t="e">
        <f>JMM_Total[[#This Row],[Valor Ilíquido]]*(1+JMM_Total[[#This Row],[IVA]])</f>
        <v>#VALUE!</v>
      </c>
    </row>
    <row r="67" spans="1:10">
      <c r="A67" t="s">
        <v>1002</v>
      </c>
      <c r="B67" t="s">
        <v>894</v>
      </c>
      <c r="C67" t="s">
        <v>895</v>
      </c>
      <c r="D67" s="7" t="s">
        <v>1090</v>
      </c>
      <c r="E67" s="7" t="s">
        <v>1161</v>
      </c>
      <c r="F67" s="7" t="s">
        <v>1165</v>
      </c>
      <c r="G67" s="7"/>
      <c r="H67" s="7"/>
      <c r="I67" s="13"/>
      <c r="J67" s="8" t="e">
        <f>JMM_Total[[#This Row],[Valor Ilíquido]]*(1+JMM_Total[[#This Row],[IVA]])</f>
        <v>#VALUE!</v>
      </c>
    </row>
    <row r="68" spans="1:10">
      <c r="A68" t="s">
        <v>1008</v>
      </c>
      <c r="B68" t="s">
        <v>966</v>
      </c>
      <c r="C68" t="s">
        <v>978</v>
      </c>
      <c r="D68" s="7" t="s">
        <v>1166</v>
      </c>
      <c r="E68" s="7" t="s">
        <v>1167</v>
      </c>
      <c r="F68" s="7" t="s">
        <v>1166</v>
      </c>
      <c r="G68" s="7"/>
      <c r="H68" s="7"/>
      <c r="I68" s="13"/>
      <c r="J68" s="8">
        <f>JMM_Total[[#This Row],[Valor Ilíquido]]*(1+JMM_Total[[#This Row],[IVA]])</f>
        <v>0.7712</v>
      </c>
    </row>
    <row r="69" spans="1:10" hidden="1">
      <c r="A69" t="s">
        <v>1008</v>
      </c>
      <c r="B69" t="s">
        <v>1009</v>
      </c>
      <c r="C69" t="s">
        <v>1010</v>
      </c>
      <c r="D69" s="7" t="s">
        <v>1168</v>
      </c>
      <c r="E69" s="7" t="s">
        <v>1094</v>
      </c>
      <c r="F69" s="7" t="s">
        <v>1168</v>
      </c>
      <c r="G69" s="7"/>
      <c r="H69" s="7"/>
      <c r="I69" s="13"/>
      <c r="J69" s="8">
        <f>JMM_Total[[#This Row],[Valor Ilíquido]]*(1+JMM_Total[[#This Row],[IVA]])</f>
        <v>1.7452000000000001</v>
      </c>
    </row>
    <row r="70" spans="1:10" hidden="1">
      <c r="A70" t="s">
        <v>1008</v>
      </c>
      <c r="B70" t="s">
        <v>1011</v>
      </c>
      <c r="C70" t="s">
        <v>1012</v>
      </c>
      <c r="D70" s="7" t="s">
        <v>1169</v>
      </c>
      <c r="E70" s="7" t="s">
        <v>1170</v>
      </c>
      <c r="F70" s="7" t="s">
        <v>1169</v>
      </c>
      <c r="G70" s="7"/>
      <c r="H70" s="7"/>
      <c r="I70" s="13"/>
      <c r="J70" s="8">
        <f>JMM_Total[[#This Row],[Valor Ilíquido]]*(1+JMM_Total[[#This Row],[IVA]])</f>
        <v>1.2012</v>
      </c>
    </row>
    <row r="71" spans="1:10" hidden="1">
      <c r="A71" t="s">
        <v>1008</v>
      </c>
      <c r="B71" t="s">
        <v>1013</v>
      </c>
      <c r="C71" t="s">
        <v>1014</v>
      </c>
      <c r="D71" s="7" t="s">
        <v>1171</v>
      </c>
      <c r="E71" s="7" t="s">
        <v>1172</v>
      </c>
      <c r="F71" s="7" t="s">
        <v>1171</v>
      </c>
      <c r="G71" s="7"/>
      <c r="H71" s="7"/>
      <c r="I71" s="13"/>
      <c r="J71" s="8">
        <f>JMM_Total[[#This Row],[Valor Ilíquido]]*(1+JMM_Total[[#This Row],[IVA]])</f>
        <v>7.0731999999999999</v>
      </c>
    </row>
    <row r="72" spans="1:10">
      <c r="A72" t="s">
        <v>1015</v>
      </c>
      <c r="B72" t="s">
        <v>896</v>
      </c>
      <c r="C72" t="s">
        <v>897</v>
      </c>
      <c r="D72" s="7" t="s">
        <v>1173</v>
      </c>
      <c r="E72" s="7" t="s">
        <v>1174</v>
      </c>
      <c r="F72" s="7" t="s">
        <v>1173</v>
      </c>
      <c r="G72" s="7"/>
      <c r="H72" s="7"/>
      <c r="I72" s="13"/>
      <c r="J72" s="8">
        <f>JMM_Total[[#This Row],[Valor Ilíquido]]*(1+JMM_Total[[#This Row],[IVA]])</f>
        <v>5.5800999999999998</v>
      </c>
    </row>
    <row r="73" spans="1:10" hidden="1">
      <c r="A73" t="s">
        <v>1015</v>
      </c>
      <c r="B73" t="s">
        <v>1016</v>
      </c>
      <c r="C73" t="s">
        <v>1017</v>
      </c>
      <c r="D73" s="7" t="s">
        <v>1175</v>
      </c>
      <c r="E73" s="7" t="s">
        <v>1176</v>
      </c>
      <c r="F73" s="7" t="s">
        <v>1175</v>
      </c>
      <c r="G73" s="7"/>
      <c r="H73" s="7"/>
      <c r="I73" s="13"/>
      <c r="J73" s="8">
        <f>JMM_Total[[#This Row],[Valor Ilíquido]]*(1+JMM_Total[[#This Row],[IVA]])</f>
        <v>18.991199999999999</v>
      </c>
    </row>
    <row r="74" spans="1:10" hidden="1">
      <c r="A74" t="s">
        <v>1015</v>
      </c>
      <c r="B74" t="s">
        <v>1018</v>
      </c>
      <c r="C74" t="s">
        <v>1019</v>
      </c>
      <c r="D74" s="7" t="s">
        <v>1177</v>
      </c>
      <c r="E74" s="7" t="s">
        <v>1084</v>
      </c>
      <c r="F74" s="7" t="s">
        <v>1177</v>
      </c>
      <c r="G74" s="7"/>
      <c r="H74" s="7"/>
      <c r="I74" s="13"/>
      <c r="J74" s="8">
        <f>JMM_Total[[#This Row],[Valor Ilíquido]]*(1+JMM_Total[[#This Row],[IVA]])</f>
        <v>115</v>
      </c>
    </row>
    <row r="75" spans="1:10" hidden="1">
      <c r="A75" t="s">
        <v>1015</v>
      </c>
      <c r="B75" t="s">
        <v>905</v>
      </c>
      <c r="C75" t="s">
        <v>906</v>
      </c>
      <c r="D75" s="7" t="s">
        <v>1178</v>
      </c>
      <c r="E75" s="7" t="s">
        <v>1179</v>
      </c>
      <c r="F75" s="7" t="s">
        <v>1178</v>
      </c>
      <c r="G75" s="7"/>
      <c r="H75" s="7"/>
      <c r="I75" s="13"/>
      <c r="J75" s="8">
        <f>JMM_Total[[#This Row],[Valor Ilíquido]]*(1+JMM_Total[[#This Row],[IVA]])</f>
        <v>2.2751000000000001</v>
      </c>
    </row>
    <row r="76" spans="1:10" hidden="1">
      <c r="A76" t="s">
        <v>1015</v>
      </c>
      <c r="B76" t="s">
        <v>1020</v>
      </c>
      <c r="C76" t="s">
        <v>1021</v>
      </c>
      <c r="D76" s="7" t="s">
        <v>1085</v>
      </c>
      <c r="E76" s="7" t="s">
        <v>1084</v>
      </c>
      <c r="F76" s="7" t="s">
        <v>1085</v>
      </c>
      <c r="G76" s="7"/>
      <c r="H76" s="7"/>
      <c r="I76" s="13"/>
      <c r="J76" s="8">
        <f>JMM_Total[[#This Row],[Valor Ilíquido]]*(1+JMM_Total[[#This Row],[IVA]])</f>
        <v>90</v>
      </c>
    </row>
    <row r="77" spans="1:10" hidden="1">
      <c r="A77" t="s">
        <v>1015</v>
      </c>
      <c r="B77" t="s">
        <v>909</v>
      </c>
      <c r="C77" t="s">
        <v>910</v>
      </c>
      <c r="D77" s="7" t="s">
        <v>1180</v>
      </c>
      <c r="E77" s="7" t="s">
        <v>1081</v>
      </c>
      <c r="F77" s="7" t="s">
        <v>1180</v>
      </c>
      <c r="G77" s="7"/>
      <c r="H77" s="7"/>
      <c r="I77" s="13"/>
      <c r="J77" s="8">
        <f>JMM_Total[[#This Row],[Valor Ilíquido]]*(1+JMM_Total[[#This Row],[IVA]])</f>
        <v>1.4571000000000001</v>
      </c>
    </row>
    <row r="78" spans="1:10" hidden="1">
      <c r="A78" t="s">
        <v>1015</v>
      </c>
      <c r="B78" t="s">
        <v>1022</v>
      </c>
      <c r="C78" t="s">
        <v>1023</v>
      </c>
      <c r="D78" s="7" t="s">
        <v>1085</v>
      </c>
      <c r="E78" s="7" t="s">
        <v>1084</v>
      </c>
      <c r="F78" s="7" t="s">
        <v>1085</v>
      </c>
      <c r="G78" s="7"/>
      <c r="H78" s="7"/>
      <c r="I78" s="13"/>
      <c r="J78" s="8">
        <f>JMM_Total[[#This Row],[Valor Ilíquido]]*(1+JMM_Total[[#This Row],[IVA]])</f>
        <v>90</v>
      </c>
    </row>
    <row r="79" spans="1:10" hidden="1">
      <c r="A79" t="s">
        <v>1024</v>
      </c>
      <c r="B79" t="s">
        <v>909</v>
      </c>
      <c r="C79" t="s">
        <v>1025</v>
      </c>
      <c r="D79" s="7" t="s">
        <v>1181</v>
      </c>
      <c r="E79" s="7" t="s">
        <v>1081</v>
      </c>
      <c r="F79" s="7" t="s">
        <v>1181</v>
      </c>
      <c r="G79" s="7"/>
      <c r="H79" s="7"/>
      <c r="I79" s="13"/>
      <c r="J79" s="8" t="e">
        <f>JMM_Total[[#This Row],[Valor Ilíquido]]*(1+JMM_Total[[#This Row],[IVA]])</f>
        <v>#VALUE!</v>
      </c>
    </row>
    <row r="80" spans="1:10" hidden="1">
      <c r="A80" t="s">
        <v>1024</v>
      </c>
      <c r="B80" t="s">
        <v>1026</v>
      </c>
      <c r="C80" t="s">
        <v>1027</v>
      </c>
      <c r="D80" s="7" t="s">
        <v>1085</v>
      </c>
      <c r="E80" s="7" t="s">
        <v>1084</v>
      </c>
      <c r="F80" s="7" t="s">
        <v>1085</v>
      </c>
      <c r="G80" s="7"/>
      <c r="H80" s="7"/>
      <c r="I80" s="13"/>
      <c r="J80" s="8">
        <f>JMM_Total[[#This Row],[Valor Ilíquido]]*(1+JMM_Total[[#This Row],[IVA]])</f>
        <v>90</v>
      </c>
    </row>
    <row r="81" spans="1:10" hidden="1">
      <c r="A81" t="s">
        <v>1024</v>
      </c>
      <c r="B81" t="s">
        <v>905</v>
      </c>
      <c r="C81" t="s">
        <v>1025</v>
      </c>
      <c r="D81" s="7" t="s">
        <v>1182</v>
      </c>
      <c r="E81" s="7" t="s">
        <v>1179</v>
      </c>
      <c r="F81" s="7" t="s">
        <v>1182</v>
      </c>
      <c r="G81" s="7"/>
      <c r="H81" s="7"/>
      <c r="I81" s="13"/>
      <c r="J81" s="8" t="e">
        <f>JMM_Total[[#This Row],[Valor Ilíquido]]*(1+JMM_Total[[#This Row],[IVA]])</f>
        <v>#VALUE!</v>
      </c>
    </row>
    <row r="82" spans="1:10" hidden="1">
      <c r="A82" t="s">
        <v>1024</v>
      </c>
      <c r="B82" t="s">
        <v>1028</v>
      </c>
      <c r="C82" t="s">
        <v>1029</v>
      </c>
      <c r="D82" s="7" t="s">
        <v>1085</v>
      </c>
      <c r="E82" s="7" t="s">
        <v>1084</v>
      </c>
      <c r="F82" s="7" t="s">
        <v>1085</v>
      </c>
      <c r="G82" s="7"/>
      <c r="H82" s="7"/>
      <c r="I82" s="13"/>
      <c r="J82" s="8">
        <f>JMM_Total[[#This Row],[Valor Ilíquido]]*(1+JMM_Total[[#This Row],[IVA]])</f>
        <v>90</v>
      </c>
    </row>
    <row r="83" spans="1:10">
      <c r="A83" t="s">
        <v>1030</v>
      </c>
      <c r="B83" t="s">
        <v>885</v>
      </c>
      <c r="C83" t="s">
        <v>931</v>
      </c>
      <c r="D83" s="7" t="s">
        <v>1183</v>
      </c>
      <c r="E83" s="7" t="s">
        <v>1121</v>
      </c>
      <c r="F83" s="7" t="s">
        <v>1183</v>
      </c>
      <c r="G83" s="7"/>
      <c r="H83" s="7"/>
      <c r="I83" s="13"/>
      <c r="J83" s="8">
        <f>JMM_Total[[#This Row],[Valor Ilíquido]]*(1+JMM_Total[[#This Row],[IVA]])</f>
        <v>0.65510000000000002</v>
      </c>
    </row>
    <row r="84" spans="1:10" hidden="1">
      <c r="A84" t="s">
        <v>1031</v>
      </c>
      <c r="B84" t="s">
        <v>1032</v>
      </c>
      <c r="C84" t="s">
        <v>1033</v>
      </c>
      <c r="D84" s="7" t="s">
        <v>1184</v>
      </c>
      <c r="E84" s="7" t="s">
        <v>1185</v>
      </c>
      <c r="F84" s="7" t="s">
        <v>1186</v>
      </c>
      <c r="G84" s="7"/>
      <c r="H84" s="7"/>
      <c r="I84" s="13"/>
      <c r="J84" s="8" t="e">
        <f>JMM_Total[[#This Row],[Valor Ilíquido]]*(1+JMM_Total[[#This Row],[IVA]])</f>
        <v>#VALUE!</v>
      </c>
    </row>
    <row r="85" spans="1:10" hidden="1">
      <c r="A85" t="s">
        <v>1031</v>
      </c>
      <c r="B85" t="s">
        <v>1034</v>
      </c>
      <c r="C85" t="s">
        <v>1035</v>
      </c>
      <c r="D85" s="7" t="s">
        <v>1084</v>
      </c>
      <c r="E85" s="7" t="s">
        <v>1098</v>
      </c>
      <c r="F85" s="7" t="s">
        <v>1187</v>
      </c>
      <c r="G85" s="7"/>
      <c r="H85" s="7"/>
      <c r="I85" s="13"/>
      <c r="J85" s="8" t="e">
        <f>JMM_Total[[#This Row],[Valor Ilíquido]]*(1+JMM_Total[[#This Row],[IVA]])</f>
        <v>#VALUE!</v>
      </c>
    </row>
    <row r="86" spans="1:10" hidden="1">
      <c r="A86" t="s">
        <v>1031</v>
      </c>
      <c r="B86" t="s">
        <v>1009</v>
      </c>
      <c r="C86" t="s">
        <v>1010</v>
      </c>
      <c r="D86" s="7" t="s">
        <v>1188</v>
      </c>
      <c r="E86" s="7" t="s">
        <v>1189</v>
      </c>
      <c r="F86" s="7" t="s">
        <v>1190</v>
      </c>
      <c r="G86" s="7"/>
      <c r="H86" s="7"/>
      <c r="I86" s="13"/>
      <c r="J86" s="8" t="e">
        <f>JMM_Total[[#This Row],[Valor Ilíquido]]*(1+JMM_Total[[#This Row],[IVA]])</f>
        <v>#VALUE!</v>
      </c>
    </row>
    <row r="87" spans="1:10" hidden="1">
      <c r="A87" t="s">
        <v>1031</v>
      </c>
      <c r="B87" t="s">
        <v>1036</v>
      </c>
      <c r="C87" t="s">
        <v>1037</v>
      </c>
      <c r="D87" s="7" t="s">
        <v>1084</v>
      </c>
      <c r="E87" s="7" t="s">
        <v>1085</v>
      </c>
      <c r="F87" s="7" t="s">
        <v>1086</v>
      </c>
      <c r="G87" s="7"/>
      <c r="H87" s="7"/>
      <c r="I87" s="13"/>
      <c r="J87" s="8" t="e">
        <f>JMM_Total[[#This Row],[Valor Ilíquido]]*(1+JMM_Total[[#This Row],[IVA]])</f>
        <v>#VALUE!</v>
      </c>
    </row>
    <row r="88" spans="1:10" hidden="1">
      <c r="A88" t="s">
        <v>1031</v>
      </c>
      <c r="B88" t="s">
        <v>1038</v>
      </c>
      <c r="C88" t="s">
        <v>1039</v>
      </c>
      <c r="D88" s="7" t="s">
        <v>1191</v>
      </c>
      <c r="E88" s="7" t="s">
        <v>1192</v>
      </c>
      <c r="F88" s="7" t="s">
        <v>1193</v>
      </c>
      <c r="G88" s="7"/>
      <c r="H88" s="7"/>
      <c r="I88" s="13"/>
      <c r="J88" s="8" t="e">
        <f>JMM_Total[[#This Row],[Valor Ilíquido]]*(1+JMM_Total[[#This Row],[IVA]])</f>
        <v>#VALUE!</v>
      </c>
    </row>
    <row r="89" spans="1:10">
      <c r="A89" t="s">
        <v>1040</v>
      </c>
      <c r="B89" t="s">
        <v>885</v>
      </c>
      <c r="C89" t="s">
        <v>886</v>
      </c>
      <c r="D89" s="7" t="s">
        <v>1194</v>
      </c>
      <c r="E89" s="7" t="s">
        <v>1121</v>
      </c>
      <c r="F89" s="7" t="s">
        <v>1194</v>
      </c>
      <c r="G89" s="7"/>
      <c r="H89" s="7"/>
      <c r="I89" s="13"/>
      <c r="J89" s="8">
        <f>JMM_Total[[#This Row],[Valor Ilíquido]]*(1+JMM_Total[[#This Row],[IVA]])</f>
        <v>0.58109999999999995</v>
      </c>
    </row>
    <row r="90" spans="1:10" hidden="1">
      <c r="A90" t="s">
        <v>1040</v>
      </c>
      <c r="B90" t="s">
        <v>1041</v>
      </c>
      <c r="C90" t="s">
        <v>1042</v>
      </c>
      <c r="D90" s="7" t="s">
        <v>1195</v>
      </c>
      <c r="E90" s="7" t="s">
        <v>1100</v>
      </c>
      <c r="F90" s="7" t="s">
        <v>1195</v>
      </c>
      <c r="G90" s="7"/>
      <c r="H90" s="7"/>
      <c r="I90" s="13"/>
      <c r="J90" s="8" t="e">
        <f>JMM_Total[[#This Row],[Valor Ilíquido]]*(1+JMM_Total[[#This Row],[IVA]])</f>
        <v>#VALUE!</v>
      </c>
    </row>
    <row r="91" spans="1:10" hidden="1">
      <c r="A91" t="s">
        <v>1043</v>
      </c>
      <c r="B91" t="s">
        <v>1044</v>
      </c>
      <c r="C91" t="s">
        <v>1045</v>
      </c>
      <c r="D91" s="7" t="s">
        <v>1196</v>
      </c>
      <c r="E91" s="7" t="s">
        <v>1096</v>
      </c>
      <c r="F91" s="7" t="s">
        <v>1196</v>
      </c>
      <c r="G91" s="7"/>
      <c r="H91" s="7"/>
      <c r="I91" s="13"/>
      <c r="J91" s="8">
        <f>JMM_Total[[#This Row],[Valor Ilíquido]]*(1+JMM_Total[[#This Row],[IVA]])</f>
        <v>3.3209</v>
      </c>
    </row>
    <row r="92" spans="1:10" hidden="1">
      <c r="A92" t="s">
        <v>1043</v>
      </c>
      <c r="B92" t="s">
        <v>1046</v>
      </c>
      <c r="C92" t="s">
        <v>1047</v>
      </c>
      <c r="D92" s="7" t="s">
        <v>1098</v>
      </c>
      <c r="E92" s="7" t="s">
        <v>1084</v>
      </c>
      <c r="F92" s="7" t="s">
        <v>1098</v>
      </c>
      <c r="G92" s="7"/>
      <c r="H92" s="7"/>
      <c r="I92" s="13"/>
      <c r="J92" s="8">
        <f>JMM_Total[[#This Row],[Valor Ilíquido]]*(1+JMM_Total[[#This Row],[IVA]])</f>
        <v>135</v>
      </c>
    </row>
    <row r="93" spans="1:10" hidden="1">
      <c r="A93" t="s">
        <v>1043</v>
      </c>
      <c r="B93" t="s">
        <v>911</v>
      </c>
      <c r="C93" t="s">
        <v>912</v>
      </c>
      <c r="D93" s="7" t="s">
        <v>1103</v>
      </c>
      <c r="E93" s="7" t="s">
        <v>1102</v>
      </c>
      <c r="F93" s="7" t="s">
        <v>1103</v>
      </c>
      <c r="G93" s="7"/>
      <c r="H93" s="7"/>
      <c r="I93" s="13"/>
      <c r="J93" s="8">
        <f>JMM_Total[[#This Row],[Valor Ilíquido]]*(1+JMM_Total[[#This Row],[IVA]])</f>
        <v>1.5308999999999999</v>
      </c>
    </row>
    <row r="94" spans="1:10" hidden="1">
      <c r="A94" t="s">
        <v>1043</v>
      </c>
      <c r="B94" t="s">
        <v>1009</v>
      </c>
      <c r="C94" t="s">
        <v>1010</v>
      </c>
      <c r="D94" s="7" t="s">
        <v>1197</v>
      </c>
      <c r="E94" s="7" t="s">
        <v>1094</v>
      </c>
      <c r="F94" s="7" t="s">
        <v>1197</v>
      </c>
      <c r="G94" s="7"/>
      <c r="H94" s="7"/>
      <c r="I94" s="13"/>
      <c r="J94" s="8">
        <f>JMM_Total[[#This Row],[Valor Ilíquido]]*(1+JMM_Total[[#This Row],[IVA]])</f>
        <v>1.6809000000000001</v>
      </c>
    </row>
    <row r="95" spans="1:10" hidden="1">
      <c r="A95" t="s">
        <v>1043</v>
      </c>
      <c r="B95" t="s">
        <v>1048</v>
      </c>
      <c r="C95" t="s">
        <v>1049</v>
      </c>
      <c r="D95" s="7" t="s">
        <v>1085</v>
      </c>
      <c r="E95" s="7" t="s">
        <v>1084</v>
      </c>
      <c r="F95" s="7" t="s">
        <v>1085</v>
      </c>
      <c r="G95" s="7"/>
      <c r="H95" s="7"/>
      <c r="I95" s="13"/>
      <c r="J95" s="8">
        <f>JMM_Total[[#This Row],[Valor Ilíquido]]*(1+JMM_Total[[#This Row],[IVA]])</f>
        <v>90</v>
      </c>
    </row>
    <row r="96" spans="1:10" hidden="1">
      <c r="A96" t="s">
        <v>1050</v>
      </c>
      <c r="B96" t="s">
        <v>1051</v>
      </c>
      <c r="C96" t="s">
        <v>1052</v>
      </c>
      <c r="D96" s="7" t="s">
        <v>1198</v>
      </c>
      <c r="E96" s="7" t="s">
        <v>1172</v>
      </c>
      <c r="F96" s="7" t="s">
        <v>1198</v>
      </c>
      <c r="G96" s="7"/>
      <c r="H96" s="7"/>
      <c r="I96" s="13"/>
      <c r="J96" s="8">
        <f>JMM_Total[[#This Row],[Valor Ilíquido]]*(1+JMM_Total[[#This Row],[IVA]])</f>
        <v>2.4588999999999999</v>
      </c>
    </row>
    <row r="97" spans="1:10">
      <c r="A97" t="s">
        <v>1050</v>
      </c>
      <c r="B97" t="s">
        <v>1003</v>
      </c>
      <c r="C97" t="s">
        <v>1004</v>
      </c>
      <c r="D97" s="7" t="s">
        <v>1199</v>
      </c>
      <c r="E97" s="7" t="s">
        <v>1153</v>
      </c>
      <c r="F97" s="7" t="s">
        <v>1199</v>
      </c>
      <c r="G97" s="7"/>
      <c r="H97" s="7"/>
      <c r="I97" s="13"/>
      <c r="J97" s="8">
        <f>JMM_Total[[#This Row],[Valor Ilíquido]]*(1+JMM_Total[[#This Row],[IVA]])</f>
        <v>8.7819000000000003</v>
      </c>
    </row>
    <row r="98" spans="1:10">
      <c r="A98" t="s">
        <v>1050</v>
      </c>
      <c r="B98" t="s">
        <v>885</v>
      </c>
      <c r="C98" t="s">
        <v>886</v>
      </c>
      <c r="D98" s="7" t="s">
        <v>1200</v>
      </c>
      <c r="E98" s="7" t="s">
        <v>1108</v>
      </c>
      <c r="F98" s="7" t="s">
        <v>1200</v>
      </c>
      <c r="G98" s="7"/>
      <c r="H98" s="7"/>
      <c r="I98" s="13"/>
      <c r="J98" s="8">
        <f>JMM_Total[[#This Row],[Valor Ilíquido]]*(1+JMM_Total[[#This Row],[IVA]])</f>
        <v>0.55789999999999995</v>
      </c>
    </row>
    <row r="99" spans="1:10" hidden="1">
      <c r="A99" t="s">
        <v>1050</v>
      </c>
      <c r="B99" t="s">
        <v>1053</v>
      </c>
      <c r="C99" t="s">
        <v>1054</v>
      </c>
      <c r="D99" s="7" t="s">
        <v>1201</v>
      </c>
      <c r="E99" s="7" t="s">
        <v>1081</v>
      </c>
      <c r="F99" s="7" t="s">
        <v>1201</v>
      </c>
      <c r="G99" s="7"/>
      <c r="H99" s="7"/>
      <c r="I99" s="13"/>
      <c r="J99" s="8">
        <f>JMM_Total[[#This Row],[Valor Ilíquido]]*(1+JMM_Total[[#This Row],[IVA]])</f>
        <v>3.4018999999999999</v>
      </c>
    </row>
    <row r="100" spans="1:10" hidden="1">
      <c r="A100" t="s">
        <v>1055</v>
      </c>
      <c r="B100" t="s">
        <v>1000</v>
      </c>
      <c r="C100" t="s">
        <v>1001</v>
      </c>
      <c r="D100" s="7" t="s">
        <v>1094</v>
      </c>
      <c r="E100" s="7" t="s">
        <v>1202</v>
      </c>
      <c r="F100" s="7" t="s">
        <v>1203</v>
      </c>
      <c r="G100" s="7"/>
      <c r="H100" s="7"/>
      <c r="I100" s="13"/>
      <c r="J100" s="8" t="e">
        <f>JMM_Total[[#This Row],[Valor Ilíquido]]*(1+JMM_Total[[#This Row],[IVA]])</f>
        <v>#VALUE!</v>
      </c>
    </row>
    <row r="101" spans="1:10">
      <c r="A101" t="s">
        <v>1056</v>
      </c>
      <c r="B101" t="s">
        <v>966</v>
      </c>
      <c r="C101" t="s">
        <v>978</v>
      </c>
      <c r="D101" s="7" t="s">
        <v>1204</v>
      </c>
      <c r="E101" s="7" t="s">
        <v>1205</v>
      </c>
      <c r="F101" s="7" t="s">
        <v>1204</v>
      </c>
      <c r="G101" s="7"/>
      <c r="H101" s="7"/>
      <c r="I101" s="13"/>
      <c r="J101" s="8">
        <f>JMM_Total[[#This Row],[Valor Ilíquido]]*(1+JMM_Total[[#This Row],[IVA]])</f>
        <v>0.92030000000000001</v>
      </c>
    </row>
    <row r="102" spans="1:10" hidden="1">
      <c r="A102" t="s">
        <v>1056</v>
      </c>
      <c r="B102" t="s">
        <v>1057</v>
      </c>
      <c r="C102" t="s">
        <v>1058</v>
      </c>
      <c r="D102" s="7" t="s">
        <v>1085</v>
      </c>
      <c r="E102" s="7" t="s">
        <v>1084</v>
      </c>
      <c r="F102" s="7" t="s">
        <v>1085</v>
      </c>
      <c r="G102" s="7"/>
      <c r="H102" s="7"/>
      <c r="I102" s="13"/>
      <c r="J102" s="8">
        <f>JMM_Total[[#This Row],[Valor Ilíquido]]*(1+JMM_Total[[#This Row],[IVA]])</f>
        <v>90</v>
      </c>
    </row>
    <row r="103" spans="1:10">
      <c r="A103" t="s">
        <v>1056</v>
      </c>
      <c r="B103" t="s">
        <v>894</v>
      </c>
      <c r="C103" t="s">
        <v>895</v>
      </c>
      <c r="D103" s="7" t="s">
        <v>1206</v>
      </c>
      <c r="E103" s="7" t="s">
        <v>1081</v>
      </c>
      <c r="F103" s="7" t="s">
        <v>1206</v>
      </c>
      <c r="G103" s="7"/>
      <c r="H103" s="7"/>
      <c r="I103" s="13"/>
      <c r="J103" s="8">
        <f>JMM_Total[[#This Row],[Valor Ilíquido]]*(1+JMM_Total[[#This Row],[IVA]])</f>
        <v>0.75629999999999997</v>
      </c>
    </row>
    <row r="104" spans="1:10">
      <c r="A104" t="s">
        <v>1056</v>
      </c>
      <c r="B104" t="s">
        <v>966</v>
      </c>
      <c r="C104" t="s">
        <v>978</v>
      </c>
      <c r="D104" s="7" t="s">
        <v>1204</v>
      </c>
      <c r="E104" s="7" t="s">
        <v>1207</v>
      </c>
      <c r="F104" s="7" t="s">
        <v>1204</v>
      </c>
      <c r="G104" s="7"/>
      <c r="H104" s="7"/>
      <c r="I104" s="13"/>
      <c r="J104" s="8">
        <f>JMM_Total[[#This Row],[Valor Ilíquido]]*(1+JMM_Total[[#This Row],[IVA]])</f>
        <v>0.92030000000000001</v>
      </c>
    </row>
    <row r="105" spans="1:10">
      <c r="A105" t="s">
        <v>1056</v>
      </c>
      <c r="B105" t="s">
        <v>885</v>
      </c>
      <c r="C105" t="s">
        <v>886</v>
      </c>
      <c r="D105" s="7" t="s">
        <v>1208</v>
      </c>
      <c r="E105" s="7" t="s">
        <v>1121</v>
      </c>
      <c r="F105" s="7" t="s">
        <v>1208</v>
      </c>
      <c r="G105" s="7"/>
      <c r="H105" s="7"/>
      <c r="I105" s="13"/>
      <c r="J105" s="8">
        <f>JMM_Total[[#This Row],[Valor Ilíquido]]*(1+JMM_Total[[#This Row],[IVA]])</f>
        <v>0.66469999999999996</v>
      </c>
    </row>
    <row r="106" spans="1:10">
      <c r="A106" t="s">
        <v>1059</v>
      </c>
      <c r="B106" t="s">
        <v>894</v>
      </c>
      <c r="C106" t="s">
        <v>895</v>
      </c>
      <c r="D106" s="7" t="s">
        <v>1209</v>
      </c>
      <c r="E106" s="7" t="s">
        <v>1090</v>
      </c>
      <c r="F106" s="7" t="s">
        <v>1209</v>
      </c>
      <c r="G106" s="7"/>
      <c r="H106" s="7"/>
      <c r="I106" s="13"/>
      <c r="J106" s="8">
        <f>JMM_Total[[#This Row],[Valor Ilíquido]]*(1+JMM_Total[[#This Row],[IVA]])</f>
        <v>0.85750000000000004</v>
      </c>
    </row>
    <row r="107" spans="1:10" hidden="1">
      <c r="A107" t="s">
        <v>1059</v>
      </c>
      <c r="B107" t="s">
        <v>1060</v>
      </c>
      <c r="C107" t="s">
        <v>1061</v>
      </c>
      <c r="D107" s="7" t="s">
        <v>1210</v>
      </c>
      <c r="E107" s="7" t="s">
        <v>1211</v>
      </c>
      <c r="F107" s="7" t="s">
        <v>1210</v>
      </c>
      <c r="G107" s="7"/>
      <c r="H107" s="7"/>
      <c r="I107" s="13"/>
      <c r="J107" s="8">
        <f>JMM_Total[[#This Row],[Valor Ilíquido]]*(1+JMM_Total[[#This Row],[IVA]])</f>
        <v>4.1835000000000004</v>
      </c>
    </row>
    <row r="108" spans="1:10" hidden="1">
      <c r="A108" t="s">
        <v>1059</v>
      </c>
      <c r="B108" t="s">
        <v>1062</v>
      </c>
      <c r="C108" t="s">
        <v>1063</v>
      </c>
      <c r="D108" s="7" t="s">
        <v>1085</v>
      </c>
      <c r="E108" s="7" t="s">
        <v>1084</v>
      </c>
      <c r="F108" s="7" t="s">
        <v>1085</v>
      </c>
      <c r="G108" s="7"/>
      <c r="H108" s="7"/>
      <c r="I108" s="13"/>
      <c r="J108" s="8">
        <f>JMM_Total[[#This Row],[Valor Ilíquido]]*(1+JMM_Total[[#This Row],[IVA]])</f>
        <v>90</v>
      </c>
    </row>
    <row r="109" spans="1:10" hidden="1">
      <c r="A109" t="s">
        <v>1059</v>
      </c>
      <c r="B109" t="s">
        <v>1064</v>
      </c>
      <c r="C109" t="s">
        <v>1065</v>
      </c>
      <c r="D109" s="7" t="s">
        <v>1212</v>
      </c>
      <c r="E109" s="7" t="s">
        <v>1094</v>
      </c>
      <c r="F109" s="7" t="s">
        <v>1212</v>
      </c>
      <c r="G109" s="7"/>
      <c r="H109" s="7"/>
      <c r="I109" s="13"/>
      <c r="J109" s="8">
        <f>JMM_Total[[#This Row],[Valor Ilíquido]]*(1+JMM_Total[[#This Row],[IVA]])</f>
        <v>4.4574999999999996</v>
      </c>
    </row>
    <row r="110" spans="1:10" hidden="1">
      <c r="A110" t="s">
        <v>1059</v>
      </c>
      <c r="B110" t="s">
        <v>1009</v>
      </c>
      <c r="C110" t="s">
        <v>1010</v>
      </c>
      <c r="D110" s="7" t="s">
        <v>1143</v>
      </c>
      <c r="E110" s="7" t="s">
        <v>1205</v>
      </c>
      <c r="F110" s="7" t="s">
        <v>1143</v>
      </c>
      <c r="G110" s="7"/>
      <c r="H110" s="7"/>
      <c r="I110" s="13"/>
      <c r="J110" s="8">
        <f>JMM_Total[[#This Row],[Valor Ilíquido]]*(1+JMM_Total[[#This Row],[IVA]])</f>
        <v>2.1004</v>
      </c>
    </row>
    <row r="111" spans="1:10" hidden="1">
      <c r="A111" t="s">
        <v>1059</v>
      </c>
      <c r="B111" t="s">
        <v>1066</v>
      </c>
      <c r="C111" t="s">
        <v>1067</v>
      </c>
      <c r="D111" s="7" t="s">
        <v>1085</v>
      </c>
      <c r="E111" s="7" t="s">
        <v>1084</v>
      </c>
      <c r="F111" s="7" t="s">
        <v>1085</v>
      </c>
      <c r="G111" s="7"/>
      <c r="H111" s="7"/>
      <c r="I111" s="13"/>
      <c r="J111" s="8">
        <f>JMM_Total[[#This Row],[Valor Ilíquido]]*(1+JMM_Total[[#This Row],[IVA]])</f>
        <v>90</v>
      </c>
    </row>
    <row r="112" spans="1:10" hidden="1">
      <c r="A112" t="s">
        <v>1059</v>
      </c>
      <c r="B112" t="s">
        <v>1032</v>
      </c>
      <c r="C112" t="s">
        <v>1033</v>
      </c>
      <c r="D112" s="7" t="s">
        <v>1213</v>
      </c>
      <c r="E112" s="7" t="s">
        <v>1214</v>
      </c>
      <c r="F112" s="7" t="s">
        <v>1213</v>
      </c>
      <c r="G112" s="7"/>
      <c r="H112" s="7"/>
      <c r="I112" s="13"/>
      <c r="J112" s="8">
        <f>JMM_Total[[#This Row],[Valor Ilíquido]]*(1+JMM_Total[[#This Row],[IVA]])</f>
        <v>4.1824000000000003</v>
      </c>
    </row>
    <row r="113" spans="1:10" hidden="1">
      <c r="A113" t="s">
        <v>1059</v>
      </c>
      <c r="B113" t="s">
        <v>1068</v>
      </c>
      <c r="C113" t="s">
        <v>1069</v>
      </c>
      <c r="D113" s="7" t="s">
        <v>1215</v>
      </c>
      <c r="E113" s="7" t="s">
        <v>1084</v>
      </c>
      <c r="F113" s="7" t="s">
        <v>1215</v>
      </c>
      <c r="G113" s="7"/>
      <c r="H113" s="7"/>
      <c r="I113" s="13"/>
      <c r="J113" s="8">
        <f>JMM_Total[[#This Row],[Valor Ilíquido]]*(1+JMM_Total[[#This Row],[IVA]])</f>
        <v>230</v>
      </c>
    </row>
    <row r="114" spans="1:10">
      <c r="A114" t="s">
        <v>1059</v>
      </c>
      <c r="B114" t="s">
        <v>885</v>
      </c>
      <c r="C114" t="s">
        <v>931</v>
      </c>
      <c r="D114" s="7" t="s">
        <v>1216</v>
      </c>
      <c r="E114" s="7" t="s">
        <v>1217</v>
      </c>
      <c r="F114" s="7" t="s">
        <v>1216</v>
      </c>
      <c r="G114" s="7"/>
      <c r="H114" s="7"/>
      <c r="I114" s="13"/>
      <c r="J114" s="8">
        <f>JMM_Total[[#This Row],[Valor Ilíquido]]*(1+JMM_Total[[#This Row],[IVA]])</f>
        <v>0.67449999999999999</v>
      </c>
    </row>
    <row r="115" spans="1:10" hidden="1">
      <c r="A115" t="s">
        <v>1070</v>
      </c>
      <c r="B115" t="s">
        <v>1071</v>
      </c>
      <c r="C115" t="s">
        <v>1042</v>
      </c>
      <c r="D115" s="7" t="s">
        <v>1218</v>
      </c>
      <c r="E115" s="7" t="s">
        <v>1219</v>
      </c>
      <c r="F115" s="7" t="s">
        <v>1218</v>
      </c>
      <c r="G115" s="7"/>
      <c r="H115" s="7"/>
      <c r="I115" s="13"/>
      <c r="J115" s="8" t="e">
        <f>JMM_Total[[#This Row],[Valor Ilíquido]]*(1+JMM_Total[[#This Row],[IVA]])</f>
        <v>#VALUE!</v>
      </c>
    </row>
    <row r="116" spans="1:10" hidden="1">
      <c r="A116" t="s">
        <v>1072</v>
      </c>
      <c r="B116" t="s">
        <v>1073</v>
      </c>
      <c r="C116" t="s">
        <v>1042</v>
      </c>
      <c r="D116" s="7" t="s">
        <v>1220</v>
      </c>
      <c r="E116" s="7" t="s">
        <v>1221</v>
      </c>
      <c r="F116" s="7" t="s">
        <v>1220</v>
      </c>
      <c r="G116" s="7"/>
      <c r="H116" s="7"/>
      <c r="I116" s="13"/>
      <c r="J116" s="8" t="e">
        <f>JMM_Total[[#This Row],[Valor Ilíquido]]*(1+JMM_Total[[#This Row],[IVA]])</f>
        <v>#VALUE!</v>
      </c>
    </row>
    <row r="117" spans="1:10" hidden="1">
      <c r="A117" t="s">
        <v>1072</v>
      </c>
      <c r="B117" t="s">
        <v>1074</v>
      </c>
      <c r="C117" t="s">
        <v>1075</v>
      </c>
      <c r="D117" s="7" t="s">
        <v>1085</v>
      </c>
      <c r="E117" s="7" t="s">
        <v>1084</v>
      </c>
      <c r="F117" s="7" t="s">
        <v>1085</v>
      </c>
      <c r="G117" s="7"/>
      <c r="H117" s="7"/>
      <c r="I117" s="13"/>
      <c r="J117" s="8">
        <f>JMM_Total[[#This Row],[Valor Ilíquido]]*(1+JMM_Total[[#This Row],[IVA]])</f>
        <v>90</v>
      </c>
    </row>
    <row r="118" spans="1:10">
      <c r="A118" t="s">
        <v>925</v>
      </c>
      <c r="B118" t="s">
        <v>926</v>
      </c>
      <c r="C118" t="s">
        <v>927</v>
      </c>
      <c r="D118" s="7" t="s">
        <v>1108</v>
      </c>
      <c r="E118" s="7" t="s">
        <v>1225</v>
      </c>
      <c r="F118" s="7" t="s">
        <v>1227</v>
      </c>
      <c r="G118" s="7" t="s">
        <v>1226</v>
      </c>
      <c r="H118" s="7" t="s">
        <v>1226</v>
      </c>
      <c r="I118" s="13">
        <v>0.23</v>
      </c>
      <c r="J118" s="8">
        <f>JMM_Total[[#This Row],[Valor Ilíquido]]*(1+JMM_Total[[#This Row],[IVA]])</f>
        <v>364.51050000000004</v>
      </c>
    </row>
    <row r="119" spans="1:10" hidden="1">
      <c r="A119" t="s">
        <v>925</v>
      </c>
      <c r="B119" t="s">
        <v>928</v>
      </c>
      <c r="C119" t="s">
        <v>929</v>
      </c>
      <c r="D119" s="7" t="s">
        <v>1084</v>
      </c>
      <c r="E119" s="7" t="s">
        <v>1098</v>
      </c>
      <c r="F119" s="7" t="s">
        <v>1228</v>
      </c>
      <c r="G119" s="7" t="s">
        <v>1226</v>
      </c>
      <c r="H119" s="7" t="s">
        <v>1226</v>
      </c>
      <c r="I119" s="13">
        <v>0.23</v>
      </c>
      <c r="J119" s="8">
        <f>JMM_Total[[#This Row],[Valor Ilíquido]]*(1+JMM_Total[[#This Row],[IVA]])</f>
        <v>166.05</v>
      </c>
    </row>
    <row r="120" spans="1:10">
      <c r="A120" t="s">
        <v>930</v>
      </c>
      <c r="B120" t="s">
        <v>885</v>
      </c>
      <c r="C120" t="s">
        <v>931</v>
      </c>
      <c r="D120" s="7" t="s">
        <v>1229</v>
      </c>
      <c r="E120" s="7" t="s">
        <v>1230</v>
      </c>
      <c r="F120" s="7" t="s">
        <v>1231</v>
      </c>
      <c r="G120" s="7" t="s">
        <v>1226</v>
      </c>
      <c r="H120" s="7" t="s">
        <v>1226</v>
      </c>
      <c r="I120" s="13">
        <v>0.23</v>
      </c>
      <c r="J120" s="8">
        <f>JMM_Total[[#This Row],[Valor Ilíquido]]*(1+JMM_Total[[#This Row],[IVA]])</f>
        <v>1378.0920000000001</v>
      </c>
    </row>
    <row r="121" spans="1:10">
      <c r="A121" t="s">
        <v>932</v>
      </c>
      <c r="B121" t="s">
        <v>933</v>
      </c>
      <c r="C121" t="s">
        <v>934</v>
      </c>
      <c r="D121" s="7" t="s">
        <v>1232</v>
      </c>
      <c r="E121" s="7" t="s">
        <v>1233</v>
      </c>
      <c r="F121" s="7" t="s">
        <v>1234</v>
      </c>
      <c r="G121" s="7" t="s">
        <v>1226</v>
      </c>
      <c r="H121" s="7" t="s">
        <v>1226</v>
      </c>
      <c r="I121" s="13">
        <v>0.23</v>
      </c>
      <c r="J121" s="8">
        <f>JMM_Total[[#This Row],[Valor Ilíquido]]*(1+JMM_Total[[#This Row],[IVA]])</f>
        <v>256.4796</v>
      </c>
    </row>
    <row r="122" spans="1:10" hidden="1">
      <c r="A122" t="s">
        <v>932</v>
      </c>
      <c r="B122" t="s">
        <v>935</v>
      </c>
      <c r="C122" t="s">
        <v>936</v>
      </c>
      <c r="D122" s="7" t="s">
        <v>1084</v>
      </c>
      <c r="E122" s="7" t="s">
        <v>1085</v>
      </c>
      <c r="F122" s="7" t="s">
        <v>1235</v>
      </c>
      <c r="G122" s="7" t="s">
        <v>1226</v>
      </c>
      <c r="H122" s="7" t="s">
        <v>1226</v>
      </c>
      <c r="I122" s="13">
        <v>0.23</v>
      </c>
      <c r="J122" s="8">
        <f>JMM_Total[[#This Row],[Valor Ilíquido]]*(1+JMM_Total[[#This Row],[IVA]])</f>
        <v>110.7</v>
      </c>
    </row>
    <row r="123" spans="1:10">
      <c r="A123" t="s">
        <v>932</v>
      </c>
      <c r="B123" t="s">
        <v>937</v>
      </c>
      <c r="C123" t="s">
        <v>938</v>
      </c>
      <c r="D123" s="7" t="s">
        <v>1232</v>
      </c>
      <c r="E123" s="7" t="s">
        <v>1236</v>
      </c>
      <c r="F123" s="7" t="s">
        <v>1237</v>
      </c>
      <c r="G123" s="7" t="s">
        <v>1226</v>
      </c>
      <c r="H123" s="7" t="s">
        <v>1226</v>
      </c>
      <c r="I123" s="13">
        <v>0.23</v>
      </c>
      <c r="J123" s="8">
        <f>JMM_Total[[#This Row],[Valor Ilíquido]]*(1+JMM_Total[[#This Row],[IVA]])</f>
        <v>405.9246</v>
      </c>
    </row>
    <row r="124" spans="1:10" hidden="1">
      <c r="A124" t="s">
        <v>932</v>
      </c>
      <c r="B124" t="s">
        <v>939</v>
      </c>
      <c r="C124" t="s">
        <v>940</v>
      </c>
      <c r="D124" s="7" t="s">
        <v>1084</v>
      </c>
      <c r="E124" s="7" t="s">
        <v>1085</v>
      </c>
      <c r="F124" s="7" t="s">
        <v>1235</v>
      </c>
      <c r="G124" s="7" t="s">
        <v>1226</v>
      </c>
      <c r="H124" s="7" t="s">
        <v>1226</v>
      </c>
      <c r="I124" s="13">
        <v>0.23</v>
      </c>
      <c r="J124" s="8">
        <f>JMM_Total[[#This Row],[Valor Ilíquido]]*(1+JMM_Total[[#This Row],[IVA]])</f>
        <v>110.7</v>
      </c>
    </row>
    <row r="125" spans="1:10">
      <c r="A125" t="s">
        <v>932</v>
      </c>
      <c r="B125" t="s">
        <v>941</v>
      </c>
      <c r="C125" t="s">
        <v>942</v>
      </c>
      <c r="D125" s="7" t="s">
        <v>1153</v>
      </c>
      <c r="E125" s="7" t="s">
        <v>1238</v>
      </c>
      <c r="F125" s="7" t="s">
        <v>1239</v>
      </c>
      <c r="G125" s="7" t="s">
        <v>1226</v>
      </c>
      <c r="H125" s="7" t="s">
        <v>1226</v>
      </c>
      <c r="I125" s="13">
        <v>0.23</v>
      </c>
      <c r="J125" s="8">
        <f>JMM_Total[[#This Row],[Valor Ilíquido]]*(1+JMM_Total[[#This Row],[IVA]])</f>
        <v>534.68099999999993</v>
      </c>
    </row>
    <row r="126" spans="1:10" hidden="1">
      <c r="A126" t="s">
        <v>932</v>
      </c>
      <c r="B126" t="s">
        <v>943</v>
      </c>
      <c r="C126" t="s">
        <v>944</v>
      </c>
      <c r="D126" s="7" t="s">
        <v>1240</v>
      </c>
      <c r="E126" s="7" t="s">
        <v>1241</v>
      </c>
      <c r="F126" s="7" t="s">
        <v>1243</v>
      </c>
      <c r="G126" s="7" t="s">
        <v>1242</v>
      </c>
      <c r="H126" s="7" t="s">
        <v>1226</v>
      </c>
      <c r="I126" s="13">
        <v>0.23</v>
      </c>
      <c r="J126" s="8">
        <f>JMM_Total[[#This Row],[Valor Ilíquido]]*(1+JMM_Total[[#This Row],[IVA]])</f>
        <v>90.897000000000006</v>
      </c>
    </row>
    <row r="127" spans="1:10">
      <c r="A127" t="s">
        <v>945</v>
      </c>
      <c r="B127" t="s">
        <v>926</v>
      </c>
      <c r="C127" t="s">
        <v>927</v>
      </c>
      <c r="D127" s="7" t="s">
        <v>1108</v>
      </c>
      <c r="E127" s="7" t="s">
        <v>1244</v>
      </c>
      <c r="F127" s="7" t="s">
        <v>1245</v>
      </c>
      <c r="G127" s="7" t="s">
        <v>1226</v>
      </c>
      <c r="H127" s="7" t="s">
        <v>1226</v>
      </c>
      <c r="I127" s="13">
        <v>0.23</v>
      </c>
      <c r="J127" s="8">
        <f>JMM_Total[[#This Row],[Valor Ilíquido]]*(1+JMM_Total[[#This Row],[IVA]])</f>
        <v>449.565</v>
      </c>
    </row>
    <row r="128" spans="1:10" hidden="1">
      <c r="A128" t="s">
        <v>945</v>
      </c>
      <c r="B128" t="s">
        <v>946</v>
      </c>
      <c r="C128" t="s">
        <v>947</v>
      </c>
      <c r="D128" s="7" t="s">
        <v>1084</v>
      </c>
      <c r="E128" s="7" t="s">
        <v>1085</v>
      </c>
      <c r="F128" s="7" t="s">
        <v>1235</v>
      </c>
      <c r="G128" s="7" t="s">
        <v>1226</v>
      </c>
      <c r="H128" s="7" t="s">
        <v>1226</v>
      </c>
      <c r="I128" s="13">
        <v>0.23</v>
      </c>
      <c r="J128" s="8">
        <f>JMM_Total[[#This Row],[Valor Ilíquido]]*(1+JMM_Total[[#This Row],[IVA]])</f>
        <v>110.7</v>
      </c>
    </row>
    <row r="129" spans="1:10">
      <c r="A129" t="s">
        <v>948</v>
      </c>
      <c r="B129" t="s">
        <v>949</v>
      </c>
      <c r="C129" t="s">
        <v>950</v>
      </c>
      <c r="D129" s="7" t="s">
        <v>1094</v>
      </c>
      <c r="E129" s="7" t="s">
        <v>1246</v>
      </c>
      <c r="F129" s="7" t="s">
        <v>1247</v>
      </c>
      <c r="G129" s="7" t="s">
        <v>1226</v>
      </c>
      <c r="H129" s="7" t="s">
        <v>1226</v>
      </c>
      <c r="I129" s="13">
        <v>0.23</v>
      </c>
      <c r="J129" s="8">
        <f>JMM_Total[[#This Row],[Valor Ilíquido]]*(1+JMM_Total[[#This Row],[IVA]])</f>
        <v>319.77539999999999</v>
      </c>
    </row>
    <row r="130" spans="1:10">
      <c r="A130" t="s">
        <v>951</v>
      </c>
      <c r="B130" t="s">
        <v>885</v>
      </c>
      <c r="C130" t="s">
        <v>886</v>
      </c>
      <c r="D130" s="7" t="s">
        <v>1229</v>
      </c>
      <c r="E130" s="7" t="s">
        <v>1248</v>
      </c>
      <c r="F130" s="7" t="s">
        <v>1249</v>
      </c>
      <c r="G130" s="7" t="s">
        <v>1226</v>
      </c>
      <c r="H130" s="7" t="s">
        <v>1226</v>
      </c>
      <c r="I130" s="13">
        <v>0.23</v>
      </c>
      <c r="J130" s="8">
        <f>JMM_Total[[#This Row],[Valor Ilíquido]]*(1+JMM_Total[[#This Row],[IVA]])</f>
        <v>1331.106</v>
      </c>
    </row>
    <row r="131" spans="1:10">
      <c r="A131" t="s">
        <v>952</v>
      </c>
      <c r="B131" t="s">
        <v>896</v>
      </c>
      <c r="C131" t="s">
        <v>953</v>
      </c>
      <c r="D131" s="7" t="s">
        <v>1094</v>
      </c>
      <c r="E131" s="7" t="s">
        <v>1250</v>
      </c>
      <c r="F131" s="7" t="s">
        <v>1251</v>
      </c>
      <c r="G131" s="7" t="s">
        <v>1226</v>
      </c>
      <c r="H131" s="7" t="s">
        <v>1226</v>
      </c>
      <c r="I131" s="13">
        <v>0.23</v>
      </c>
      <c r="J131" s="8">
        <f>JMM_Total[[#This Row],[Valor Ilíquido]]*(1+JMM_Total[[#This Row],[IVA]])</f>
        <v>617.60760000000005</v>
      </c>
    </row>
    <row r="132" spans="1:10">
      <c r="A132" t="s">
        <v>952</v>
      </c>
      <c r="B132" t="s">
        <v>954</v>
      </c>
      <c r="C132" t="s">
        <v>955</v>
      </c>
      <c r="D132" s="7" t="s">
        <v>1081</v>
      </c>
      <c r="E132" s="7" t="s">
        <v>1252</v>
      </c>
      <c r="F132" s="7" t="s">
        <v>1253</v>
      </c>
      <c r="G132" s="7" t="s">
        <v>1226</v>
      </c>
      <c r="H132" s="7" t="s">
        <v>1226</v>
      </c>
      <c r="I132" s="13">
        <v>0.23</v>
      </c>
      <c r="J132" s="8">
        <f>JMM_Total[[#This Row],[Valor Ilíquido]]*(1+JMM_Total[[#This Row],[IVA]])</f>
        <v>491.4588</v>
      </c>
    </row>
    <row r="133" spans="1:10">
      <c r="A133" t="s">
        <v>952</v>
      </c>
      <c r="B133" t="s">
        <v>956</v>
      </c>
      <c r="C133" t="s">
        <v>957</v>
      </c>
      <c r="D133" s="7" t="s">
        <v>1094</v>
      </c>
      <c r="E133" s="7" t="s">
        <v>1254</v>
      </c>
      <c r="F133" s="7" t="s">
        <v>1255</v>
      </c>
      <c r="G133" s="7" t="s">
        <v>1226</v>
      </c>
      <c r="H133" s="7" t="s">
        <v>1226</v>
      </c>
      <c r="I133" s="13">
        <v>0.23</v>
      </c>
      <c r="J133" s="8">
        <f>JMM_Total[[#This Row],[Valor Ilíquido]]*(1+JMM_Total[[#This Row],[IVA]])</f>
        <v>1553.6375999999998</v>
      </c>
    </row>
    <row r="134" spans="1:10" hidden="1">
      <c r="A134" t="s">
        <v>952</v>
      </c>
      <c r="B134" t="s">
        <v>958</v>
      </c>
      <c r="C134" t="s">
        <v>959</v>
      </c>
      <c r="D134" s="7" t="s">
        <v>1084</v>
      </c>
      <c r="E134" s="7" t="s">
        <v>1085</v>
      </c>
      <c r="F134" s="7" t="s">
        <v>1235</v>
      </c>
      <c r="G134" s="7" t="s">
        <v>1226</v>
      </c>
      <c r="H134" s="7" t="s">
        <v>1226</v>
      </c>
      <c r="I134" s="13">
        <v>0.23</v>
      </c>
      <c r="J134" s="8">
        <f>JMM_Total[[#This Row],[Valor Ilíquido]]*(1+JMM_Total[[#This Row],[IVA]])</f>
        <v>110.7</v>
      </c>
    </row>
    <row r="135" spans="1:10">
      <c r="A135" t="s">
        <v>952</v>
      </c>
      <c r="B135" t="s">
        <v>960</v>
      </c>
      <c r="C135" t="s">
        <v>961</v>
      </c>
      <c r="D135" s="7" t="s">
        <v>1094</v>
      </c>
      <c r="E135" s="7" t="s">
        <v>1256</v>
      </c>
      <c r="F135" s="7" t="s">
        <v>1257</v>
      </c>
      <c r="G135" s="7" t="s">
        <v>1226</v>
      </c>
      <c r="H135" s="7" t="s">
        <v>1226</v>
      </c>
      <c r="I135" s="13">
        <v>0.23</v>
      </c>
      <c r="J135" s="8">
        <f>JMM_Total[[#This Row],[Valor Ilíquido]]*(1+JMM_Total[[#This Row],[IVA]])</f>
        <v>580.70759999999996</v>
      </c>
    </row>
    <row r="136" spans="1:10">
      <c r="A136" t="s">
        <v>962</v>
      </c>
      <c r="B136" t="s">
        <v>885</v>
      </c>
      <c r="C136" t="s">
        <v>886</v>
      </c>
      <c r="D136" s="7" t="s">
        <v>1121</v>
      </c>
      <c r="E136" s="7" t="s">
        <v>1258</v>
      </c>
      <c r="F136" s="7" t="s">
        <v>1259</v>
      </c>
      <c r="G136" s="7" t="s">
        <v>1226</v>
      </c>
      <c r="H136" s="7" t="s">
        <v>1226</v>
      </c>
      <c r="I136" s="13">
        <v>0.23</v>
      </c>
      <c r="J136" s="8">
        <f>JMM_Total[[#This Row],[Valor Ilíquido]]*(1+JMM_Total[[#This Row],[IVA]])</f>
        <v>707.00399999999991</v>
      </c>
    </row>
    <row r="137" spans="1:10">
      <c r="A137" t="s">
        <v>963</v>
      </c>
      <c r="B137" t="s">
        <v>926</v>
      </c>
      <c r="C137" t="s">
        <v>927</v>
      </c>
      <c r="D137" s="7" t="s">
        <v>1260</v>
      </c>
      <c r="E137" s="7" t="s">
        <v>1261</v>
      </c>
      <c r="F137" s="7" t="s">
        <v>1262</v>
      </c>
      <c r="G137" s="7" t="s">
        <v>1226</v>
      </c>
      <c r="H137" s="7" t="s">
        <v>1226</v>
      </c>
      <c r="I137" s="13">
        <v>0.23</v>
      </c>
      <c r="J137" s="8">
        <f>JMM_Total[[#This Row],[Valor Ilíquido]]*(1+JMM_Total[[#This Row],[IVA]])</f>
        <v>548.70299999999997</v>
      </c>
    </row>
    <row r="138" spans="1:10" hidden="1">
      <c r="A138" t="s">
        <v>963</v>
      </c>
      <c r="B138" t="s">
        <v>964</v>
      </c>
      <c r="C138" t="s">
        <v>965</v>
      </c>
      <c r="D138" s="7" t="s">
        <v>1084</v>
      </c>
      <c r="E138" s="7" t="s">
        <v>1085</v>
      </c>
      <c r="F138" s="7" t="s">
        <v>1235</v>
      </c>
      <c r="G138" s="7" t="s">
        <v>1226</v>
      </c>
      <c r="H138" s="7" t="s">
        <v>1226</v>
      </c>
      <c r="I138" s="13">
        <v>0.23</v>
      </c>
      <c r="J138" s="8">
        <f>JMM_Total[[#This Row],[Valor Ilíquido]]*(1+JMM_Total[[#This Row],[IVA]])</f>
        <v>110.7</v>
      </c>
    </row>
    <row r="139" spans="1:10">
      <c r="A139" t="s">
        <v>963</v>
      </c>
      <c r="B139" t="s">
        <v>966</v>
      </c>
      <c r="C139" t="s">
        <v>967</v>
      </c>
      <c r="D139" s="7" t="s">
        <v>1205</v>
      </c>
      <c r="E139" s="7" t="s">
        <v>1263</v>
      </c>
      <c r="F139" s="7" t="s">
        <v>1264</v>
      </c>
      <c r="G139" s="7" t="s">
        <v>1226</v>
      </c>
      <c r="H139" s="7" t="s">
        <v>1226</v>
      </c>
      <c r="I139" s="13">
        <v>0.23</v>
      </c>
      <c r="J139" s="8">
        <f>JMM_Total[[#This Row],[Valor Ilíquido]]*(1+JMM_Total[[#This Row],[IVA]])</f>
        <v>227.79599999999999</v>
      </c>
    </row>
    <row r="140" spans="1:10" hidden="1">
      <c r="A140" t="s">
        <v>963</v>
      </c>
      <c r="B140" t="s">
        <v>968</v>
      </c>
      <c r="C140" t="s">
        <v>969</v>
      </c>
      <c r="D140" s="7" t="s">
        <v>1084</v>
      </c>
      <c r="E140" s="7" t="s">
        <v>1085</v>
      </c>
      <c r="F140" s="7" t="s">
        <v>1235</v>
      </c>
      <c r="G140" s="7" t="s">
        <v>1226</v>
      </c>
      <c r="H140" s="7" t="s">
        <v>1226</v>
      </c>
      <c r="I140" s="13">
        <v>0.23</v>
      </c>
      <c r="J140" s="8">
        <f>JMM_Total[[#This Row],[Valor Ilíquido]]*(1+JMM_Total[[#This Row],[IVA]])</f>
        <v>110.7</v>
      </c>
    </row>
    <row r="141" spans="1:10" hidden="1">
      <c r="A141" t="s">
        <v>963</v>
      </c>
      <c r="B141" t="s">
        <v>1133</v>
      </c>
      <c r="C141" t="s">
        <v>661</v>
      </c>
      <c r="D141" s="7" t="s">
        <v>1084</v>
      </c>
      <c r="E141" s="7" t="s">
        <v>1265</v>
      </c>
      <c r="F141" s="7" t="s">
        <v>1266</v>
      </c>
      <c r="G141" s="7" t="s">
        <v>1226</v>
      </c>
      <c r="H141" s="7" t="s">
        <v>1226</v>
      </c>
      <c r="I141" s="13">
        <v>0.23</v>
      </c>
      <c r="J141" s="8">
        <f>JMM_Total[[#This Row],[Valor Ilíquido]]*(1+JMM_Total[[#This Row],[IVA]])</f>
        <v>45.51</v>
      </c>
    </row>
    <row r="142" spans="1:10">
      <c r="A142" t="s">
        <v>970</v>
      </c>
      <c r="B142" t="s">
        <v>885</v>
      </c>
      <c r="C142" t="s">
        <v>931</v>
      </c>
      <c r="D142" s="7" t="s">
        <v>1121</v>
      </c>
      <c r="E142" s="7" t="s">
        <v>1258</v>
      </c>
      <c r="F142" s="7" t="s">
        <v>1259</v>
      </c>
      <c r="G142" s="7" t="s">
        <v>1226</v>
      </c>
      <c r="H142" s="7" t="s">
        <v>1226</v>
      </c>
      <c r="I142" s="13">
        <v>0.23</v>
      </c>
      <c r="J142" s="8">
        <f>JMM_Total[[#This Row],[Valor Ilíquido]]*(1+JMM_Total[[#This Row],[IVA]])</f>
        <v>707.00399999999991</v>
      </c>
    </row>
    <row r="143" spans="1:10">
      <c r="A143" t="s">
        <v>970</v>
      </c>
      <c r="B143" t="s">
        <v>926</v>
      </c>
      <c r="C143" t="s">
        <v>927</v>
      </c>
      <c r="D143" s="7" t="s">
        <v>1260</v>
      </c>
      <c r="E143" s="7" t="s">
        <v>1261</v>
      </c>
      <c r="F143" s="7" t="s">
        <v>1262</v>
      </c>
      <c r="G143" s="7" t="s">
        <v>1226</v>
      </c>
      <c r="H143" s="7" t="s">
        <v>1226</v>
      </c>
      <c r="I143" s="13">
        <v>0.23</v>
      </c>
      <c r="J143" s="8">
        <f>JMM_Total[[#This Row],[Valor Ilíquido]]*(1+JMM_Total[[#This Row],[IVA]])</f>
        <v>548.70299999999997</v>
      </c>
    </row>
    <row r="144" spans="1:10" hidden="1">
      <c r="A144" t="s">
        <v>970</v>
      </c>
      <c r="B144" t="s">
        <v>964</v>
      </c>
      <c r="C144" t="s">
        <v>965</v>
      </c>
      <c r="D144" s="7" t="s">
        <v>1084</v>
      </c>
      <c r="E144" s="7" t="s">
        <v>1085</v>
      </c>
      <c r="F144" s="7" t="s">
        <v>1235</v>
      </c>
      <c r="G144" s="7" t="s">
        <v>1226</v>
      </c>
      <c r="H144" s="7" t="s">
        <v>1226</v>
      </c>
      <c r="I144" s="13">
        <v>0.23</v>
      </c>
      <c r="J144" s="8">
        <f>JMM_Total[[#This Row],[Valor Ilíquido]]*(1+JMM_Total[[#This Row],[IVA]])</f>
        <v>110.7</v>
      </c>
    </row>
    <row r="145" spans="1:10">
      <c r="A145" t="s">
        <v>970</v>
      </c>
      <c r="B145" t="s">
        <v>966</v>
      </c>
      <c r="C145" t="s">
        <v>967</v>
      </c>
      <c r="D145" s="7" t="s">
        <v>1205</v>
      </c>
      <c r="E145" s="7" t="s">
        <v>1263</v>
      </c>
      <c r="F145" s="7" t="s">
        <v>1264</v>
      </c>
      <c r="G145" s="7" t="s">
        <v>1226</v>
      </c>
      <c r="H145" s="7" t="s">
        <v>1226</v>
      </c>
      <c r="I145" s="13">
        <v>0.23</v>
      </c>
      <c r="J145" s="8">
        <f>JMM_Total[[#This Row],[Valor Ilíquido]]*(1+JMM_Total[[#This Row],[IVA]])</f>
        <v>227.79599999999999</v>
      </c>
    </row>
    <row r="146" spans="1:10" hidden="1">
      <c r="A146" t="s">
        <v>970</v>
      </c>
      <c r="B146" t="s">
        <v>968</v>
      </c>
      <c r="C146" t="s">
        <v>969</v>
      </c>
      <c r="D146" s="7" t="s">
        <v>1084</v>
      </c>
      <c r="E146" s="7" t="s">
        <v>1085</v>
      </c>
      <c r="F146" s="7" t="s">
        <v>1235</v>
      </c>
      <c r="G146" s="7" t="s">
        <v>1226</v>
      </c>
      <c r="H146" s="7" t="s">
        <v>1226</v>
      </c>
      <c r="I146" s="13">
        <v>0.23</v>
      </c>
      <c r="J146" s="8">
        <f>JMM_Total[[#This Row],[Valor Ilíquido]]*(1+JMM_Total[[#This Row],[IVA]])</f>
        <v>110.7</v>
      </c>
    </row>
    <row r="147" spans="1:10" hidden="1">
      <c r="A147" t="s">
        <v>970</v>
      </c>
      <c r="B147" t="s">
        <v>971</v>
      </c>
      <c r="C147" t="s">
        <v>972</v>
      </c>
      <c r="D147" s="7" t="s">
        <v>1267</v>
      </c>
      <c r="E147" s="7" t="s">
        <v>1268</v>
      </c>
      <c r="F147" s="7" t="s">
        <v>1270</v>
      </c>
      <c r="G147" s="7" t="s">
        <v>1269</v>
      </c>
      <c r="H147" s="7" t="s">
        <v>1226</v>
      </c>
      <c r="I147" s="13">
        <v>0.23</v>
      </c>
      <c r="J147" s="8">
        <f>JMM_Total[[#This Row],[Valor Ilíquido]]*(1+JMM_Total[[#This Row],[IVA]])</f>
        <v>4.4526000000000003</v>
      </c>
    </row>
    <row r="148" spans="1:10" hidden="1">
      <c r="A148" t="s">
        <v>970</v>
      </c>
      <c r="B148" t="s">
        <v>973</v>
      </c>
      <c r="C148" t="s">
        <v>974</v>
      </c>
      <c r="D148" s="7" t="s">
        <v>1267</v>
      </c>
      <c r="E148" s="7" t="s">
        <v>1271</v>
      </c>
      <c r="F148" s="7" t="s">
        <v>1272</v>
      </c>
      <c r="G148" s="7" t="s">
        <v>1269</v>
      </c>
      <c r="H148" s="7" t="s">
        <v>1226</v>
      </c>
      <c r="I148" s="13">
        <v>0.23</v>
      </c>
      <c r="J148" s="8">
        <f>JMM_Total[[#This Row],[Valor Ilíquido]]*(1+JMM_Total[[#This Row],[IVA]])</f>
        <v>1.3776000000000002</v>
      </c>
    </row>
    <row r="149" spans="1:10" hidden="1">
      <c r="A149" t="s">
        <v>970</v>
      </c>
      <c r="B149" t="s">
        <v>975</v>
      </c>
      <c r="C149" t="s">
        <v>976</v>
      </c>
      <c r="D149" s="7" t="s">
        <v>1267</v>
      </c>
      <c r="E149" s="7" t="s">
        <v>1273</v>
      </c>
      <c r="F149" s="7" t="s">
        <v>1274</v>
      </c>
      <c r="G149" s="7" t="s">
        <v>1269</v>
      </c>
      <c r="H149" s="7" t="s">
        <v>1226</v>
      </c>
      <c r="I149" s="13">
        <v>0.23</v>
      </c>
      <c r="J149" s="8">
        <f>JMM_Total[[#This Row],[Valor Ilíquido]]*(1+JMM_Total[[#This Row],[IVA]])</f>
        <v>1.4883</v>
      </c>
    </row>
    <row r="150" spans="1:10">
      <c r="A150" t="s">
        <v>977</v>
      </c>
      <c r="B150" t="s">
        <v>966</v>
      </c>
      <c r="C150" t="s">
        <v>978</v>
      </c>
      <c r="D150" s="7" t="s">
        <v>1094</v>
      </c>
      <c r="E150" s="7" t="s">
        <v>1275</v>
      </c>
      <c r="F150" s="7" t="s">
        <v>1276</v>
      </c>
      <c r="G150" s="7" t="s">
        <v>1226</v>
      </c>
      <c r="H150" s="7" t="s">
        <v>1226</v>
      </c>
      <c r="I150" s="13">
        <v>0.23</v>
      </c>
      <c r="J150" s="8">
        <f>JMM_Total[[#This Row],[Valor Ilíquido]]*(1+JMM_Total[[#This Row],[IVA]])</f>
        <v>94.820700000000002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4C099-5539-4A93-A870-671EE85E5A74}">
  <dimension ref="A1:B24"/>
  <sheetViews>
    <sheetView workbookViewId="0">
      <selection activeCell="A5" sqref="A5"/>
    </sheetView>
  </sheetViews>
  <sheetFormatPr defaultRowHeight="15"/>
  <cols>
    <col min="1" max="1" width="40.140625" bestFit="1" customWidth="1"/>
    <col min="2" max="2" width="10.42578125" bestFit="1" customWidth="1"/>
  </cols>
  <sheetData>
    <row r="1" spans="1:2">
      <c r="A1" t="s">
        <v>0</v>
      </c>
      <c r="B1" t="s">
        <v>611</v>
      </c>
    </row>
    <row r="2" spans="1:2">
      <c r="A2" t="s">
        <v>884</v>
      </c>
      <c r="B2" t="s">
        <v>1277</v>
      </c>
    </row>
    <row r="3" spans="1:2">
      <c r="A3" t="s">
        <v>893</v>
      </c>
      <c r="B3" t="s">
        <v>1278</v>
      </c>
    </row>
    <row r="4" spans="1:2">
      <c r="A4" t="s">
        <v>900</v>
      </c>
      <c r="B4" t="s">
        <v>1279</v>
      </c>
    </row>
    <row r="5" spans="1:2">
      <c r="A5" t="s">
        <v>913</v>
      </c>
      <c r="B5" t="s">
        <v>1280</v>
      </c>
    </row>
    <row r="6" spans="1:2">
      <c r="A6" t="s">
        <v>916</v>
      </c>
      <c r="B6" t="s">
        <v>1281</v>
      </c>
    </row>
    <row r="7" spans="1:2">
      <c r="A7" t="s">
        <v>921</v>
      </c>
      <c r="B7" t="s">
        <v>1282</v>
      </c>
    </row>
    <row r="8" spans="1:2">
      <c r="A8" t="s">
        <v>924</v>
      </c>
      <c r="B8" t="s">
        <v>1283</v>
      </c>
    </row>
    <row r="9" spans="1:2">
      <c r="A9" t="s">
        <v>979</v>
      </c>
      <c r="B9" t="s">
        <v>1284</v>
      </c>
    </row>
    <row r="10" spans="1:2">
      <c r="A10" t="s">
        <v>997</v>
      </c>
      <c r="B10" t="s">
        <v>1285</v>
      </c>
    </row>
    <row r="11" spans="1:2">
      <c r="A11" t="s">
        <v>1002</v>
      </c>
      <c r="B11" t="s">
        <v>1286</v>
      </c>
    </row>
    <row r="12" spans="1:2">
      <c r="A12" t="s">
        <v>1008</v>
      </c>
      <c r="B12" t="s">
        <v>1287</v>
      </c>
    </row>
    <row r="13" spans="1:2">
      <c r="A13" t="s">
        <v>1015</v>
      </c>
      <c r="B13" t="s">
        <v>1288</v>
      </c>
    </row>
    <row r="14" spans="1:2">
      <c r="A14" t="s">
        <v>1024</v>
      </c>
      <c r="B14" t="s">
        <v>1289</v>
      </c>
    </row>
    <row r="15" spans="1:2">
      <c r="A15" t="s">
        <v>1030</v>
      </c>
      <c r="B15" t="s">
        <v>1290</v>
      </c>
    </row>
    <row r="16" spans="1:2">
      <c r="A16" t="s">
        <v>1031</v>
      </c>
      <c r="B16" t="s">
        <v>1291</v>
      </c>
    </row>
    <row r="17" spans="1:2">
      <c r="A17" t="s">
        <v>1040</v>
      </c>
      <c r="B17" t="s">
        <v>1292</v>
      </c>
    </row>
    <row r="18" spans="1:2">
      <c r="A18" t="s">
        <v>1043</v>
      </c>
      <c r="B18" t="s">
        <v>1293</v>
      </c>
    </row>
    <row r="19" spans="1:2">
      <c r="A19" t="s">
        <v>1050</v>
      </c>
      <c r="B19" t="s">
        <v>1294</v>
      </c>
    </row>
    <row r="20" spans="1:2">
      <c r="A20" t="s">
        <v>1055</v>
      </c>
      <c r="B20" t="s">
        <v>1295</v>
      </c>
    </row>
    <row r="21" spans="1:2">
      <c r="A21" t="s">
        <v>1056</v>
      </c>
      <c r="B21" t="s">
        <v>1296</v>
      </c>
    </row>
    <row r="22" spans="1:2">
      <c r="A22" t="s">
        <v>1059</v>
      </c>
      <c r="B22" t="s">
        <v>1297</v>
      </c>
    </row>
    <row r="23" spans="1:2">
      <c r="A23" t="s">
        <v>1070</v>
      </c>
      <c r="B23" t="s">
        <v>1298</v>
      </c>
    </row>
    <row r="24" spans="1:2">
      <c r="A24" t="s">
        <v>1072</v>
      </c>
      <c r="B24" t="s">
        <v>1299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C232F-6DB6-4691-98FB-B8D64ECB7C12}">
  <dimension ref="A1:B14"/>
  <sheetViews>
    <sheetView workbookViewId="0">
      <selection activeCell="A10" sqref="A10"/>
    </sheetView>
  </sheetViews>
  <sheetFormatPr defaultRowHeight="15"/>
  <cols>
    <col min="1" max="1" width="58" bestFit="1" customWidth="1"/>
    <col min="2" max="2" width="10.42578125" bestFit="1" customWidth="1"/>
    <col min="3" max="3" width="22" bestFit="1" customWidth="1"/>
    <col min="4" max="5" width="21.5703125" bestFit="1" customWidth="1"/>
    <col min="6" max="7" width="17" bestFit="1" customWidth="1"/>
    <col min="8" max="8" width="41.28515625" bestFit="1" customWidth="1"/>
    <col min="9" max="9" width="42.140625" bestFit="1" customWidth="1"/>
    <col min="10" max="10" width="11.140625" bestFit="1" customWidth="1"/>
    <col min="11" max="11" width="12.85546875" bestFit="1" customWidth="1"/>
    <col min="12" max="12" width="30.42578125" bestFit="1" customWidth="1"/>
    <col min="13" max="13" width="12.85546875" bestFit="1" customWidth="1"/>
    <col min="14" max="14" width="31.42578125" bestFit="1" customWidth="1"/>
    <col min="15" max="15" width="16.140625" bestFit="1" customWidth="1"/>
    <col min="16" max="16" width="24.5703125" bestFit="1" customWidth="1"/>
    <col min="17" max="17" width="29.42578125" bestFit="1" customWidth="1"/>
    <col min="18" max="18" width="16.140625" bestFit="1" customWidth="1"/>
    <col min="19" max="20" width="15.5703125" bestFit="1" customWidth="1"/>
    <col min="21" max="21" width="16.140625" bestFit="1" customWidth="1"/>
    <col min="22" max="22" width="15.5703125" bestFit="1" customWidth="1"/>
    <col min="23" max="23" width="13.140625" bestFit="1" customWidth="1"/>
  </cols>
  <sheetData>
    <row r="1" spans="1:2">
      <c r="A1" t="s">
        <v>0</v>
      </c>
      <c r="B1" t="s">
        <v>611</v>
      </c>
    </row>
    <row r="2" spans="1:2">
      <c r="A2" t="s">
        <v>925</v>
      </c>
      <c r="B2" s="6">
        <v>45496</v>
      </c>
    </row>
    <row r="3" spans="1:2">
      <c r="A3" t="s">
        <v>930</v>
      </c>
      <c r="B3" s="6">
        <v>45700</v>
      </c>
    </row>
    <row r="4" spans="1:2">
      <c r="A4" t="s">
        <v>932</v>
      </c>
      <c r="B4" s="6">
        <v>45688</v>
      </c>
    </row>
    <row r="5" spans="1:2">
      <c r="A5" t="s">
        <v>945</v>
      </c>
      <c r="B5" s="6">
        <v>45576</v>
      </c>
    </row>
    <row r="6" spans="1:2">
      <c r="A6" t="s">
        <v>921</v>
      </c>
      <c r="B6" s="6">
        <v>45746</v>
      </c>
    </row>
    <row r="7" spans="1:2">
      <c r="A7" t="s">
        <v>948</v>
      </c>
      <c r="B7" s="6">
        <v>45539</v>
      </c>
    </row>
    <row r="8" spans="1:2">
      <c r="A8" t="s">
        <v>951</v>
      </c>
      <c r="B8" s="6">
        <v>45611</v>
      </c>
    </row>
    <row r="9" spans="1:2">
      <c r="A9" t="s">
        <v>952</v>
      </c>
      <c r="B9" s="6">
        <v>45629</v>
      </c>
    </row>
    <row r="10" spans="1:2">
      <c r="A10" t="s">
        <v>962</v>
      </c>
      <c r="B10" s="6">
        <v>45524</v>
      </c>
    </row>
    <row r="11" spans="1:2">
      <c r="A11" t="s">
        <v>963</v>
      </c>
      <c r="B11" s="6">
        <v>45524</v>
      </c>
    </row>
    <row r="12" spans="1:2">
      <c r="A12" t="s">
        <v>970</v>
      </c>
      <c r="B12" s="6">
        <v>45523</v>
      </c>
    </row>
    <row r="13" spans="1:2">
      <c r="A13" t="s">
        <v>977</v>
      </c>
      <c r="B13" s="6">
        <v>45562</v>
      </c>
    </row>
    <row r="14" spans="1:2">
      <c r="A14" t="s">
        <v>1055</v>
      </c>
      <c r="B14" s="6">
        <v>45975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E2CB4-7DCB-4600-B325-FFD19A593564}">
  <dimension ref="A1:B37"/>
  <sheetViews>
    <sheetView workbookViewId="0">
      <selection activeCell="C11" sqref="C11"/>
    </sheetView>
  </sheetViews>
  <sheetFormatPr defaultRowHeight="15"/>
  <cols>
    <col min="1" max="1" width="58" bestFit="1" customWidth="1"/>
    <col min="2" max="2" width="10.42578125" bestFit="1" customWidth="1"/>
  </cols>
  <sheetData>
    <row r="1" spans="1:2">
      <c r="A1" t="s">
        <v>0</v>
      </c>
      <c r="B1" t="s">
        <v>611</v>
      </c>
    </row>
    <row r="2" spans="1:2">
      <c r="A2" t="s">
        <v>884</v>
      </c>
      <c r="B2" s="6">
        <v>45961</v>
      </c>
    </row>
    <row r="3" spans="1:2">
      <c r="A3" t="s">
        <v>893</v>
      </c>
      <c r="B3" s="6">
        <v>45869</v>
      </c>
    </row>
    <row r="4" spans="1:2">
      <c r="A4" t="s">
        <v>900</v>
      </c>
      <c r="B4" s="6">
        <v>45918</v>
      </c>
    </row>
    <row r="5" spans="1:2">
      <c r="A5" t="s">
        <v>913</v>
      </c>
      <c r="B5" s="6">
        <v>45777</v>
      </c>
    </row>
    <row r="6" spans="1:2">
      <c r="A6" t="s">
        <v>916</v>
      </c>
      <c r="B6" s="6">
        <v>45838</v>
      </c>
    </row>
    <row r="7" spans="1:2">
      <c r="A7" t="s">
        <v>921</v>
      </c>
      <c r="B7" s="6">
        <v>45716</v>
      </c>
    </row>
    <row r="8" spans="1:2">
      <c r="A8" t="s">
        <v>924</v>
      </c>
      <c r="B8" s="6">
        <v>46203</v>
      </c>
    </row>
    <row r="9" spans="1:2">
      <c r="A9" t="s">
        <v>979</v>
      </c>
      <c r="B9" s="6">
        <v>45762</v>
      </c>
    </row>
    <row r="10" spans="1:2">
      <c r="A10" t="s">
        <v>997</v>
      </c>
      <c r="B10" s="6">
        <v>45730</v>
      </c>
    </row>
    <row r="11" spans="1:2">
      <c r="A11" t="s">
        <v>1002</v>
      </c>
      <c r="B11" s="6">
        <v>45898</v>
      </c>
    </row>
    <row r="12" spans="1:2">
      <c r="A12" t="s">
        <v>1008</v>
      </c>
      <c r="B12" s="6">
        <v>46008</v>
      </c>
    </row>
    <row r="13" spans="1:2">
      <c r="A13" t="s">
        <v>1015</v>
      </c>
      <c r="B13" s="6">
        <v>46038</v>
      </c>
    </row>
    <row r="14" spans="1:2">
      <c r="A14" t="s">
        <v>1024</v>
      </c>
      <c r="B14" s="6">
        <v>46052</v>
      </c>
    </row>
    <row r="15" spans="1:2">
      <c r="A15" t="s">
        <v>1030</v>
      </c>
      <c r="B15" s="6">
        <v>46080</v>
      </c>
    </row>
    <row r="16" spans="1:2">
      <c r="A16" t="s">
        <v>1031</v>
      </c>
      <c r="B16" s="6">
        <v>46171</v>
      </c>
    </row>
    <row r="17" spans="1:2">
      <c r="A17" t="s">
        <v>1040</v>
      </c>
      <c r="B17" s="6">
        <v>45989</v>
      </c>
    </row>
    <row r="18" spans="1:2">
      <c r="A18" t="s">
        <v>1043</v>
      </c>
      <c r="B18" s="6">
        <v>45911</v>
      </c>
    </row>
    <row r="19" spans="1:2">
      <c r="A19" t="s">
        <v>1050</v>
      </c>
      <c r="B19" s="6">
        <v>45930</v>
      </c>
    </row>
    <row r="20" spans="1:2">
      <c r="A20" t="s">
        <v>1055</v>
      </c>
      <c r="B20" s="6">
        <v>45945</v>
      </c>
    </row>
    <row r="21" spans="1:2">
      <c r="A21" t="s">
        <v>1056</v>
      </c>
      <c r="B21" s="6">
        <v>46106</v>
      </c>
    </row>
    <row r="22" spans="1:2">
      <c r="A22" t="s">
        <v>1059</v>
      </c>
      <c r="B22" s="6">
        <v>46157</v>
      </c>
    </row>
    <row r="23" spans="1:2">
      <c r="A23" t="s">
        <v>1070</v>
      </c>
      <c r="B23" s="6">
        <v>46220</v>
      </c>
    </row>
    <row r="24" spans="1:2">
      <c r="A24" t="s">
        <v>1072</v>
      </c>
      <c r="B24" s="6">
        <v>46178</v>
      </c>
    </row>
    <row r="25" spans="1:2">
      <c r="A25" t="s">
        <v>925</v>
      </c>
      <c r="B25" s="6">
        <v>45496</v>
      </c>
    </row>
    <row r="26" spans="1:2">
      <c r="A26" t="s">
        <v>930</v>
      </c>
      <c r="B26" s="6">
        <v>45700</v>
      </c>
    </row>
    <row r="27" spans="1:2">
      <c r="A27" t="s">
        <v>932</v>
      </c>
      <c r="B27" s="6">
        <v>45688</v>
      </c>
    </row>
    <row r="28" spans="1:2">
      <c r="A28" t="s">
        <v>945</v>
      </c>
      <c r="B28" s="6">
        <v>45576</v>
      </c>
    </row>
    <row r="29" spans="1:2">
      <c r="A29" t="s">
        <v>921</v>
      </c>
      <c r="B29" s="6">
        <v>45746</v>
      </c>
    </row>
    <row r="30" spans="1:2">
      <c r="A30" t="s">
        <v>948</v>
      </c>
      <c r="B30" s="6">
        <v>45539</v>
      </c>
    </row>
    <row r="31" spans="1:2">
      <c r="A31" t="s">
        <v>951</v>
      </c>
      <c r="B31" s="6">
        <v>45611</v>
      </c>
    </row>
    <row r="32" spans="1:2">
      <c r="A32" t="s">
        <v>952</v>
      </c>
      <c r="B32" s="6">
        <v>45629</v>
      </c>
    </row>
    <row r="33" spans="1:2">
      <c r="A33" t="s">
        <v>962</v>
      </c>
      <c r="B33" s="6">
        <v>45524</v>
      </c>
    </row>
    <row r="34" spans="1:2">
      <c r="A34" t="s">
        <v>963</v>
      </c>
      <c r="B34" s="6">
        <v>45524</v>
      </c>
    </row>
    <row r="35" spans="1:2">
      <c r="A35" t="s">
        <v>970</v>
      </c>
      <c r="B35" s="6">
        <v>45523</v>
      </c>
    </row>
    <row r="36" spans="1:2">
      <c r="A36" t="s">
        <v>977</v>
      </c>
      <c r="B36" s="6">
        <v>45562</v>
      </c>
    </row>
    <row r="37" spans="1:2">
      <c r="A37" t="s">
        <v>1055</v>
      </c>
      <c r="B37" s="6">
        <v>45975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29CDD-2E97-426C-AEE9-6AF0C67AE428}">
  <dimension ref="A1:L153"/>
  <sheetViews>
    <sheetView workbookViewId="0">
      <selection activeCell="L5" sqref="L5"/>
    </sheetView>
  </sheetViews>
  <sheetFormatPr defaultRowHeight="15"/>
  <cols>
    <col min="1" max="1" width="13.42578125" bestFit="1" customWidth="1"/>
    <col min="2" max="2" width="58" bestFit="1" customWidth="1"/>
    <col min="3" max="3" width="20" bestFit="1" customWidth="1"/>
    <col min="4" max="4" width="41.7109375" bestFit="1" customWidth="1"/>
    <col min="5" max="5" width="46" bestFit="1" customWidth="1"/>
    <col min="6" max="6" width="16.85546875" bestFit="1" customWidth="1"/>
    <col min="7" max="8" width="8.42578125" bestFit="1" customWidth="1"/>
    <col min="9" max="9" width="46" bestFit="1" customWidth="1"/>
    <col min="10" max="10" width="6.42578125" bestFit="1" customWidth="1"/>
    <col min="11" max="11" width="10.42578125" customWidth="1"/>
    <col min="12" max="12" width="11.5703125" customWidth="1"/>
  </cols>
  <sheetData>
    <row r="1" spans="1:11">
      <c r="A1" t="s">
        <v>1300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1222</v>
      </c>
      <c r="H1" t="s">
        <v>1223</v>
      </c>
      <c r="I1" t="s">
        <v>1077</v>
      </c>
      <c r="J1" t="s">
        <v>1224</v>
      </c>
      <c r="K1" t="s">
        <v>611</v>
      </c>
    </row>
    <row r="2" spans="1:11">
      <c r="A2" t="s">
        <v>1301</v>
      </c>
      <c r="B2" t="s">
        <v>884</v>
      </c>
      <c r="C2" t="s">
        <v>885</v>
      </c>
      <c r="D2" t="s">
        <v>886</v>
      </c>
      <c r="E2" t="s">
        <v>1078</v>
      </c>
      <c r="F2" s="7" t="s">
        <v>1079</v>
      </c>
      <c r="G2" s="7"/>
      <c r="H2" s="7"/>
      <c r="I2" s="7" t="s">
        <v>1080</v>
      </c>
      <c r="J2" s="7"/>
      <c r="K2" s="9">
        <v>45961</v>
      </c>
    </row>
    <row r="3" spans="1:11">
      <c r="A3" t="s">
        <v>1301</v>
      </c>
      <c r="B3" t="s">
        <v>884</v>
      </c>
      <c r="C3" t="s">
        <v>887</v>
      </c>
      <c r="D3" t="s">
        <v>888</v>
      </c>
      <c r="E3" t="s">
        <v>1081</v>
      </c>
      <c r="F3" s="7" t="s">
        <v>1082</v>
      </c>
      <c r="G3" s="7"/>
      <c r="H3" s="7"/>
      <c r="I3" s="7" t="s">
        <v>1083</v>
      </c>
      <c r="J3" s="7"/>
      <c r="K3" s="9">
        <v>45961</v>
      </c>
    </row>
    <row r="4" spans="1:11">
      <c r="A4" t="s">
        <v>1301</v>
      </c>
      <c r="B4" t="s">
        <v>884</v>
      </c>
      <c r="C4" t="s">
        <v>889</v>
      </c>
      <c r="D4" t="s">
        <v>890</v>
      </c>
      <c r="E4" t="s">
        <v>1084</v>
      </c>
      <c r="F4" s="7" t="s">
        <v>1085</v>
      </c>
      <c r="G4" s="7"/>
      <c r="H4" s="7"/>
      <c r="I4" s="7" t="s">
        <v>1086</v>
      </c>
      <c r="J4" s="7"/>
      <c r="K4" s="9">
        <v>45961</v>
      </c>
    </row>
    <row r="5" spans="1:11">
      <c r="A5" t="s">
        <v>1301</v>
      </c>
      <c r="B5" t="s">
        <v>884</v>
      </c>
      <c r="C5" t="s">
        <v>891</v>
      </c>
      <c r="D5" t="s">
        <v>892</v>
      </c>
      <c r="E5" t="s">
        <v>1087</v>
      </c>
      <c r="F5" s="7" t="s">
        <v>1088</v>
      </c>
      <c r="G5" s="7"/>
      <c r="H5" s="7"/>
      <c r="I5" s="7" t="s">
        <v>1089</v>
      </c>
      <c r="J5" s="7"/>
      <c r="K5" s="9">
        <v>45961</v>
      </c>
    </row>
    <row r="6" spans="1:11">
      <c r="A6" t="s">
        <v>1301</v>
      </c>
      <c r="B6" t="s">
        <v>893</v>
      </c>
      <c r="C6" t="s">
        <v>894</v>
      </c>
      <c r="D6" t="s">
        <v>895</v>
      </c>
      <c r="E6" t="s">
        <v>1090</v>
      </c>
      <c r="F6" s="7" t="s">
        <v>1091</v>
      </c>
      <c r="G6" s="7"/>
      <c r="H6" s="7"/>
      <c r="I6" s="7" t="s">
        <v>1090</v>
      </c>
      <c r="J6" s="7"/>
      <c r="K6" s="9">
        <v>45869</v>
      </c>
    </row>
    <row r="7" spans="1:11">
      <c r="A7" t="s">
        <v>1301</v>
      </c>
      <c r="B7" t="s">
        <v>893</v>
      </c>
      <c r="C7" t="s">
        <v>885</v>
      </c>
      <c r="D7" t="s">
        <v>886</v>
      </c>
      <c r="E7" t="s">
        <v>1078</v>
      </c>
      <c r="F7" s="7" t="s">
        <v>1093</v>
      </c>
      <c r="G7" s="7"/>
      <c r="H7" s="7"/>
      <c r="I7" s="7" t="s">
        <v>1078</v>
      </c>
      <c r="J7" s="7"/>
      <c r="K7" s="9">
        <v>45869</v>
      </c>
    </row>
    <row r="8" spans="1:11">
      <c r="A8" t="s">
        <v>1301</v>
      </c>
      <c r="B8" t="s">
        <v>893</v>
      </c>
      <c r="C8" t="s">
        <v>896</v>
      </c>
      <c r="D8" t="s">
        <v>897</v>
      </c>
      <c r="E8" t="s">
        <v>1094</v>
      </c>
      <c r="F8" s="7" t="s">
        <v>1095</v>
      </c>
      <c r="G8" s="7"/>
      <c r="H8" s="7"/>
      <c r="I8" s="7" t="s">
        <v>1094</v>
      </c>
      <c r="J8" s="7"/>
      <c r="K8" s="9">
        <v>45869</v>
      </c>
    </row>
    <row r="9" spans="1:11">
      <c r="A9" t="s">
        <v>1301</v>
      </c>
      <c r="B9" t="s">
        <v>893</v>
      </c>
      <c r="C9" t="s">
        <v>898</v>
      </c>
      <c r="D9" t="s">
        <v>899</v>
      </c>
      <c r="E9" t="s">
        <v>1084</v>
      </c>
      <c r="F9" s="7" t="s">
        <v>1085</v>
      </c>
      <c r="G9" s="7"/>
      <c r="H9" s="7"/>
      <c r="I9" s="7" t="s">
        <v>1084</v>
      </c>
      <c r="J9" s="7"/>
      <c r="K9" s="9">
        <v>45869</v>
      </c>
    </row>
    <row r="10" spans="1:11">
      <c r="A10" t="s">
        <v>1301</v>
      </c>
      <c r="B10" t="s">
        <v>900</v>
      </c>
      <c r="C10" t="s">
        <v>901</v>
      </c>
      <c r="D10" t="s">
        <v>902</v>
      </c>
      <c r="E10" t="s">
        <v>1096</v>
      </c>
      <c r="F10" s="7" t="s">
        <v>1097</v>
      </c>
      <c r="G10" s="7"/>
      <c r="H10" s="7"/>
      <c r="I10" s="7" t="s">
        <v>1096</v>
      </c>
      <c r="J10" s="7"/>
      <c r="K10" s="9">
        <v>45918</v>
      </c>
    </row>
    <row r="11" spans="1:11">
      <c r="A11" t="s">
        <v>1301</v>
      </c>
      <c r="B11" t="s">
        <v>900</v>
      </c>
      <c r="C11" t="s">
        <v>903</v>
      </c>
      <c r="D11" t="s">
        <v>904</v>
      </c>
      <c r="E11" t="s">
        <v>1084</v>
      </c>
      <c r="F11" s="7" t="s">
        <v>1098</v>
      </c>
      <c r="G11" s="7"/>
      <c r="H11" s="7"/>
      <c r="I11" s="7" t="s">
        <v>1084</v>
      </c>
      <c r="J11" s="7"/>
      <c r="K11" s="9">
        <v>45918</v>
      </c>
    </row>
    <row r="12" spans="1:11">
      <c r="A12" t="s">
        <v>1301</v>
      </c>
      <c r="B12" t="s">
        <v>900</v>
      </c>
      <c r="C12" t="s">
        <v>905</v>
      </c>
      <c r="D12" t="s">
        <v>906</v>
      </c>
      <c r="E12" t="s">
        <v>1094</v>
      </c>
      <c r="F12" s="7" t="s">
        <v>1099</v>
      </c>
      <c r="G12" s="7"/>
      <c r="H12" s="7"/>
      <c r="I12" s="7" t="s">
        <v>1094</v>
      </c>
      <c r="J12" s="7"/>
      <c r="K12" s="9">
        <v>45918</v>
      </c>
    </row>
    <row r="13" spans="1:11">
      <c r="A13" t="s">
        <v>1301</v>
      </c>
      <c r="B13" t="s">
        <v>900</v>
      </c>
      <c r="C13" t="s">
        <v>907</v>
      </c>
      <c r="D13" t="s">
        <v>908</v>
      </c>
      <c r="E13" t="s">
        <v>1084</v>
      </c>
      <c r="F13" s="7" t="s">
        <v>1085</v>
      </c>
      <c r="G13" s="7"/>
      <c r="H13" s="7"/>
      <c r="I13" s="7" t="s">
        <v>1084</v>
      </c>
      <c r="J13" s="7"/>
      <c r="K13" s="9">
        <v>45918</v>
      </c>
    </row>
    <row r="14" spans="1:11">
      <c r="A14" t="s">
        <v>1301</v>
      </c>
      <c r="B14" t="s">
        <v>900</v>
      </c>
      <c r="C14" t="s">
        <v>909</v>
      </c>
      <c r="D14" t="s">
        <v>910</v>
      </c>
      <c r="E14" t="s">
        <v>1100</v>
      </c>
      <c r="F14" s="7" t="s">
        <v>1101</v>
      </c>
      <c r="G14" s="7"/>
      <c r="H14" s="7"/>
      <c r="I14" s="7" t="s">
        <v>1100</v>
      </c>
      <c r="J14" s="7"/>
      <c r="K14" s="9">
        <v>45918</v>
      </c>
    </row>
    <row r="15" spans="1:11">
      <c r="A15" t="s">
        <v>1301</v>
      </c>
      <c r="B15" t="s">
        <v>900</v>
      </c>
      <c r="C15" t="s">
        <v>911</v>
      </c>
      <c r="D15" t="s">
        <v>912</v>
      </c>
      <c r="E15" t="s">
        <v>1102</v>
      </c>
      <c r="F15" s="7" t="s">
        <v>1103</v>
      </c>
      <c r="G15" s="7"/>
      <c r="H15" s="7"/>
      <c r="I15" s="7" t="s">
        <v>1102</v>
      </c>
      <c r="J15" s="7"/>
      <c r="K15" s="9">
        <v>45918</v>
      </c>
    </row>
    <row r="16" spans="1:11">
      <c r="A16" t="s">
        <v>1301</v>
      </c>
      <c r="B16" t="s">
        <v>913</v>
      </c>
      <c r="C16" t="s">
        <v>914</v>
      </c>
      <c r="D16" t="s">
        <v>915</v>
      </c>
      <c r="E16" t="s">
        <v>1108</v>
      </c>
      <c r="F16" s="7" t="s">
        <v>1109</v>
      </c>
      <c r="G16" s="7"/>
      <c r="H16" s="7"/>
      <c r="I16" s="7" t="s">
        <v>1110</v>
      </c>
      <c r="J16" s="7"/>
      <c r="K16" s="9">
        <v>45777</v>
      </c>
    </row>
    <row r="17" spans="1:12">
      <c r="A17" t="s">
        <v>1301</v>
      </c>
      <c r="B17" t="s">
        <v>916</v>
      </c>
      <c r="C17" t="s">
        <v>917</v>
      </c>
      <c r="D17" t="s">
        <v>918</v>
      </c>
      <c r="E17" t="s">
        <v>1081</v>
      </c>
      <c r="F17" s="7" t="s">
        <v>1113</v>
      </c>
      <c r="G17" s="7"/>
      <c r="H17" s="7"/>
      <c r="I17" s="7" t="s">
        <v>1114</v>
      </c>
      <c r="J17" s="7"/>
      <c r="K17" s="9">
        <v>45838</v>
      </c>
    </row>
    <row r="18" spans="1:12">
      <c r="A18" t="s">
        <v>1301</v>
      </c>
      <c r="B18" t="s">
        <v>916</v>
      </c>
      <c r="C18" t="s">
        <v>919</v>
      </c>
      <c r="D18" t="s">
        <v>920</v>
      </c>
      <c r="E18" t="s">
        <v>1084</v>
      </c>
      <c r="F18" s="7" t="s">
        <v>1085</v>
      </c>
      <c r="G18" s="7"/>
      <c r="H18" s="7"/>
      <c r="I18" s="7" t="s">
        <v>1086</v>
      </c>
      <c r="J18" s="7"/>
      <c r="K18" s="9">
        <v>45838</v>
      </c>
    </row>
    <row r="19" spans="1:12">
      <c r="A19" t="s">
        <v>1301</v>
      </c>
      <c r="B19" t="s">
        <v>921</v>
      </c>
      <c r="C19" t="s">
        <v>894</v>
      </c>
      <c r="D19" t="s">
        <v>895</v>
      </c>
      <c r="E19" t="s">
        <v>1090</v>
      </c>
      <c r="F19" s="7" t="s">
        <v>1115</v>
      </c>
      <c r="G19" s="7"/>
      <c r="H19" s="7"/>
      <c r="I19" s="7" t="s">
        <v>1116</v>
      </c>
      <c r="J19" s="7"/>
      <c r="K19" s="9">
        <v>45716</v>
      </c>
    </row>
    <row r="20" spans="1:12">
      <c r="A20" t="s">
        <v>1301</v>
      </c>
      <c r="B20" t="s">
        <v>921</v>
      </c>
      <c r="C20" t="s">
        <v>894</v>
      </c>
      <c r="D20" t="s">
        <v>895</v>
      </c>
      <c r="E20" t="s">
        <v>1090</v>
      </c>
      <c r="F20" s="7" t="s">
        <v>1115</v>
      </c>
      <c r="G20" s="7"/>
      <c r="H20" s="7"/>
      <c r="I20" s="7" t="s">
        <v>1116</v>
      </c>
      <c r="J20" s="7"/>
      <c r="K20" s="9">
        <v>45746</v>
      </c>
    </row>
    <row r="21" spans="1:12">
      <c r="A21" t="s">
        <v>1301</v>
      </c>
      <c r="B21" t="s">
        <v>921</v>
      </c>
      <c r="C21" t="s">
        <v>922</v>
      </c>
      <c r="D21" t="s">
        <v>923</v>
      </c>
      <c r="E21" t="s">
        <v>1094</v>
      </c>
      <c r="F21" s="7" t="s">
        <v>1117</v>
      </c>
      <c r="G21" s="7"/>
      <c r="H21" s="7"/>
      <c r="I21" s="7" t="s">
        <v>1118</v>
      </c>
      <c r="J21" s="7"/>
      <c r="K21" s="9">
        <v>45716</v>
      </c>
    </row>
    <row r="22" spans="1:12">
      <c r="A22" t="s">
        <v>1301</v>
      </c>
      <c r="B22" t="s">
        <v>921</v>
      </c>
      <c r="C22" t="s">
        <v>922</v>
      </c>
      <c r="D22" t="s">
        <v>923</v>
      </c>
      <c r="E22" t="s">
        <v>1094</v>
      </c>
      <c r="F22" s="7" t="s">
        <v>1117</v>
      </c>
      <c r="G22" s="7"/>
      <c r="H22" s="7"/>
      <c r="I22" s="7" t="s">
        <v>1118</v>
      </c>
      <c r="J22" s="7"/>
      <c r="K22" s="9">
        <v>45746</v>
      </c>
    </row>
    <row r="23" spans="1:12">
      <c r="A23" t="s">
        <v>1301</v>
      </c>
      <c r="B23" t="s">
        <v>924</v>
      </c>
      <c r="C23" t="s">
        <v>922</v>
      </c>
      <c r="D23" t="s">
        <v>923</v>
      </c>
      <c r="E23" t="s">
        <v>1094</v>
      </c>
      <c r="F23" s="7" t="s">
        <v>1119</v>
      </c>
      <c r="G23" s="7"/>
      <c r="H23" s="7"/>
      <c r="I23" s="7" t="s">
        <v>1120</v>
      </c>
      <c r="J23" s="7"/>
      <c r="K23" s="9">
        <v>46203</v>
      </c>
    </row>
    <row r="24" spans="1:12">
      <c r="A24" t="s">
        <v>1301</v>
      </c>
      <c r="B24" t="s">
        <v>924</v>
      </c>
      <c r="C24" t="s">
        <v>885</v>
      </c>
      <c r="D24" t="s">
        <v>886</v>
      </c>
      <c r="E24" t="s">
        <v>1121</v>
      </c>
      <c r="F24" s="7" t="s">
        <v>1122</v>
      </c>
      <c r="G24" s="7"/>
      <c r="H24" s="7"/>
      <c r="I24" s="7" t="s">
        <v>1123</v>
      </c>
      <c r="J24" s="7"/>
      <c r="K24" s="9">
        <v>46203</v>
      </c>
    </row>
    <row r="25" spans="1:12">
      <c r="A25" t="s">
        <v>1301</v>
      </c>
      <c r="B25" t="s">
        <v>925</v>
      </c>
      <c r="C25" t="s">
        <v>926</v>
      </c>
      <c r="D25" t="s">
        <v>927</v>
      </c>
      <c r="E25" t="s">
        <v>1104</v>
      </c>
      <c r="F25" s="7" t="s">
        <v>1105</v>
      </c>
      <c r="G25" s="7"/>
      <c r="H25" s="7"/>
      <c r="I25" s="7" t="s">
        <v>1104</v>
      </c>
      <c r="J25" s="7"/>
      <c r="K25" s="9">
        <v>45496</v>
      </c>
    </row>
    <row r="26" spans="1:12">
      <c r="A26" t="s">
        <v>1301</v>
      </c>
      <c r="B26" t="s">
        <v>925</v>
      </c>
      <c r="C26" t="s">
        <v>928</v>
      </c>
      <c r="D26" t="s">
        <v>929</v>
      </c>
      <c r="E26" t="s">
        <v>1106</v>
      </c>
      <c r="F26" s="7" t="s">
        <v>1107</v>
      </c>
      <c r="G26" s="7"/>
      <c r="H26" s="7"/>
      <c r="I26" s="7" t="s">
        <v>1106</v>
      </c>
      <c r="J26" s="7"/>
      <c r="K26" s="9">
        <v>45496</v>
      </c>
    </row>
    <row r="27" spans="1:12">
      <c r="A27" t="s">
        <v>1301</v>
      </c>
      <c r="B27" t="s">
        <v>945</v>
      </c>
      <c r="C27" t="s">
        <v>926</v>
      </c>
      <c r="D27" t="s">
        <v>927</v>
      </c>
      <c r="E27" t="s">
        <v>1111</v>
      </c>
      <c r="F27" s="7" t="s">
        <v>1105</v>
      </c>
      <c r="G27" s="7"/>
      <c r="H27" s="7"/>
      <c r="I27" s="7" t="s">
        <v>1111</v>
      </c>
      <c r="J27" s="7"/>
      <c r="K27" s="9">
        <v>45576</v>
      </c>
    </row>
    <row r="28" spans="1:12">
      <c r="A28" t="s">
        <v>1301</v>
      </c>
      <c r="B28" t="s">
        <v>945</v>
      </c>
      <c r="C28" t="s">
        <v>946</v>
      </c>
      <c r="D28" t="s">
        <v>947</v>
      </c>
      <c r="E28" t="s">
        <v>1112</v>
      </c>
      <c r="F28" s="7" t="s">
        <v>1107</v>
      </c>
      <c r="G28" s="7"/>
      <c r="H28" s="7"/>
      <c r="I28" s="7" t="s">
        <v>1112</v>
      </c>
      <c r="J28" s="7"/>
      <c r="K28" s="9">
        <v>45576</v>
      </c>
    </row>
    <row r="29" spans="1:12">
      <c r="A29" t="s">
        <v>1301</v>
      </c>
      <c r="B29" t="s">
        <v>948</v>
      </c>
      <c r="C29" t="s">
        <v>949</v>
      </c>
      <c r="D29" t="s">
        <v>950</v>
      </c>
      <c r="E29" t="s">
        <v>1124</v>
      </c>
      <c r="F29" s="7" t="s">
        <v>1105</v>
      </c>
      <c r="G29" s="7"/>
      <c r="H29" s="7"/>
      <c r="I29" s="7" t="s">
        <v>1124</v>
      </c>
      <c r="J29" s="7"/>
      <c r="K29" s="9">
        <v>45539</v>
      </c>
    </row>
    <row r="30" spans="1:12">
      <c r="A30" t="s">
        <v>1301</v>
      </c>
      <c r="B30" t="s">
        <v>951</v>
      </c>
      <c r="C30" t="s">
        <v>885</v>
      </c>
      <c r="D30" t="s">
        <v>886</v>
      </c>
      <c r="E30" t="s">
        <v>1125</v>
      </c>
      <c r="F30" s="7" t="s">
        <v>1105</v>
      </c>
      <c r="G30" s="7"/>
      <c r="H30" s="7"/>
      <c r="I30" s="7" t="s">
        <v>1125</v>
      </c>
      <c r="J30" s="7"/>
      <c r="K30" s="9">
        <v>45611</v>
      </c>
      <c r="L30" s="6">
        <v>45821</v>
      </c>
    </row>
    <row r="31" spans="1:12">
      <c r="A31" t="s">
        <v>1301</v>
      </c>
      <c r="B31" t="s">
        <v>952</v>
      </c>
      <c r="C31" t="s">
        <v>896</v>
      </c>
      <c r="D31" t="s">
        <v>953</v>
      </c>
      <c r="E31" t="s">
        <v>1126</v>
      </c>
      <c r="F31" s="7" t="s">
        <v>1105</v>
      </c>
      <c r="G31" s="7"/>
      <c r="H31" s="7"/>
      <c r="I31" s="7" t="s">
        <v>1126</v>
      </c>
      <c r="J31" s="7"/>
      <c r="K31" s="9">
        <v>45629</v>
      </c>
      <c r="L31" s="6">
        <v>45821</v>
      </c>
    </row>
    <row r="32" spans="1:12">
      <c r="A32" t="s">
        <v>1301</v>
      </c>
      <c r="B32" t="s">
        <v>952</v>
      </c>
      <c r="C32" t="s">
        <v>954</v>
      </c>
      <c r="D32" t="s">
        <v>955</v>
      </c>
      <c r="E32" t="s">
        <v>1127</v>
      </c>
      <c r="F32" s="7" t="s">
        <v>1105</v>
      </c>
      <c r="G32" s="7"/>
      <c r="H32" s="7"/>
      <c r="I32" s="7" t="s">
        <v>1127</v>
      </c>
      <c r="J32" s="7"/>
      <c r="K32" s="9">
        <v>45629</v>
      </c>
    </row>
    <row r="33" spans="1:11">
      <c r="A33" t="s">
        <v>1301</v>
      </c>
      <c r="B33" t="s">
        <v>952</v>
      </c>
      <c r="C33" t="s">
        <v>956</v>
      </c>
      <c r="D33" t="s">
        <v>957</v>
      </c>
      <c r="E33" t="s">
        <v>1128</v>
      </c>
      <c r="F33" s="7" t="s">
        <v>1105</v>
      </c>
      <c r="G33" s="7"/>
      <c r="H33" s="7"/>
      <c r="I33" s="7" t="s">
        <v>1128</v>
      </c>
      <c r="J33" s="7"/>
      <c r="K33" s="9">
        <v>45629</v>
      </c>
    </row>
    <row r="34" spans="1:11">
      <c r="A34" t="s">
        <v>1301</v>
      </c>
      <c r="B34" t="s">
        <v>952</v>
      </c>
      <c r="C34" t="s">
        <v>958</v>
      </c>
      <c r="D34" t="s">
        <v>959</v>
      </c>
      <c r="E34" t="s">
        <v>1112</v>
      </c>
      <c r="F34" s="7" t="s">
        <v>1107</v>
      </c>
      <c r="G34" s="7"/>
      <c r="H34" s="7"/>
      <c r="I34" s="7" t="s">
        <v>1112</v>
      </c>
      <c r="J34" s="7"/>
      <c r="K34" s="9">
        <v>45629</v>
      </c>
    </row>
    <row r="35" spans="1:11">
      <c r="A35" t="s">
        <v>1301</v>
      </c>
      <c r="B35" t="s">
        <v>952</v>
      </c>
      <c r="C35" t="s">
        <v>960</v>
      </c>
      <c r="D35" t="s">
        <v>961</v>
      </c>
      <c r="E35" t="s">
        <v>1129</v>
      </c>
      <c r="F35" s="7" t="s">
        <v>1105</v>
      </c>
      <c r="G35" s="7"/>
      <c r="H35" s="7"/>
      <c r="I35" s="7" t="s">
        <v>1129</v>
      </c>
      <c r="J35" s="7"/>
      <c r="K35" s="9">
        <v>45629</v>
      </c>
    </row>
    <row r="36" spans="1:11">
      <c r="A36" t="s">
        <v>1301</v>
      </c>
      <c r="B36" t="s">
        <v>962</v>
      </c>
      <c r="C36" t="s">
        <v>885</v>
      </c>
      <c r="D36" t="s">
        <v>886</v>
      </c>
      <c r="E36" t="s">
        <v>1130</v>
      </c>
      <c r="F36" s="7" t="s">
        <v>1105</v>
      </c>
      <c r="G36" s="7"/>
      <c r="H36" s="7"/>
      <c r="I36" s="7" t="s">
        <v>1130</v>
      </c>
      <c r="J36" s="7"/>
      <c r="K36" s="9">
        <v>45524</v>
      </c>
    </row>
    <row r="37" spans="1:11">
      <c r="A37" t="s">
        <v>1301</v>
      </c>
      <c r="B37" t="s">
        <v>963</v>
      </c>
      <c r="C37" t="s">
        <v>926</v>
      </c>
      <c r="D37" t="s">
        <v>927</v>
      </c>
      <c r="E37" t="s">
        <v>1131</v>
      </c>
      <c r="F37" s="7" t="s">
        <v>1105</v>
      </c>
      <c r="G37" s="7"/>
      <c r="H37" s="7"/>
      <c r="I37" s="7" t="s">
        <v>1131</v>
      </c>
      <c r="J37" s="7"/>
      <c r="K37" s="9">
        <v>45524</v>
      </c>
    </row>
    <row r="38" spans="1:11">
      <c r="A38" t="s">
        <v>1301</v>
      </c>
      <c r="B38" t="s">
        <v>963</v>
      </c>
      <c r="C38" t="s">
        <v>964</v>
      </c>
      <c r="D38" t="s">
        <v>965</v>
      </c>
      <c r="E38" t="s">
        <v>1112</v>
      </c>
      <c r="F38" s="7" t="s">
        <v>1107</v>
      </c>
      <c r="G38" s="7"/>
      <c r="H38" s="7"/>
      <c r="I38" s="7" t="s">
        <v>1112</v>
      </c>
      <c r="J38" s="7"/>
      <c r="K38" s="9">
        <v>45524</v>
      </c>
    </row>
    <row r="39" spans="1:11">
      <c r="A39" t="s">
        <v>1301</v>
      </c>
      <c r="B39" t="s">
        <v>963</v>
      </c>
      <c r="C39" t="s">
        <v>966</v>
      </c>
      <c r="D39" t="s">
        <v>967</v>
      </c>
      <c r="E39" t="s">
        <v>1132</v>
      </c>
      <c r="F39" s="7" t="s">
        <v>1105</v>
      </c>
      <c r="G39" s="7"/>
      <c r="H39" s="7"/>
      <c r="I39" s="7" t="s">
        <v>1132</v>
      </c>
      <c r="J39" s="7"/>
      <c r="K39" s="9">
        <v>45524</v>
      </c>
    </row>
    <row r="40" spans="1:11">
      <c r="A40" t="s">
        <v>1301</v>
      </c>
      <c r="B40" t="s">
        <v>963</v>
      </c>
      <c r="C40" t="s">
        <v>968</v>
      </c>
      <c r="D40" t="s">
        <v>969</v>
      </c>
      <c r="E40" t="s">
        <v>1112</v>
      </c>
      <c r="F40" s="7" t="s">
        <v>1107</v>
      </c>
      <c r="G40" s="7"/>
      <c r="H40" s="7"/>
      <c r="I40" s="7" t="s">
        <v>1112</v>
      </c>
      <c r="J40" s="7"/>
      <c r="K40" s="9">
        <v>45524</v>
      </c>
    </row>
    <row r="41" spans="1:11">
      <c r="A41" t="s">
        <v>1301</v>
      </c>
      <c r="B41" t="s">
        <v>963</v>
      </c>
      <c r="C41" t="s">
        <v>1133</v>
      </c>
      <c r="D41" t="s">
        <v>661</v>
      </c>
      <c r="E41" t="s">
        <v>1134</v>
      </c>
      <c r="F41" s="7" t="s">
        <v>1107</v>
      </c>
      <c r="G41" s="7"/>
      <c r="H41" s="7"/>
      <c r="I41" s="7" t="s">
        <v>1134</v>
      </c>
      <c r="J41" s="7"/>
      <c r="K41" s="9">
        <v>45524</v>
      </c>
    </row>
    <row r="42" spans="1:11">
      <c r="A42" t="s">
        <v>1301</v>
      </c>
      <c r="B42" t="s">
        <v>970</v>
      </c>
      <c r="C42" t="s">
        <v>885</v>
      </c>
      <c r="D42" t="s">
        <v>931</v>
      </c>
      <c r="E42" t="s">
        <v>1130</v>
      </c>
      <c r="F42" s="7" t="s">
        <v>1105</v>
      </c>
      <c r="G42" s="7"/>
      <c r="H42" s="7"/>
      <c r="I42" s="7" t="s">
        <v>1130</v>
      </c>
      <c r="J42" s="7"/>
      <c r="K42" s="9">
        <v>45523</v>
      </c>
    </row>
    <row r="43" spans="1:11">
      <c r="A43" t="s">
        <v>1301</v>
      </c>
      <c r="B43" t="s">
        <v>970</v>
      </c>
      <c r="C43" t="s">
        <v>926</v>
      </c>
      <c r="D43" t="s">
        <v>927</v>
      </c>
      <c r="E43" t="s">
        <v>1131</v>
      </c>
      <c r="F43" s="7" t="s">
        <v>1105</v>
      </c>
      <c r="G43" s="7"/>
      <c r="H43" s="7"/>
      <c r="I43" s="7" t="s">
        <v>1131</v>
      </c>
      <c r="J43" s="7"/>
      <c r="K43" s="9">
        <v>45523</v>
      </c>
    </row>
    <row r="44" spans="1:11">
      <c r="A44" t="s">
        <v>1301</v>
      </c>
      <c r="B44" t="s">
        <v>970</v>
      </c>
      <c r="C44" t="s">
        <v>964</v>
      </c>
      <c r="D44" t="s">
        <v>965</v>
      </c>
      <c r="E44" t="s">
        <v>1112</v>
      </c>
      <c r="F44" s="7" t="s">
        <v>1107</v>
      </c>
      <c r="G44" s="7"/>
      <c r="H44" s="7"/>
      <c r="I44" s="7" t="s">
        <v>1112</v>
      </c>
      <c r="J44" s="7"/>
      <c r="K44" s="9">
        <v>45523</v>
      </c>
    </row>
    <row r="45" spans="1:11">
      <c r="A45" t="s">
        <v>1301</v>
      </c>
      <c r="B45" t="s">
        <v>970</v>
      </c>
      <c r="C45" t="s">
        <v>966</v>
      </c>
      <c r="D45" t="s">
        <v>967</v>
      </c>
      <c r="E45" t="s">
        <v>1132</v>
      </c>
      <c r="F45" s="7" t="s">
        <v>1105</v>
      </c>
      <c r="G45" s="7"/>
      <c r="H45" s="7"/>
      <c r="I45" s="7" t="s">
        <v>1132</v>
      </c>
      <c r="J45" s="7"/>
      <c r="K45" s="9">
        <v>45523</v>
      </c>
    </row>
    <row r="46" spans="1:11">
      <c r="A46" t="s">
        <v>1301</v>
      </c>
      <c r="B46" t="s">
        <v>970</v>
      </c>
      <c r="C46" t="s">
        <v>968</v>
      </c>
      <c r="D46" t="s">
        <v>969</v>
      </c>
      <c r="E46" t="s">
        <v>1112</v>
      </c>
      <c r="F46" s="7" t="s">
        <v>1107</v>
      </c>
      <c r="G46" s="7"/>
      <c r="H46" s="7"/>
      <c r="I46" s="7" t="s">
        <v>1112</v>
      </c>
      <c r="J46" s="7"/>
      <c r="K46" s="9">
        <v>45523</v>
      </c>
    </row>
    <row r="47" spans="1:11">
      <c r="A47" t="s">
        <v>1301</v>
      </c>
      <c r="B47" t="s">
        <v>970</v>
      </c>
      <c r="C47" t="s">
        <v>971</v>
      </c>
      <c r="D47" t="s">
        <v>972</v>
      </c>
      <c r="E47" t="s">
        <v>1135</v>
      </c>
      <c r="F47" s="7" t="s">
        <v>1136</v>
      </c>
      <c r="G47" s="7"/>
      <c r="H47" s="7"/>
      <c r="I47" s="7" t="s">
        <v>1135</v>
      </c>
      <c r="J47" s="7"/>
      <c r="K47" s="9">
        <v>45523</v>
      </c>
    </row>
    <row r="48" spans="1:11">
      <c r="A48" t="s">
        <v>1301</v>
      </c>
      <c r="B48" t="s">
        <v>970</v>
      </c>
      <c r="C48" t="s">
        <v>973</v>
      </c>
      <c r="D48" t="s">
        <v>974</v>
      </c>
      <c r="E48" t="s">
        <v>1137</v>
      </c>
      <c r="F48" s="7" t="s">
        <v>1136</v>
      </c>
      <c r="G48" s="7"/>
      <c r="H48" s="7"/>
      <c r="I48" s="7" t="s">
        <v>1137</v>
      </c>
      <c r="J48" s="7"/>
      <c r="K48" s="9">
        <v>45523</v>
      </c>
    </row>
    <row r="49" spans="1:11">
      <c r="A49" t="s">
        <v>1301</v>
      </c>
      <c r="B49" t="s">
        <v>970</v>
      </c>
      <c r="C49" t="s">
        <v>975</v>
      </c>
      <c r="D49" t="s">
        <v>976</v>
      </c>
      <c r="E49" t="s">
        <v>1138</v>
      </c>
      <c r="F49" s="7" t="s">
        <v>1136</v>
      </c>
      <c r="G49" s="7"/>
      <c r="H49" s="7"/>
      <c r="I49" s="7" t="s">
        <v>1138</v>
      </c>
      <c r="J49" s="7"/>
      <c r="K49" s="9">
        <v>45523</v>
      </c>
    </row>
    <row r="50" spans="1:11">
      <c r="A50" t="s">
        <v>1301</v>
      </c>
      <c r="B50" t="s">
        <v>977</v>
      </c>
      <c r="C50" t="s">
        <v>966</v>
      </c>
      <c r="D50" t="s">
        <v>978</v>
      </c>
      <c r="E50" t="s">
        <v>1139</v>
      </c>
      <c r="F50" s="7" t="s">
        <v>1105</v>
      </c>
      <c r="G50" s="7"/>
      <c r="H50" s="7"/>
      <c r="I50" s="7" t="s">
        <v>1139</v>
      </c>
      <c r="J50" s="7"/>
      <c r="K50" s="9">
        <v>45562</v>
      </c>
    </row>
    <row r="51" spans="1:11">
      <c r="A51" t="s">
        <v>1301</v>
      </c>
      <c r="B51" t="s">
        <v>979</v>
      </c>
      <c r="C51" t="s">
        <v>917</v>
      </c>
      <c r="D51" t="s">
        <v>918</v>
      </c>
      <c r="E51" t="s">
        <v>1140</v>
      </c>
      <c r="F51" s="7" t="s">
        <v>1141</v>
      </c>
      <c r="G51" s="7"/>
      <c r="H51" s="7"/>
      <c r="I51" s="7" t="s">
        <v>1140</v>
      </c>
      <c r="J51" s="7"/>
      <c r="K51" s="9">
        <v>45762</v>
      </c>
    </row>
    <row r="52" spans="1:11">
      <c r="A52" t="s">
        <v>1301</v>
      </c>
      <c r="B52" t="s">
        <v>979</v>
      </c>
      <c r="C52" t="s">
        <v>980</v>
      </c>
      <c r="D52" t="s">
        <v>981</v>
      </c>
      <c r="E52" t="s">
        <v>1084</v>
      </c>
      <c r="F52" s="7" t="s">
        <v>1085</v>
      </c>
      <c r="G52" s="7"/>
      <c r="H52" s="7"/>
      <c r="I52" s="7" t="s">
        <v>1084</v>
      </c>
      <c r="J52" s="7"/>
      <c r="K52" s="9">
        <v>45762</v>
      </c>
    </row>
    <row r="53" spans="1:11">
      <c r="A53" t="s">
        <v>1301</v>
      </c>
      <c r="B53" t="s">
        <v>979</v>
      </c>
      <c r="C53" t="s">
        <v>937</v>
      </c>
      <c r="D53" t="s">
        <v>982</v>
      </c>
      <c r="E53" t="s">
        <v>1142</v>
      </c>
      <c r="F53" s="7" t="s">
        <v>1143</v>
      </c>
      <c r="G53" s="7"/>
      <c r="H53" s="7"/>
      <c r="I53" s="7" t="s">
        <v>1142</v>
      </c>
      <c r="J53" s="7"/>
      <c r="K53" s="9">
        <v>45762</v>
      </c>
    </row>
    <row r="54" spans="1:11">
      <c r="A54" t="s">
        <v>1301</v>
      </c>
      <c r="B54" t="s">
        <v>979</v>
      </c>
      <c r="C54" t="s">
        <v>983</v>
      </c>
      <c r="D54" t="s">
        <v>984</v>
      </c>
      <c r="E54" t="s">
        <v>1084</v>
      </c>
      <c r="F54" s="7" t="s">
        <v>1144</v>
      </c>
      <c r="G54" s="7"/>
      <c r="H54" s="7"/>
      <c r="I54" s="7" t="s">
        <v>1084</v>
      </c>
      <c r="J54" s="7"/>
      <c r="K54" s="9">
        <v>45762</v>
      </c>
    </row>
    <row r="55" spans="1:11">
      <c r="A55" t="s">
        <v>1301</v>
      </c>
      <c r="B55" t="s">
        <v>979</v>
      </c>
      <c r="C55" t="s">
        <v>937</v>
      </c>
      <c r="D55" t="s">
        <v>982</v>
      </c>
      <c r="E55" t="s">
        <v>1142</v>
      </c>
      <c r="F55" s="7" t="s">
        <v>1143</v>
      </c>
      <c r="G55" s="7"/>
      <c r="H55" s="7"/>
      <c r="I55" s="7" t="s">
        <v>1142</v>
      </c>
      <c r="J55" s="7"/>
      <c r="K55" s="9">
        <v>45762</v>
      </c>
    </row>
    <row r="56" spans="1:11">
      <c r="A56" t="s">
        <v>1301</v>
      </c>
      <c r="B56" t="s">
        <v>979</v>
      </c>
      <c r="C56" t="s">
        <v>985</v>
      </c>
      <c r="D56" t="s">
        <v>986</v>
      </c>
      <c r="E56" t="s">
        <v>1084</v>
      </c>
      <c r="F56" s="7" t="s">
        <v>1144</v>
      </c>
      <c r="G56" s="7"/>
      <c r="H56" s="7"/>
      <c r="I56" s="7" t="s">
        <v>1084</v>
      </c>
      <c r="J56" s="7"/>
      <c r="K56" s="9">
        <v>45762</v>
      </c>
    </row>
    <row r="57" spans="1:11">
      <c r="A57" t="s">
        <v>1301</v>
      </c>
      <c r="B57" t="s">
        <v>979</v>
      </c>
      <c r="C57" t="s">
        <v>933</v>
      </c>
      <c r="D57" t="s">
        <v>987</v>
      </c>
      <c r="E57" t="s">
        <v>1145</v>
      </c>
      <c r="F57" s="7" t="s">
        <v>1146</v>
      </c>
      <c r="G57" s="7"/>
      <c r="H57" s="7"/>
      <c r="I57" s="7" t="s">
        <v>1145</v>
      </c>
      <c r="J57" s="7"/>
      <c r="K57" s="9">
        <v>45762</v>
      </c>
    </row>
    <row r="58" spans="1:11">
      <c r="A58" t="s">
        <v>1301</v>
      </c>
      <c r="B58" t="s">
        <v>979</v>
      </c>
      <c r="C58" t="s">
        <v>988</v>
      </c>
      <c r="D58" t="s">
        <v>989</v>
      </c>
      <c r="E58" t="s">
        <v>1084</v>
      </c>
      <c r="F58" s="7" t="s">
        <v>1098</v>
      </c>
      <c r="G58" s="7"/>
      <c r="H58" s="7"/>
      <c r="I58" s="7" t="s">
        <v>1084</v>
      </c>
      <c r="J58" s="7"/>
      <c r="K58" s="9">
        <v>45762</v>
      </c>
    </row>
    <row r="59" spans="1:11">
      <c r="A59" t="s">
        <v>1301</v>
      </c>
      <c r="B59" t="s">
        <v>979</v>
      </c>
      <c r="C59" t="s">
        <v>933</v>
      </c>
      <c r="D59" t="s">
        <v>987</v>
      </c>
      <c r="E59" t="s">
        <v>1145</v>
      </c>
      <c r="F59" s="7" t="s">
        <v>1146</v>
      </c>
      <c r="G59" s="7"/>
      <c r="H59" s="7"/>
      <c r="I59" s="7" t="s">
        <v>1145</v>
      </c>
      <c r="J59" s="7"/>
      <c r="K59" s="9">
        <v>45762</v>
      </c>
    </row>
    <row r="60" spans="1:11">
      <c r="A60" t="s">
        <v>1301</v>
      </c>
      <c r="B60" t="s">
        <v>979</v>
      </c>
      <c r="C60" t="s">
        <v>990</v>
      </c>
      <c r="D60" t="s">
        <v>991</v>
      </c>
      <c r="E60" t="s">
        <v>1084</v>
      </c>
      <c r="F60" s="7" t="s">
        <v>1098</v>
      </c>
      <c r="G60" s="7"/>
      <c r="H60" s="7"/>
      <c r="I60" s="7" t="s">
        <v>1084</v>
      </c>
      <c r="J60" s="7"/>
      <c r="K60" s="9">
        <v>45762</v>
      </c>
    </row>
    <row r="61" spans="1:11">
      <c r="A61" t="s">
        <v>1301</v>
      </c>
      <c r="B61" t="s">
        <v>979</v>
      </c>
      <c r="C61" t="s">
        <v>992</v>
      </c>
      <c r="D61" t="s">
        <v>993</v>
      </c>
      <c r="E61" t="s">
        <v>1094</v>
      </c>
      <c r="F61" s="7" t="s">
        <v>1147</v>
      </c>
      <c r="G61" s="7"/>
      <c r="H61" s="7"/>
      <c r="I61" s="7" t="s">
        <v>1094</v>
      </c>
      <c r="J61" s="7"/>
      <c r="K61" s="9">
        <v>45762</v>
      </c>
    </row>
    <row r="62" spans="1:11">
      <c r="A62" t="s">
        <v>1301</v>
      </c>
      <c r="B62" t="s">
        <v>994</v>
      </c>
      <c r="C62" t="s">
        <v>992</v>
      </c>
      <c r="D62" t="s">
        <v>993</v>
      </c>
      <c r="E62" t="s">
        <v>1148</v>
      </c>
      <c r="F62" s="7" t="s">
        <v>1149</v>
      </c>
      <c r="G62" s="7"/>
      <c r="H62" s="7"/>
      <c r="I62" s="7" t="s">
        <v>1150</v>
      </c>
      <c r="J62" s="7"/>
      <c r="K62" s="9"/>
    </row>
    <row r="63" spans="1:11">
      <c r="A63" t="s">
        <v>1301</v>
      </c>
      <c r="B63" t="s">
        <v>994</v>
      </c>
      <c r="C63" t="s">
        <v>995</v>
      </c>
      <c r="D63" t="s">
        <v>996</v>
      </c>
      <c r="E63" t="s">
        <v>1100</v>
      </c>
      <c r="F63" s="7" t="s">
        <v>1151</v>
      </c>
      <c r="G63" s="7"/>
      <c r="H63" s="7"/>
      <c r="I63" s="7" t="s">
        <v>1152</v>
      </c>
      <c r="J63" s="7"/>
      <c r="K63" s="9"/>
    </row>
    <row r="64" spans="1:11">
      <c r="A64" t="s">
        <v>1301</v>
      </c>
      <c r="B64" t="s">
        <v>1002</v>
      </c>
      <c r="C64" t="s">
        <v>1003</v>
      </c>
      <c r="D64" t="s">
        <v>1004</v>
      </c>
      <c r="E64" t="s">
        <v>1153</v>
      </c>
      <c r="F64" s="7" t="s">
        <v>1154</v>
      </c>
      <c r="G64" s="7"/>
      <c r="H64" s="7"/>
      <c r="I64" s="7" t="s">
        <v>1155</v>
      </c>
      <c r="J64" s="7"/>
      <c r="K64" s="9">
        <v>45898</v>
      </c>
    </row>
    <row r="65" spans="1:11">
      <c r="A65" t="s">
        <v>1301</v>
      </c>
      <c r="B65" t="s">
        <v>1002</v>
      </c>
      <c r="C65" t="s">
        <v>1005</v>
      </c>
      <c r="D65" t="s">
        <v>1006</v>
      </c>
      <c r="E65" t="s">
        <v>1156</v>
      </c>
      <c r="F65" s="7" t="s">
        <v>1157</v>
      </c>
      <c r="G65" s="7"/>
      <c r="H65" s="7"/>
      <c r="I65" s="7" t="s">
        <v>1158</v>
      </c>
      <c r="J65" s="7"/>
      <c r="K65" s="9">
        <v>45898</v>
      </c>
    </row>
    <row r="66" spans="1:11">
      <c r="A66" t="s">
        <v>1301</v>
      </c>
      <c r="B66" t="s">
        <v>1002</v>
      </c>
      <c r="C66" t="s">
        <v>995</v>
      </c>
      <c r="D66" t="s">
        <v>1007</v>
      </c>
      <c r="E66" t="s">
        <v>1156</v>
      </c>
      <c r="F66" s="7" t="s">
        <v>1159</v>
      </c>
      <c r="G66" s="7"/>
      <c r="H66" s="7"/>
      <c r="I66" s="7" t="s">
        <v>1160</v>
      </c>
      <c r="J66" s="7"/>
      <c r="K66" s="9">
        <v>45898</v>
      </c>
    </row>
    <row r="67" spans="1:11">
      <c r="A67" t="s">
        <v>1301</v>
      </c>
      <c r="B67" t="s">
        <v>1002</v>
      </c>
      <c r="C67" t="s">
        <v>885</v>
      </c>
      <c r="D67" t="s">
        <v>886</v>
      </c>
      <c r="E67" t="s">
        <v>1121</v>
      </c>
      <c r="F67" s="7" t="s">
        <v>1161</v>
      </c>
      <c r="G67" s="7"/>
      <c r="H67" s="7"/>
      <c r="I67" s="7" t="s">
        <v>1162</v>
      </c>
      <c r="J67" s="7"/>
      <c r="K67" s="9">
        <v>45898</v>
      </c>
    </row>
    <row r="68" spans="1:11">
      <c r="A68" t="s">
        <v>1301</v>
      </c>
      <c r="B68" t="s">
        <v>1002</v>
      </c>
      <c r="C68" t="s">
        <v>922</v>
      </c>
      <c r="D68" t="s">
        <v>923</v>
      </c>
      <c r="E68" t="s">
        <v>1081</v>
      </c>
      <c r="F68" s="7" t="s">
        <v>1163</v>
      </c>
      <c r="G68" s="7"/>
      <c r="H68" s="7"/>
      <c r="I68" s="7" t="s">
        <v>1164</v>
      </c>
      <c r="J68" s="7"/>
      <c r="K68" s="9">
        <v>45898</v>
      </c>
    </row>
    <row r="69" spans="1:11">
      <c r="A69" t="s">
        <v>1301</v>
      </c>
      <c r="B69" t="s">
        <v>1002</v>
      </c>
      <c r="C69" t="s">
        <v>894</v>
      </c>
      <c r="D69" t="s">
        <v>895</v>
      </c>
      <c r="E69" t="s">
        <v>1090</v>
      </c>
      <c r="F69" s="7" t="s">
        <v>1161</v>
      </c>
      <c r="G69" s="7"/>
      <c r="H69" s="7"/>
      <c r="I69" s="7" t="s">
        <v>1165</v>
      </c>
      <c r="J69" s="7"/>
      <c r="K69" s="9">
        <v>45898</v>
      </c>
    </row>
    <row r="70" spans="1:11">
      <c r="A70" t="s">
        <v>1301</v>
      </c>
      <c r="B70" t="s">
        <v>1008</v>
      </c>
      <c r="C70" t="s">
        <v>966</v>
      </c>
      <c r="D70" t="s">
        <v>978</v>
      </c>
      <c r="E70" t="s">
        <v>1166</v>
      </c>
      <c r="F70" s="7" t="s">
        <v>1167</v>
      </c>
      <c r="G70" s="7"/>
      <c r="H70" s="7"/>
      <c r="I70" s="7" t="s">
        <v>1166</v>
      </c>
      <c r="J70" s="7"/>
      <c r="K70" s="9">
        <v>46008</v>
      </c>
    </row>
    <row r="71" spans="1:11">
      <c r="A71" t="s">
        <v>1301</v>
      </c>
      <c r="B71" t="s">
        <v>1008</v>
      </c>
      <c r="C71" t="s">
        <v>1009</v>
      </c>
      <c r="D71" t="s">
        <v>1010</v>
      </c>
      <c r="E71" t="s">
        <v>1168</v>
      </c>
      <c r="F71" s="7" t="s">
        <v>1094</v>
      </c>
      <c r="G71" s="7"/>
      <c r="H71" s="7"/>
      <c r="I71" s="7" t="s">
        <v>1168</v>
      </c>
      <c r="J71" s="7"/>
      <c r="K71" s="9">
        <v>46008</v>
      </c>
    </row>
    <row r="72" spans="1:11">
      <c r="A72" t="s">
        <v>1301</v>
      </c>
      <c r="B72" t="s">
        <v>1008</v>
      </c>
      <c r="C72" t="s">
        <v>1011</v>
      </c>
      <c r="D72" t="s">
        <v>1012</v>
      </c>
      <c r="E72" t="s">
        <v>1169</v>
      </c>
      <c r="F72" s="7" t="s">
        <v>1170</v>
      </c>
      <c r="G72" s="7"/>
      <c r="H72" s="7"/>
      <c r="I72" s="7" t="s">
        <v>1169</v>
      </c>
      <c r="J72" s="7"/>
      <c r="K72" s="9">
        <v>46008</v>
      </c>
    </row>
    <row r="73" spans="1:11">
      <c r="A73" t="s">
        <v>1301</v>
      </c>
      <c r="B73" t="s">
        <v>1008</v>
      </c>
      <c r="C73" t="s">
        <v>1013</v>
      </c>
      <c r="D73" t="s">
        <v>1014</v>
      </c>
      <c r="E73" t="s">
        <v>1171</v>
      </c>
      <c r="F73" s="7" t="s">
        <v>1172</v>
      </c>
      <c r="G73" s="7"/>
      <c r="H73" s="7"/>
      <c r="I73" s="7" t="s">
        <v>1171</v>
      </c>
      <c r="J73" s="7"/>
      <c r="K73" s="9">
        <v>46008</v>
      </c>
    </row>
    <row r="74" spans="1:11">
      <c r="A74" t="s">
        <v>1301</v>
      </c>
      <c r="B74" t="s">
        <v>1015</v>
      </c>
      <c r="C74" t="s">
        <v>896</v>
      </c>
      <c r="D74" t="s">
        <v>897</v>
      </c>
      <c r="E74" t="s">
        <v>1173</v>
      </c>
      <c r="F74" s="7" t="s">
        <v>1174</v>
      </c>
      <c r="G74" s="7"/>
      <c r="H74" s="7"/>
      <c r="I74" s="7" t="s">
        <v>1173</v>
      </c>
      <c r="J74" s="7"/>
      <c r="K74" s="9">
        <v>46038</v>
      </c>
    </row>
    <row r="75" spans="1:11">
      <c r="A75" t="s">
        <v>1301</v>
      </c>
      <c r="B75" t="s">
        <v>1015</v>
      </c>
      <c r="C75" t="s">
        <v>1016</v>
      </c>
      <c r="D75" t="s">
        <v>1017</v>
      </c>
      <c r="E75" t="s">
        <v>1175</v>
      </c>
      <c r="F75" s="7" t="s">
        <v>1176</v>
      </c>
      <c r="G75" s="7"/>
      <c r="H75" s="7"/>
      <c r="I75" s="7" t="s">
        <v>1175</v>
      </c>
      <c r="J75" s="7"/>
      <c r="K75" s="9">
        <v>46038</v>
      </c>
    </row>
    <row r="76" spans="1:11">
      <c r="A76" t="s">
        <v>1301</v>
      </c>
      <c r="B76" t="s">
        <v>1015</v>
      </c>
      <c r="C76" t="s">
        <v>1018</v>
      </c>
      <c r="D76" t="s">
        <v>1019</v>
      </c>
      <c r="E76" t="s">
        <v>1177</v>
      </c>
      <c r="F76" s="7" t="s">
        <v>1084</v>
      </c>
      <c r="G76" s="7"/>
      <c r="H76" s="7"/>
      <c r="I76" s="7" t="s">
        <v>1177</v>
      </c>
      <c r="J76" s="7"/>
      <c r="K76" s="9">
        <v>46038</v>
      </c>
    </row>
    <row r="77" spans="1:11">
      <c r="A77" t="s">
        <v>1301</v>
      </c>
      <c r="B77" t="s">
        <v>1015</v>
      </c>
      <c r="C77" t="s">
        <v>905</v>
      </c>
      <c r="D77" t="s">
        <v>906</v>
      </c>
      <c r="E77" t="s">
        <v>1178</v>
      </c>
      <c r="F77" s="7" t="s">
        <v>1179</v>
      </c>
      <c r="G77" s="7"/>
      <c r="H77" s="7"/>
      <c r="I77" s="7" t="s">
        <v>1178</v>
      </c>
      <c r="J77" s="7"/>
      <c r="K77" s="9">
        <v>46038</v>
      </c>
    </row>
    <row r="78" spans="1:11">
      <c r="A78" t="s">
        <v>1301</v>
      </c>
      <c r="B78" t="s">
        <v>1015</v>
      </c>
      <c r="C78" t="s">
        <v>1020</v>
      </c>
      <c r="D78" t="s">
        <v>1021</v>
      </c>
      <c r="E78" t="s">
        <v>1085</v>
      </c>
      <c r="F78" s="7" t="s">
        <v>1084</v>
      </c>
      <c r="G78" s="7"/>
      <c r="H78" s="7"/>
      <c r="I78" s="7" t="s">
        <v>1085</v>
      </c>
      <c r="J78" s="7"/>
      <c r="K78" s="9">
        <v>46038</v>
      </c>
    </row>
    <row r="79" spans="1:11">
      <c r="A79" t="s">
        <v>1301</v>
      </c>
      <c r="B79" t="s">
        <v>1015</v>
      </c>
      <c r="C79" t="s">
        <v>909</v>
      </c>
      <c r="D79" t="s">
        <v>910</v>
      </c>
      <c r="E79" t="s">
        <v>1180</v>
      </c>
      <c r="F79" s="7" t="s">
        <v>1081</v>
      </c>
      <c r="G79" s="7"/>
      <c r="H79" s="7"/>
      <c r="I79" s="7" t="s">
        <v>1180</v>
      </c>
      <c r="J79" s="7"/>
      <c r="K79" s="9">
        <v>46038</v>
      </c>
    </row>
    <row r="80" spans="1:11">
      <c r="A80" t="s">
        <v>1301</v>
      </c>
      <c r="B80" t="s">
        <v>1015</v>
      </c>
      <c r="C80" t="s">
        <v>1022</v>
      </c>
      <c r="D80" t="s">
        <v>1023</v>
      </c>
      <c r="E80" t="s">
        <v>1085</v>
      </c>
      <c r="F80" s="7" t="s">
        <v>1084</v>
      </c>
      <c r="G80" s="7"/>
      <c r="H80" s="7"/>
      <c r="I80" s="7" t="s">
        <v>1085</v>
      </c>
      <c r="J80" s="7"/>
      <c r="K80" s="9">
        <v>46038</v>
      </c>
    </row>
    <row r="81" spans="1:11">
      <c r="A81" t="s">
        <v>1301</v>
      </c>
      <c r="B81" t="s">
        <v>1024</v>
      </c>
      <c r="C81" t="s">
        <v>909</v>
      </c>
      <c r="D81" t="s">
        <v>1025</v>
      </c>
      <c r="E81" t="s">
        <v>1181</v>
      </c>
      <c r="F81" s="7" t="s">
        <v>1081</v>
      </c>
      <c r="G81" s="7"/>
      <c r="H81" s="7"/>
      <c r="I81" s="7" t="s">
        <v>1181</v>
      </c>
      <c r="J81" s="7"/>
      <c r="K81" s="9">
        <v>46052</v>
      </c>
    </row>
    <row r="82" spans="1:11">
      <c r="A82" t="s">
        <v>1301</v>
      </c>
      <c r="B82" t="s">
        <v>1024</v>
      </c>
      <c r="C82" t="s">
        <v>1026</v>
      </c>
      <c r="D82" t="s">
        <v>1027</v>
      </c>
      <c r="E82" t="s">
        <v>1085</v>
      </c>
      <c r="F82" s="7" t="s">
        <v>1084</v>
      </c>
      <c r="G82" s="7"/>
      <c r="H82" s="7"/>
      <c r="I82" s="7" t="s">
        <v>1085</v>
      </c>
      <c r="J82" s="7"/>
      <c r="K82" s="9">
        <v>46052</v>
      </c>
    </row>
    <row r="83" spans="1:11">
      <c r="A83" t="s">
        <v>1301</v>
      </c>
      <c r="B83" t="s">
        <v>1024</v>
      </c>
      <c r="C83" t="s">
        <v>905</v>
      </c>
      <c r="D83" t="s">
        <v>1025</v>
      </c>
      <c r="E83" t="s">
        <v>1182</v>
      </c>
      <c r="F83" s="7" t="s">
        <v>1179</v>
      </c>
      <c r="G83" s="7"/>
      <c r="H83" s="7"/>
      <c r="I83" s="7" t="s">
        <v>1182</v>
      </c>
      <c r="J83" s="7"/>
      <c r="K83" s="9">
        <v>46052</v>
      </c>
    </row>
    <row r="84" spans="1:11">
      <c r="A84" t="s">
        <v>1301</v>
      </c>
      <c r="B84" t="s">
        <v>1024</v>
      </c>
      <c r="C84" t="s">
        <v>1028</v>
      </c>
      <c r="D84" t="s">
        <v>1029</v>
      </c>
      <c r="E84" t="s">
        <v>1085</v>
      </c>
      <c r="F84" s="7" t="s">
        <v>1084</v>
      </c>
      <c r="G84" s="7"/>
      <c r="H84" s="7"/>
      <c r="I84" s="7" t="s">
        <v>1085</v>
      </c>
      <c r="J84" s="7"/>
      <c r="K84" s="9">
        <v>46052</v>
      </c>
    </row>
    <row r="85" spans="1:11">
      <c r="A85" t="s">
        <v>1301</v>
      </c>
      <c r="B85" t="s">
        <v>1030</v>
      </c>
      <c r="C85" t="s">
        <v>885</v>
      </c>
      <c r="D85" t="s">
        <v>931</v>
      </c>
      <c r="E85" t="s">
        <v>1183</v>
      </c>
      <c r="F85" s="7" t="s">
        <v>1121</v>
      </c>
      <c r="G85" s="7"/>
      <c r="H85" s="7"/>
      <c r="I85" s="7" t="s">
        <v>1183</v>
      </c>
      <c r="J85" s="7"/>
      <c r="K85" s="9">
        <v>46080</v>
      </c>
    </row>
    <row r="86" spans="1:11">
      <c r="A86" t="s">
        <v>1301</v>
      </c>
      <c r="B86" t="s">
        <v>1031</v>
      </c>
      <c r="C86" t="s">
        <v>1032</v>
      </c>
      <c r="D86" t="s">
        <v>1033</v>
      </c>
      <c r="E86" t="s">
        <v>1184</v>
      </c>
      <c r="F86" s="7" t="s">
        <v>1185</v>
      </c>
      <c r="G86" s="7"/>
      <c r="H86" s="7"/>
      <c r="I86" s="7" t="s">
        <v>1186</v>
      </c>
      <c r="J86" s="7"/>
      <c r="K86" s="9">
        <v>46171</v>
      </c>
    </row>
    <row r="87" spans="1:11">
      <c r="A87" t="s">
        <v>1301</v>
      </c>
      <c r="B87" t="s">
        <v>1031</v>
      </c>
      <c r="C87" t="s">
        <v>1034</v>
      </c>
      <c r="D87" t="s">
        <v>1035</v>
      </c>
      <c r="E87" t="s">
        <v>1084</v>
      </c>
      <c r="F87" s="7" t="s">
        <v>1098</v>
      </c>
      <c r="G87" s="7"/>
      <c r="H87" s="7"/>
      <c r="I87" s="7" t="s">
        <v>1187</v>
      </c>
      <c r="J87" s="7"/>
      <c r="K87" s="9">
        <v>46171</v>
      </c>
    </row>
    <row r="88" spans="1:11">
      <c r="A88" t="s">
        <v>1301</v>
      </c>
      <c r="B88" t="s">
        <v>1031</v>
      </c>
      <c r="C88" t="s">
        <v>1009</v>
      </c>
      <c r="D88" t="s">
        <v>1010</v>
      </c>
      <c r="E88" t="s">
        <v>1188</v>
      </c>
      <c r="F88" s="7" t="s">
        <v>1189</v>
      </c>
      <c r="G88" s="7"/>
      <c r="H88" s="7"/>
      <c r="I88" s="7" t="s">
        <v>1190</v>
      </c>
      <c r="J88" s="7"/>
      <c r="K88" s="9">
        <v>46171</v>
      </c>
    </row>
    <row r="89" spans="1:11">
      <c r="A89" t="s">
        <v>1301</v>
      </c>
      <c r="B89" t="s">
        <v>1031</v>
      </c>
      <c r="C89" t="s">
        <v>1036</v>
      </c>
      <c r="D89" t="s">
        <v>1037</v>
      </c>
      <c r="E89" t="s">
        <v>1084</v>
      </c>
      <c r="F89" s="7" t="s">
        <v>1085</v>
      </c>
      <c r="G89" s="7"/>
      <c r="H89" s="7"/>
      <c r="I89" s="7" t="s">
        <v>1086</v>
      </c>
      <c r="J89" s="7"/>
      <c r="K89" s="9">
        <v>46171</v>
      </c>
    </row>
    <row r="90" spans="1:11">
      <c r="A90" t="s">
        <v>1301</v>
      </c>
      <c r="B90" t="s">
        <v>1031</v>
      </c>
      <c r="C90" t="s">
        <v>1038</v>
      </c>
      <c r="D90" t="s">
        <v>1039</v>
      </c>
      <c r="E90" t="s">
        <v>1191</v>
      </c>
      <c r="F90" s="7" t="s">
        <v>1192</v>
      </c>
      <c r="G90" s="7"/>
      <c r="H90" s="7"/>
      <c r="I90" s="7" t="s">
        <v>1193</v>
      </c>
      <c r="J90" s="7"/>
      <c r="K90" s="9">
        <v>46171</v>
      </c>
    </row>
    <row r="91" spans="1:11">
      <c r="A91" t="s">
        <v>1301</v>
      </c>
      <c r="B91" t="s">
        <v>1040</v>
      </c>
      <c r="C91" t="s">
        <v>885</v>
      </c>
      <c r="D91" t="s">
        <v>886</v>
      </c>
      <c r="E91" t="s">
        <v>1194</v>
      </c>
      <c r="F91" s="7" t="s">
        <v>1121</v>
      </c>
      <c r="G91" s="7"/>
      <c r="H91" s="7"/>
      <c r="I91" s="7" t="s">
        <v>1194</v>
      </c>
      <c r="J91" s="7"/>
      <c r="K91" s="9">
        <v>45989</v>
      </c>
    </row>
    <row r="92" spans="1:11">
      <c r="A92" t="s">
        <v>1301</v>
      </c>
      <c r="B92" t="s">
        <v>1040</v>
      </c>
      <c r="C92" t="s">
        <v>1041</v>
      </c>
      <c r="D92" t="s">
        <v>1042</v>
      </c>
      <c r="E92" t="s">
        <v>1195</v>
      </c>
      <c r="F92" s="7" t="s">
        <v>1100</v>
      </c>
      <c r="G92" s="7"/>
      <c r="H92" s="7"/>
      <c r="I92" s="7" t="s">
        <v>1195</v>
      </c>
      <c r="J92" s="7"/>
      <c r="K92" s="9">
        <v>45989</v>
      </c>
    </row>
    <row r="93" spans="1:11">
      <c r="A93" t="s">
        <v>1301</v>
      </c>
      <c r="B93" t="s">
        <v>1043</v>
      </c>
      <c r="C93" t="s">
        <v>1044</v>
      </c>
      <c r="D93" t="s">
        <v>1045</v>
      </c>
      <c r="E93" t="s">
        <v>1196</v>
      </c>
      <c r="F93" s="7" t="s">
        <v>1096</v>
      </c>
      <c r="G93" s="7"/>
      <c r="H93" s="7"/>
      <c r="I93" s="7" t="s">
        <v>1196</v>
      </c>
      <c r="J93" s="7"/>
      <c r="K93" s="9">
        <v>45911</v>
      </c>
    </row>
    <row r="94" spans="1:11">
      <c r="A94" t="s">
        <v>1301</v>
      </c>
      <c r="B94" t="s">
        <v>1043</v>
      </c>
      <c r="C94" t="s">
        <v>1046</v>
      </c>
      <c r="D94" t="s">
        <v>1047</v>
      </c>
      <c r="E94" t="s">
        <v>1098</v>
      </c>
      <c r="F94" s="7" t="s">
        <v>1084</v>
      </c>
      <c r="G94" s="7"/>
      <c r="H94" s="7"/>
      <c r="I94" s="7" t="s">
        <v>1098</v>
      </c>
      <c r="J94" s="7"/>
      <c r="K94" s="9">
        <v>45911</v>
      </c>
    </row>
    <row r="95" spans="1:11">
      <c r="A95" t="s">
        <v>1301</v>
      </c>
      <c r="B95" t="s">
        <v>1043</v>
      </c>
      <c r="C95" t="s">
        <v>911</v>
      </c>
      <c r="D95" t="s">
        <v>912</v>
      </c>
      <c r="E95" t="s">
        <v>1103</v>
      </c>
      <c r="F95" s="7" t="s">
        <v>1102</v>
      </c>
      <c r="G95" s="7"/>
      <c r="H95" s="7"/>
      <c r="I95" s="7" t="s">
        <v>1103</v>
      </c>
      <c r="J95" s="7"/>
      <c r="K95" s="9">
        <v>45911</v>
      </c>
    </row>
    <row r="96" spans="1:11">
      <c r="A96" t="s">
        <v>1301</v>
      </c>
      <c r="B96" t="s">
        <v>1043</v>
      </c>
      <c r="C96" t="s">
        <v>1009</v>
      </c>
      <c r="D96" t="s">
        <v>1010</v>
      </c>
      <c r="E96" t="s">
        <v>1197</v>
      </c>
      <c r="F96" s="7" t="s">
        <v>1094</v>
      </c>
      <c r="G96" s="7"/>
      <c r="H96" s="7"/>
      <c r="I96" s="7" t="s">
        <v>1197</v>
      </c>
      <c r="J96" s="7"/>
      <c r="K96" s="9">
        <v>45911</v>
      </c>
    </row>
    <row r="97" spans="1:11">
      <c r="A97" t="s">
        <v>1301</v>
      </c>
      <c r="B97" t="s">
        <v>1043</v>
      </c>
      <c r="C97" t="s">
        <v>1048</v>
      </c>
      <c r="D97" t="s">
        <v>1049</v>
      </c>
      <c r="E97" t="s">
        <v>1085</v>
      </c>
      <c r="F97" s="7" t="s">
        <v>1084</v>
      </c>
      <c r="G97" s="7"/>
      <c r="H97" s="7"/>
      <c r="I97" s="7" t="s">
        <v>1085</v>
      </c>
      <c r="J97" s="7"/>
      <c r="K97" s="9">
        <v>45911</v>
      </c>
    </row>
    <row r="98" spans="1:11">
      <c r="A98" t="s">
        <v>1301</v>
      </c>
      <c r="B98" t="s">
        <v>1050</v>
      </c>
      <c r="C98" t="s">
        <v>1051</v>
      </c>
      <c r="D98" t="s">
        <v>1052</v>
      </c>
      <c r="E98" t="s">
        <v>1198</v>
      </c>
      <c r="F98" s="7" t="s">
        <v>1172</v>
      </c>
      <c r="G98" s="7"/>
      <c r="H98" s="7"/>
      <c r="I98" s="7" t="s">
        <v>1198</v>
      </c>
      <c r="J98" s="7"/>
      <c r="K98" s="9">
        <v>45930</v>
      </c>
    </row>
    <row r="99" spans="1:11">
      <c r="A99" t="s">
        <v>1301</v>
      </c>
      <c r="B99" t="s">
        <v>1050</v>
      </c>
      <c r="C99" t="s">
        <v>1003</v>
      </c>
      <c r="D99" t="s">
        <v>1004</v>
      </c>
      <c r="E99" t="s">
        <v>1199</v>
      </c>
      <c r="F99" s="7" t="s">
        <v>1153</v>
      </c>
      <c r="G99" s="7"/>
      <c r="H99" s="7"/>
      <c r="I99" s="7" t="s">
        <v>1199</v>
      </c>
      <c r="J99" s="7"/>
      <c r="K99" s="9">
        <v>45930</v>
      </c>
    </row>
    <row r="100" spans="1:11">
      <c r="A100" t="s">
        <v>1301</v>
      </c>
      <c r="B100" t="s">
        <v>1050</v>
      </c>
      <c r="C100" t="s">
        <v>885</v>
      </c>
      <c r="D100" t="s">
        <v>886</v>
      </c>
      <c r="E100" t="s">
        <v>1200</v>
      </c>
      <c r="F100" s="7" t="s">
        <v>1108</v>
      </c>
      <c r="G100" s="7"/>
      <c r="H100" s="7"/>
      <c r="I100" s="7" t="s">
        <v>1200</v>
      </c>
      <c r="J100" s="7"/>
      <c r="K100" s="9">
        <v>45930</v>
      </c>
    </row>
    <row r="101" spans="1:11">
      <c r="A101" t="s">
        <v>1301</v>
      </c>
      <c r="B101" t="s">
        <v>1050</v>
      </c>
      <c r="C101" t="s">
        <v>1053</v>
      </c>
      <c r="D101" t="s">
        <v>1054</v>
      </c>
      <c r="E101" t="s">
        <v>1201</v>
      </c>
      <c r="F101" s="7" t="s">
        <v>1081</v>
      </c>
      <c r="G101" s="7"/>
      <c r="H101" s="7"/>
      <c r="I101" s="7" t="s">
        <v>1201</v>
      </c>
      <c r="J101" s="7"/>
      <c r="K101" s="9">
        <v>45930</v>
      </c>
    </row>
    <row r="102" spans="1:11">
      <c r="A102" t="s">
        <v>1301</v>
      </c>
      <c r="B102" t="s">
        <v>1055</v>
      </c>
      <c r="C102" t="s">
        <v>1000</v>
      </c>
      <c r="D102" t="s">
        <v>1001</v>
      </c>
      <c r="E102" t="s">
        <v>1094</v>
      </c>
      <c r="F102" s="7" t="s">
        <v>1202</v>
      </c>
      <c r="G102" s="7"/>
      <c r="H102" s="7"/>
      <c r="I102" s="7" t="s">
        <v>1203</v>
      </c>
      <c r="J102" s="7"/>
      <c r="K102" s="9">
        <v>45945</v>
      </c>
    </row>
    <row r="103" spans="1:11">
      <c r="A103" t="s">
        <v>1301</v>
      </c>
      <c r="B103" t="s">
        <v>1055</v>
      </c>
      <c r="C103" t="s">
        <v>1000</v>
      </c>
      <c r="D103" t="s">
        <v>1001</v>
      </c>
      <c r="E103" t="s">
        <v>1094</v>
      </c>
      <c r="F103" s="7" t="s">
        <v>1202</v>
      </c>
      <c r="G103" s="7"/>
      <c r="H103" s="7"/>
      <c r="I103" s="7" t="s">
        <v>1203</v>
      </c>
      <c r="J103" s="7"/>
      <c r="K103" s="9">
        <v>45975</v>
      </c>
    </row>
    <row r="104" spans="1:11">
      <c r="A104" t="s">
        <v>1301</v>
      </c>
      <c r="B104" t="s">
        <v>1056</v>
      </c>
      <c r="C104" t="s">
        <v>966</v>
      </c>
      <c r="D104" t="s">
        <v>978</v>
      </c>
      <c r="E104" t="s">
        <v>1204</v>
      </c>
      <c r="F104" s="7" t="s">
        <v>1205</v>
      </c>
      <c r="G104" s="7"/>
      <c r="H104" s="7"/>
      <c r="I104" s="7" t="s">
        <v>1204</v>
      </c>
      <c r="J104" s="7"/>
      <c r="K104" s="9">
        <v>46106</v>
      </c>
    </row>
    <row r="105" spans="1:11">
      <c r="A105" t="s">
        <v>1301</v>
      </c>
      <c r="B105" t="s">
        <v>1056</v>
      </c>
      <c r="C105" t="s">
        <v>1057</v>
      </c>
      <c r="D105" t="s">
        <v>1058</v>
      </c>
      <c r="E105" t="s">
        <v>1085</v>
      </c>
      <c r="F105" s="7" t="s">
        <v>1084</v>
      </c>
      <c r="G105" s="7"/>
      <c r="H105" s="7"/>
      <c r="I105" s="7" t="s">
        <v>1085</v>
      </c>
      <c r="J105" s="7"/>
      <c r="K105" s="9">
        <v>46106</v>
      </c>
    </row>
    <row r="106" spans="1:11">
      <c r="A106" t="s">
        <v>1301</v>
      </c>
      <c r="B106" t="s">
        <v>1056</v>
      </c>
      <c r="C106" t="s">
        <v>894</v>
      </c>
      <c r="D106" t="s">
        <v>895</v>
      </c>
      <c r="E106" t="s">
        <v>1206</v>
      </c>
      <c r="F106" s="7" t="s">
        <v>1081</v>
      </c>
      <c r="G106" s="7"/>
      <c r="H106" s="7"/>
      <c r="I106" s="7" t="s">
        <v>1206</v>
      </c>
      <c r="J106" s="7"/>
      <c r="K106" s="9">
        <v>46106</v>
      </c>
    </row>
    <row r="107" spans="1:11">
      <c r="A107" t="s">
        <v>1301</v>
      </c>
      <c r="B107" t="s">
        <v>1056</v>
      </c>
      <c r="C107" t="s">
        <v>966</v>
      </c>
      <c r="D107" t="s">
        <v>978</v>
      </c>
      <c r="E107" t="s">
        <v>1204</v>
      </c>
      <c r="F107" s="7" t="s">
        <v>1207</v>
      </c>
      <c r="G107" s="7"/>
      <c r="H107" s="7"/>
      <c r="I107" s="7" t="s">
        <v>1204</v>
      </c>
      <c r="J107" s="7"/>
      <c r="K107" s="9">
        <v>46106</v>
      </c>
    </row>
    <row r="108" spans="1:11">
      <c r="A108" t="s">
        <v>1301</v>
      </c>
      <c r="B108" t="s">
        <v>1056</v>
      </c>
      <c r="C108" t="s">
        <v>885</v>
      </c>
      <c r="D108" t="s">
        <v>886</v>
      </c>
      <c r="E108" t="s">
        <v>1208</v>
      </c>
      <c r="F108" s="7" t="s">
        <v>1121</v>
      </c>
      <c r="G108" s="7"/>
      <c r="H108" s="7"/>
      <c r="I108" s="7" t="s">
        <v>1208</v>
      </c>
      <c r="J108" s="7"/>
      <c r="K108" s="9">
        <v>46106</v>
      </c>
    </row>
    <row r="109" spans="1:11">
      <c r="A109" t="s">
        <v>1301</v>
      </c>
      <c r="B109" t="s">
        <v>1059</v>
      </c>
      <c r="C109" t="s">
        <v>894</v>
      </c>
      <c r="D109" t="s">
        <v>895</v>
      </c>
      <c r="E109" t="s">
        <v>1209</v>
      </c>
      <c r="F109" s="7" t="s">
        <v>1090</v>
      </c>
      <c r="G109" s="7"/>
      <c r="H109" s="7"/>
      <c r="I109" s="7" t="s">
        <v>1209</v>
      </c>
      <c r="J109" s="7"/>
      <c r="K109" s="9">
        <v>46157</v>
      </c>
    </row>
    <row r="110" spans="1:11">
      <c r="A110" t="s">
        <v>1301</v>
      </c>
      <c r="B110" t="s">
        <v>1059</v>
      </c>
      <c r="C110" t="s">
        <v>1060</v>
      </c>
      <c r="D110" t="s">
        <v>1061</v>
      </c>
      <c r="E110" t="s">
        <v>1210</v>
      </c>
      <c r="F110" s="7" t="s">
        <v>1211</v>
      </c>
      <c r="G110" s="7"/>
      <c r="H110" s="7"/>
      <c r="I110" s="7" t="s">
        <v>1210</v>
      </c>
      <c r="J110" s="7"/>
      <c r="K110" s="9">
        <v>46157</v>
      </c>
    </row>
    <row r="111" spans="1:11">
      <c r="A111" t="s">
        <v>1301</v>
      </c>
      <c r="B111" t="s">
        <v>1059</v>
      </c>
      <c r="C111" t="s">
        <v>1062</v>
      </c>
      <c r="D111" t="s">
        <v>1063</v>
      </c>
      <c r="E111" t="s">
        <v>1085</v>
      </c>
      <c r="F111" s="7" t="s">
        <v>1084</v>
      </c>
      <c r="G111" s="7"/>
      <c r="H111" s="7"/>
      <c r="I111" s="7" t="s">
        <v>1085</v>
      </c>
      <c r="J111" s="7"/>
      <c r="K111" s="9">
        <v>46157</v>
      </c>
    </row>
    <row r="112" spans="1:11">
      <c r="A112" t="s">
        <v>1301</v>
      </c>
      <c r="B112" t="s">
        <v>1059</v>
      </c>
      <c r="C112" t="s">
        <v>1064</v>
      </c>
      <c r="D112" t="s">
        <v>1065</v>
      </c>
      <c r="E112" t="s">
        <v>1212</v>
      </c>
      <c r="F112" s="7" t="s">
        <v>1094</v>
      </c>
      <c r="G112" s="7"/>
      <c r="H112" s="7"/>
      <c r="I112" s="7" t="s">
        <v>1212</v>
      </c>
      <c r="J112" s="7"/>
      <c r="K112" s="9">
        <v>46157</v>
      </c>
    </row>
    <row r="113" spans="1:11">
      <c r="A113" t="s">
        <v>1301</v>
      </c>
      <c r="B113" t="s">
        <v>1059</v>
      </c>
      <c r="C113" t="s">
        <v>1009</v>
      </c>
      <c r="D113" t="s">
        <v>1010</v>
      </c>
      <c r="E113" t="s">
        <v>1143</v>
      </c>
      <c r="F113" s="7" t="s">
        <v>1205</v>
      </c>
      <c r="G113" s="7"/>
      <c r="H113" s="7"/>
      <c r="I113" s="7" t="s">
        <v>1143</v>
      </c>
      <c r="J113" s="7"/>
      <c r="K113" s="9">
        <v>46157</v>
      </c>
    </row>
    <row r="114" spans="1:11">
      <c r="A114" t="s">
        <v>1301</v>
      </c>
      <c r="B114" t="s">
        <v>1059</v>
      </c>
      <c r="C114" t="s">
        <v>1066</v>
      </c>
      <c r="D114" t="s">
        <v>1067</v>
      </c>
      <c r="E114" t="s">
        <v>1085</v>
      </c>
      <c r="F114" s="7" t="s">
        <v>1084</v>
      </c>
      <c r="G114" s="7"/>
      <c r="H114" s="7"/>
      <c r="I114" s="7" t="s">
        <v>1085</v>
      </c>
      <c r="J114" s="7"/>
      <c r="K114" s="9">
        <v>46157</v>
      </c>
    </row>
    <row r="115" spans="1:11">
      <c r="A115" t="s">
        <v>1301</v>
      </c>
      <c r="B115" t="s">
        <v>1059</v>
      </c>
      <c r="C115" t="s">
        <v>1032</v>
      </c>
      <c r="D115" t="s">
        <v>1033</v>
      </c>
      <c r="E115" t="s">
        <v>1213</v>
      </c>
      <c r="F115" s="7" t="s">
        <v>1214</v>
      </c>
      <c r="G115" s="7"/>
      <c r="H115" s="7"/>
      <c r="I115" s="7" t="s">
        <v>1213</v>
      </c>
      <c r="J115" s="7"/>
      <c r="K115" s="9">
        <v>46157</v>
      </c>
    </row>
    <row r="116" spans="1:11">
      <c r="A116" t="s">
        <v>1301</v>
      </c>
      <c r="B116" t="s">
        <v>1059</v>
      </c>
      <c r="C116" t="s">
        <v>1068</v>
      </c>
      <c r="D116" t="s">
        <v>1069</v>
      </c>
      <c r="E116" t="s">
        <v>1215</v>
      </c>
      <c r="F116" s="7" t="s">
        <v>1084</v>
      </c>
      <c r="G116" s="7"/>
      <c r="H116" s="7"/>
      <c r="I116" s="7" t="s">
        <v>1215</v>
      </c>
      <c r="J116" s="7"/>
      <c r="K116" s="9">
        <v>46157</v>
      </c>
    </row>
    <row r="117" spans="1:11">
      <c r="A117" t="s">
        <v>1301</v>
      </c>
      <c r="B117" t="s">
        <v>1059</v>
      </c>
      <c r="C117" t="s">
        <v>885</v>
      </c>
      <c r="D117" t="s">
        <v>931</v>
      </c>
      <c r="E117" t="s">
        <v>1216</v>
      </c>
      <c r="F117" s="7" t="s">
        <v>1217</v>
      </c>
      <c r="G117" s="7"/>
      <c r="H117" s="7"/>
      <c r="I117" s="7" t="s">
        <v>1216</v>
      </c>
      <c r="J117" s="7"/>
      <c r="K117" s="9">
        <v>46157</v>
      </c>
    </row>
    <row r="118" spans="1:11">
      <c r="A118" t="s">
        <v>1301</v>
      </c>
      <c r="B118" t="s">
        <v>1070</v>
      </c>
      <c r="C118" t="s">
        <v>1071</v>
      </c>
      <c r="D118" t="s">
        <v>1042</v>
      </c>
      <c r="E118" t="s">
        <v>1218</v>
      </c>
      <c r="F118" s="7" t="s">
        <v>1219</v>
      </c>
      <c r="G118" s="7"/>
      <c r="H118" s="7"/>
      <c r="I118" s="7" t="s">
        <v>1218</v>
      </c>
      <c r="J118" s="7"/>
      <c r="K118" s="9">
        <v>46220</v>
      </c>
    </row>
    <row r="119" spans="1:11">
      <c r="A119" t="s">
        <v>1301</v>
      </c>
      <c r="B119" t="s">
        <v>1072</v>
      </c>
      <c r="C119" t="s">
        <v>1073</v>
      </c>
      <c r="D119" t="s">
        <v>1042</v>
      </c>
      <c r="E119" t="s">
        <v>1220</v>
      </c>
      <c r="F119" s="7" t="s">
        <v>1221</v>
      </c>
      <c r="G119" s="7"/>
      <c r="H119" s="7"/>
      <c r="I119" s="7" t="s">
        <v>1220</v>
      </c>
      <c r="J119" s="7"/>
      <c r="K119" s="9">
        <v>46178</v>
      </c>
    </row>
    <row r="120" spans="1:11">
      <c r="A120" t="s">
        <v>1301</v>
      </c>
      <c r="B120" t="s">
        <v>1072</v>
      </c>
      <c r="C120" t="s">
        <v>1074</v>
      </c>
      <c r="D120" t="s">
        <v>1075</v>
      </c>
      <c r="E120" t="s">
        <v>1085</v>
      </c>
      <c r="F120" s="7" t="s">
        <v>1084</v>
      </c>
      <c r="G120" s="7"/>
      <c r="H120" s="7"/>
      <c r="I120" s="7" t="s">
        <v>1085</v>
      </c>
      <c r="J120" s="7"/>
      <c r="K120" s="9">
        <v>46178</v>
      </c>
    </row>
    <row r="121" spans="1:11">
      <c r="A121" t="s">
        <v>1301</v>
      </c>
      <c r="B121" t="s">
        <v>925</v>
      </c>
      <c r="C121" t="s">
        <v>926</v>
      </c>
      <c r="D121" t="s">
        <v>927</v>
      </c>
      <c r="E121" t="s">
        <v>1108</v>
      </c>
      <c r="F121" s="7" t="s">
        <v>1225</v>
      </c>
      <c r="G121" s="7" t="s">
        <v>1226</v>
      </c>
      <c r="H121" s="7" t="s">
        <v>1226</v>
      </c>
      <c r="I121" s="7" t="s">
        <v>1227</v>
      </c>
      <c r="J121" s="7">
        <v>0.23</v>
      </c>
      <c r="K121" s="9">
        <v>45496</v>
      </c>
    </row>
    <row r="122" spans="1:11">
      <c r="A122" t="s">
        <v>1301</v>
      </c>
      <c r="B122" t="s">
        <v>925</v>
      </c>
      <c r="C122" t="s">
        <v>928</v>
      </c>
      <c r="D122" t="s">
        <v>929</v>
      </c>
      <c r="E122" t="s">
        <v>1084</v>
      </c>
      <c r="F122" s="7" t="s">
        <v>1098</v>
      </c>
      <c r="G122" s="7" t="s">
        <v>1226</v>
      </c>
      <c r="H122" s="7" t="s">
        <v>1226</v>
      </c>
      <c r="I122" s="7" t="s">
        <v>1228</v>
      </c>
      <c r="J122" s="7">
        <v>0.23</v>
      </c>
      <c r="K122" s="9">
        <v>45496</v>
      </c>
    </row>
    <row r="123" spans="1:11">
      <c r="A123" t="s">
        <v>1301</v>
      </c>
      <c r="B123" t="s">
        <v>930</v>
      </c>
      <c r="C123" t="s">
        <v>885</v>
      </c>
      <c r="D123" t="s">
        <v>931</v>
      </c>
      <c r="E123" t="s">
        <v>1229</v>
      </c>
      <c r="F123" s="7" t="s">
        <v>1230</v>
      </c>
      <c r="G123" s="7" t="s">
        <v>1226</v>
      </c>
      <c r="H123" s="7" t="s">
        <v>1226</v>
      </c>
      <c r="I123" s="7" t="s">
        <v>1231</v>
      </c>
      <c r="J123" s="7">
        <v>0.23</v>
      </c>
      <c r="K123" s="9">
        <v>45700</v>
      </c>
    </row>
    <row r="124" spans="1:11">
      <c r="A124" t="s">
        <v>1301</v>
      </c>
      <c r="B124" t="s">
        <v>932</v>
      </c>
      <c r="C124" t="s">
        <v>933</v>
      </c>
      <c r="D124" t="s">
        <v>934</v>
      </c>
      <c r="E124" t="s">
        <v>1232</v>
      </c>
      <c r="F124" s="7" t="s">
        <v>1233</v>
      </c>
      <c r="G124" s="7" t="s">
        <v>1226</v>
      </c>
      <c r="H124" s="7" t="s">
        <v>1226</v>
      </c>
      <c r="I124" s="7" t="s">
        <v>1234</v>
      </c>
      <c r="J124" s="7">
        <v>0.23</v>
      </c>
      <c r="K124" s="9">
        <v>45688</v>
      </c>
    </row>
    <row r="125" spans="1:11">
      <c r="A125" t="s">
        <v>1301</v>
      </c>
      <c r="B125" t="s">
        <v>932</v>
      </c>
      <c r="C125" t="s">
        <v>935</v>
      </c>
      <c r="D125" t="s">
        <v>936</v>
      </c>
      <c r="E125" t="s">
        <v>1084</v>
      </c>
      <c r="F125" s="7" t="s">
        <v>1085</v>
      </c>
      <c r="G125" s="7" t="s">
        <v>1226</v>
      </c>
      <c r="H125" s="7" t="s">
        <v>1226</v>
      </c>
      <c r="I125" s="7" t="s">
        <v>1235</v>
      </c>
      <c r="J125" s="7">
        <v>0.23</v>
      </c>
      <c r="K125" s="9">
        <v>45688</v>
      </c>
    </row>
    <row r="126" spans="1:11">
      <c r="A126" t="s">
        <v>1301</v>
      </c>
      <c r="B126" t="s">
        <v>932</v>
      </c>
      <c r="C126" t="s">
        <v>937</v>
      </c>
      <c r="D126" t="s">
        <v>938</v>
      </c>
      <c r="E126" t="s">
        <v>1232</v>
      </c>
      <c r="F126" s="7" t="s">
        <v>1236</v>
      </c>
      <c r="G126" s="7" t="s">
        <v>1226</v>
      </c>
      <c r="H126" s="7" t="s">
        <v>1226</v>
      </c>
      <c r="I126" s="7" t="s">
        <v>1237</v>
      </c>
      <c r="J126" s="7">
        <v>0.23</v>
      </c>
      <c r="K126" s="9">
        <v>45688</v>
      </c>
    </row>
    <row r="127" spans="1:11">
      <c r="A127" t="s">
        <v>1301</v>
      </c>
      <c r="B127" t="s">
        <v>932</v>
      </c>
      <c r="C127" t="s">
        <v>939</v>
      </c>
      <c r="D127" t="s">
        <v>940</v>
      </c>
      <c r="E127" t="s">
        <v>1084</v>
      </c>
      <c r="F127" s="7" t="s">
        <v>1085</v>
      </c>
      <c r="G127" s="7" t="s">
        <v>1226</v>
      </c>
      <c r="H127" s="7" t="s">
        <v>1226</v>
      </c>
      <c r="I127" s="7" t="s">
        <v>1235</v>
      </c>
      <c r="J127" s="7">
        <v>0.23</v>
      </c>
      <c r="K127" s="9">
        <v>45688</v>
      </c>
    </row>
    <row r="128" spans="1:11">
      <c r="A128" t="s">
        <v>1301</v>
      </c>
      <c r="B128" t="s">
        <v>932</v>
      </c>
      <c r="C128" t="s">
        <v>941</v>
      </c>
      <c r="D128" t="s">
        <v>942</v>
      </c>
      <c r="E128" t="s">
        <v>1153</v>
      </c>
      <c r="F128" s="7" t="s">
        <v>1238</v>
      </c>
      <c r="G128" s="7" t="s">
        <v>1226</v>
      </c>
      <c r="H128" s="7" t="s">
        <v>1226</v>
      </c>
      <c r="I128" s="7" t="s">
        <v>1239</v>
      </c>
      <c r="J128" s="7">
        <v>0.23</v>
      </c>
      <c r="K128" s="9">
        <v>45688</v>
      </c>
    </row>
    <row r="129" spans="1:11">
      <c r="A129" t="s">
        <v>1301</v>
      </c>
      <c r="B129" t="s">
        <v>932</v>
      </c>
      <c r="C129" t="s">
        <v>943</v>
      </c>
      <c r="D129" t="s">
        <v>944</v>
      </c>
      <c r="E129" t="s">
        <v>1240</v>
      </c>
      <c r="F129" s="7" t="s">
        <v>1241</v>
      </c>
      <c r="G129" s="7" t="s">
        <v>1242</v>
      </c>
      <c r="H129" s="7" t="s">
        <v>1226</v>
      </c>
      <c r="I129" s="7" t="s">
        <v>1243</v>
      </c>
      <c r="J129" s="7">
        <v>0.23</v>
      </c>
      <c r="K129" s="9">
        <v>45688</v>
      </c>
    </row>
    <row r="130" spans="1:11">
      <c r="A130" t="s">
        <v>1301</v>
      </c>
      <c r="B130" t="s">
        <v>945</v>
      </c>
      <c r="C130" t="s">
        <v>926</v>
      </c>
      <c r="D130" t="s">
        <v>927</v>
      </c>
      <c r="E130" t="s">
        <v>1108</v>
      </c>
      <c r="F130" s="7" t="s">
        <v>1244</v>
      </c>
      <c r="G130" s="7" t="s">
        <v>1226</v>
      </c>
      <c r="H130" s="7" t="s">
        <v>1226</v>
      </c>
      <c r="I130" s="7" t="s">
        <v>1245</v>
      </c>
      <c r="J130" s="7">
        <v>0.23</v>
      </c>
      <c r="K130" s="9">
        <v>45576</v>
      </c>
    </row>
    <row r="131" spans="1:11">
      <c r="A131" t="s">
        <v>1301</v>
      </c>
      <c r="B131" t="s">
        <v>945</v>
      </c>
      <c r="C131" t="s">
        <v>946</v>
      </c>
      <c r="D131" t="s">
        <v>947</v>
      </c>
      <c r="E131" t="s">
        <v>1084</v>
      </c>
      <c r="F131" s="7" t="s">
        <v>1085</v>
      </c>
      <c r="G131" s="7" t="s">
        <v>1226</v>
      </c>
      <c r="H131" s="7" t="s">
        <v>1226</v>
      </c>
      <c r="I131" s="7" t="s">
        <v>1235</v>
      </c>
      <c r="J131" s="7">
        <v>0.23</v>
      </c>
      <c r="K131" s="9">
        <v>45576</v>
      </c>
    </row>
    <row r="132" spans="1:11">
      <c r="A132" t="s">
        <v>1301</v>
      </c>
      <c r="B132" t="s">
        <v>948</v>
      </c>
      <c r="C132" t="s">
        <v>949</v>
      </c>
      <c r="D132" t="s">
        <v>950</v>
      </c>
      <c r="E132" t="s">
        <v>1094</v>
      </c>
      <c r="F132" s="7" t="s">
        <v>1246</v>
      </c>
      <c r="G132" s="7" t="s">
        <v>1226</v>
      </c>
      <c r="H132" s="7" t="s">
        <v>1226</v>
      </c>
      <c r="I132" s="7" t="s">
        <v>1247</v>
      </c>
      <c r="J132" s="7">
        <v>0.23</v>
      </c>
      <c r="K132" s="9">
        <v>45539</v>
      </c>
    </row>
    <row r="133" spans="1:11">
      <c r="A133" t="s">
        <v>1301</v>
      </c>
      <c r="B133" t="s">
        <v>951</v>
      </c>
      <c r="C133" t="s">
        <v>885</v>
      </c>
      <c r="D133" t="s">
        <v>886</v>
      </c>
      <c r="E133" t="s">
        <v>1229</v>
      </c>
      <c r="F133" s="7" t="s">
        <v>1248</v>
      </c>
      <c r="G133" s="7" t="s">
        <v>1226</v>
      </c>
      <c r="H133" s="7" t="s">
        <v>1226</v>
      </c>
      <c r="I133" s="7" t="s">
        <v>1249</v>
      </c>
      <c r="J133" s="7">
        <v>0.23</v>
      </c>
      <c r="K133" s="9">
        <v>45611</v>
      </c>
    </row>
    <row r="134" spans="1:11">
      <c r="A134" t="s">
        <v>1301</v>
      </c>
      <c r="B134" t="s">
        <v>952</v>
      </c>
      <c r="C134" t="s">
        <v>896</v>
      </c>
      <c r="D134" t="s">
        <v>953</v>
      </c>
      <c r="E134" t="s">
        <v>1094</v>
      </c>
      <c r="F134" s="7" t="s">
        <v>1250</v>
      </c>
      <c r="G134" s="7" t="s">
        <v>1226</v>
      </c>
      <c r="H134" s="7" t="s">
        <v>1226</v>
      </c>
      <c r="I134" s="7" t="s">
        <v>1251</v>
      </c>
      <c r="J134" s="7">
        <v>0.23</v>
      </c>
      <c r="K134" s="9">
        <v>45629</v>
      </c>
    </row>
    <row r="135" spans="1:11">
      <c r="A135" t="s">
        <v>1301</v>
      </c>
      <c r="B135" t="s">
        <v>952</v>
      </c>
      <c r="C135" t="s">
        <v>954</v>
      </c>
      <c r="D135" t="s">
        <v>955</v>
      </c>
      <c r="E135" t="s">
        <v>1081</v>
      </c>
      <c r="F135" s="7" t="s">
        <v>1252</v>
      </c>
      <c r="G135" s="7" t="s">
        <v>1226</v>
      </c>
      <c r="H135" s="7" t="s">
        <v>1226</v>
      </c>
      <c r="I135" s="7" t="s">
        <v>1253</v>
      </c>
      <c r="J135" s="7">
        <v>0.23</v>
      </c>
      <c r="K135" s="9">
        <v>45629</v>
      </c>
    </row>
    <row r="136" spans="1:11">
      <c r="A136" t="s">
        <v>1301</v>
      </c>
      <c r="B136" t="s">
        <v>952</v>
      </c>
      <c r="C136" t="s">
        <v>956</v>
      </c>
      <c r="D136" t="s">
        <v>957</v>
      </c>
      <c r="E136" t="s">
        <v>1094</v>
      </c>
      <c r="F136" s="7" t="s">
        <v>1254</v>
      </c>
      <c r="G136" s="7" t="s">
        <v>1226</v>
      </c>
      <c r="H136" s="7" t="s">
        <v>1226</v>
      </c>
      <c r="I136" s="7" t="s">
        <v>1255</v>
      </c>
      <c r="J136" s="7">
        <v>0.23</v>
      </c>
      <c r="K136" s="9">
        <v>45629</v>
      </c>
    </row>
    <row r="137" spans="1:11">
      <c r="A137" t="s">
        <v>1301</v>
      </c>
      <c r="B137" t="s">
        <v>952</v>
      </c>
      <c r="C137" t="s">
        <v>958</v>
      </c>
      <c r="D137" t="s">
        <v>959</v>
      </c>
      <c r="E137" t="s">
        <v>1084</v>
      </c>
      <c r="F137" s="7" t="s">
        <v>1085</v>
      </c>
      <c r="G137" s="7" t="s">
        <v>1226</v>
      </c>
      <c r="H137" s="7" t="s">
        <v>1226</v>
      </c>
      <c r="I137" s="7" t="s">
        <v>1235</v>
      </c>
      <c r="J137" s="7">
        <v>0.23</v>
      </c>
      <c r="K137" s="9">
        <v>45629</v>
      </c>
    </row>
    <row r="138" spans="1:11">
      <c r="A138" t="s">
        <v>1301</v>
      </c>
      <c r="B138" t="s">
        <v>952</v>
      </c>
      <c r="C138" t="s">
        <v>960</v>
      </c>
      <c r="D138" t="s">
        <v>961</v>
      </c>
      <c r="E138" t="s">
        <v>1094</v>
      </c>
      <c r="F138" s="7" t="s">
        <v>1256</v>
      </c>
      <c r="G138" s="7" t="s">
        <v>1226</v>
      </c>
      <c r="H138" s="7" t="s">
        <v>1226</v>
      </c>
      <c r="I138" s="7" t="s">
        <v>1257</v>
      </c>
      <c r="J138" s="7">
        <v>0.23</v>
      </c>
      <c r="K138" s="9">
        <v>45629</v>
      </c>
    </row>
    <row r="139" spans="1:11">
      <c r="A139" t="s">
        <v>1301</v>
      </c>
      <c r="B139" t="s">
        <v>962</v>
      </c>
      <c r="C139" t="s">
        <v>885</v>
      </c>
      <c r="D139" t="s">
        <v>886</v>
      </c>
      <c r="E139" t="s">
        <v>1121</v>
      </c>
      <c r="F139" s="7" t="s">
        <v>1258</v>
      </c>
      <c r="G139" s="7" t="s">
        <v>1226</v>
      </c>
      <c r="H139" s="7" t="s">
        <v>1226</v>
      </c>
      <c r="I139" s="7" t="s">
        <v>1259</v>
      </c>
      <c r="J139" s="7">
        <v>0.23</v>
      </c>
      <c r="K139" s="9">
        <v>45524</v>
      </c>
    </row>
    <row r="140" spans="1:11">
      <c r="A140" t="s">
        <v>1301</v>
      </c>
      <c r="B140" t="s">
        <v>963</v>
      </c>
      <c r="C140" t="s">
        <v>926</v>
      </c>
      <c r="D140" t="s">
        <v>927</v>
      </c>
      <c r="E140" t="s">
        <v>1260</v>
      </c>
      <c r="F140" s="7" t="s">
        <v>1261</v>
      </c>
      <c r="G140" s="7" t="s">
        <v>1226</v>
      </c>
      <c r="H140" s="7" t="s">
        <v>1226</v>
      </c>
      <c r="I140" s="7" t="s">
        <v>1262</v>
      </c>
      <c r="J140" s="7">
        <v>0.23</v>
      </c>
      <c r="K140" s="9">
        <v>45524</v>
      </c>
    </row>
    <row r="141" spans="1:11">
      <c r="A141" t="s">
        <v>1301</v>
      </c>
      <c r="B141" t="s">
        <v>963</v>
      </c>
      <c r="C141" t="s">
        <v>964</v>
      </c>
      <c r="D141" t="s">
        <v>965</v>
      </c>
      <c r="E141" t="s">
        <v>1084</v>
      </c>
      <c r="F141" s="7" t="s">
        <v>1085</v>
      </c>
      <c r="G141" s="7" t="s">
        <v>1226</v>
      </c>
      <c r="H141" s="7" t="s">
        <v>1226</v>
      </c>
      <c r="I141" s="7" t="s">
        <v>1235</v>
      </c>
      <c r="J141" s="7">
        <v>0.23</v>
      </c>
      <c r="K141" s="9">
        <v>45524</v>
      </c>
    </row>
    <row r="142" spans="1:11">
      <c r="A142" t="s">
        <v>1301</v>
      </c>
      <c r="B142" t="s">
        <v>963</v>
      </c>
      <c r="C142" t="s">
        <v>966</v>
      </c>
      <c r="D142" t="s">
        <v>967</v>
      </c>
      <c r="E142" t="s">
        <v>1205</v>
      </c>
      <c r="F142" s="7" t="s">
        <v>1263</v>
      </c>
      <c r="G142" s="7" t="s">
        <v>1226</v>
      </c>
      <c r="H142" s="7" t="s">
        <v>1226</v>
      </c>
      <c r="I142" s="7" t="s">
        <v>1264</v>
      </c>
      <c r="J142" s="7">
        <v>0.23</v>
      </c>
      <c r="K142" s="9">
        <v>45524</v>
      </c>
    </row>
    <row r="143" spans="1:11">
      <c r="A143" t="s">
        <v>1301</v>
      </c>
      <c r="B143" t="s">
        <v>963</v>
      </c>
      <c r="C143" t="s">
        <v>968</v>
      </c>
      <c r="D143" t="s">
        <v>969</v>
      </c>
      <c r="E143" t="s">
        <v>1084</v>
      </c>
      <c r="F143" s="7" t="s">
        <v>1085</v>
      </c>
      <c r="G143" s="7" t="s">
        <v>1226</v>
      </c>
      <c r="H143" s="7" t="s">
        <v>1226</v>
      </c>
      <c r="I143" s="7" t="s">
        <v>1235</v>
      </c>
      <c r="J143" s="7">
        <v>0.23</v>
      </c>
      <c r="K143" s="9">
        <v>45524</v>
      </c>
    </row>
    <row r="144" spans="1:11">
      <c r="A144" t="s">
        <v>1301</v>
      </c>
      <c r="B144" t="s">
        <v>963</v>
      </c>
      <c r="C144" t="s">
        <v>1133</v>
      </c>
      <c r="D144" t="s">
        <v>661</v>
      </c>
      <c r="E144" t="s">
        <v>1084</v>
      </c>
      <c r="F144" s="7" t="s">
        <v>1265</v>
      </c>
      <c r="G144" s="7" t="s">
        <v>1226</v>
      </c>
      <c r="H144" s="7" t="s">
        <v>1226</v>
      </c>
      <c r="I144" s="7" t="s">
        <v>1266</v>
      </c>
      <c r="J144" s="7">
        <v>0.23</v>
      </c>
      <c r="K144" s="9">
        <v>45524</v>
      </c>
    </row>
    <row r="145" spans="1:11">
      <c r="A145" t="s">
        <v>1301</v>
      </c>
      <c r="B145" t="s">
        <v>970</v>
      </c>
      <c r="C145" t="s">
        <v>885</v>
      </c>
      <c r="D145" t="s">
        <v>931</v>
      </c>
      <c r="E145" t="s">
        <v>1121</v>
      </c>
      <c r="F145" s="7" t="s">
        <v>1258</v>
      </c>
      <c r="G145" s="7" t="s">
        <v>1226</v>
      </c>
      <c r="H145" s="7" t="s">
        <v>1226</v>
      </c>
      <c r="I145" s="7" t="s">
        <v>1259</v>
      </c>
      <c r="J145" s="7">
        <v>0.23</v>
      </c>
      <c r="K145" s="9">
        <v>45523</v>
      </c>
    </row>
    <row r="146" spans="1:11">
      <c r="A146" t="s">
        <v>1301</v>
      </c>
      <c r="B146" t="s">
        <v>970</v>
      </c>
      <c r="C146" t="s">
        <v>926</v>
      </c>
      <c r="D146" t="s">
        <v>927</v>
      </c>
      <c r="E146" t="s">
        <v>1260</v>
      </c>
      <c r="F146" s="7" t="s">
        <v>1261</v>
      </c>
      <c r="G146" s="7" t="s">
        <v>1226</v>
      </c>
      <c r="H146" s="7" t="s">
        <v>1226</v>
      </c>
      <c r="I146" s="7" t="s">
        <v>1262</v>
      </c>
      <c r="J146" s="7">
        <v>0.23</v>
      </c>
      <c r="K146" s="9">
        <v>45523</v>
      </c>
    </row>
    <row r="147" spans="1:11">
      <c r="A147" t="s">
        <v>1301</v>
      </c>
      <c r="B147" t="s">
        <v>970</v>
      </c>
      <c r="C147" t="s">
        <v>964</v>
      </c>
      <c r="D147" t="s">
        <v>965</v>
      </c>
      <c r="E147" t="s">
        <v>1084</v>
      </c>
      <c r="F147" s="7" t="s">
        <v>1085</v>
      </c>
      <c r="G147" s="7" t="s">
        <v>1226</v>
      </c>
      <c r="H147" s="7" t="s">
        <v>1226</v>
      </c>
      <c r="I147" s="7" t="s">
        <v>1235</v>
      </c>
      <c r="J147" s="7">
        <v>0.23</v>
      </c>
      <c r="K147" s="9">
        <v>45523</v>
      </c>
    </row>
    <row r="148" spans="1:11">
      <c r="A148" t="s">
        <v>1301</v>
      </c>
      <c r="B148" t="s">
        <v>970</v>
      </c>
      <c r="C148" t="s">
        <v>966</v>
      </c>
      <c r="D148" t="s">
        <v>967</v>
      </c>
      <c r="E148" t="s">
        <v>1205</v>
      </c>
      <c r="F148" s="7" t="s">
        <v>1263</v>
      </c>
      <c r="G148" s="7" t="s">
        <v>1226</v>
      </c>
      <c r="H148" s="7" t="s">
        <v>1226</v>
      </c>
      <c r="I148" s="7" t="s">
        <v>1264</v>
      </c>
      <c r="J148" s="7">
        <v>0.23</v>
      </c>
      <c r="K148" s="9">
        <v>45523</v>
      </c>
    </row>
    <row r="149" spans="1:11">
      <c r="A149" t="s">
        <v>1301</v>
      </c>
      <c r="B149" t="s">
        <v>970</v>
      </c>
      <c r="C149" t="s">
        <v>968</v>
      </c>
      <c r="D149" t="s">
        <v>969</v>
      </c>
      <c r="E149" t="s">
        <v>1084</v>
      </c>
      <c r="F149" s="7" t="s">
        <v>1085</v>
      </c>
      <c r="G149" s="7" t="s">
        <v>1226</v>
      </c>
      <c r="H149" s="7" t="s">
        <v>1226</v>
      </c>
      <c r="I149" s="7" t="s">
        <v>1235</v>
      </c>
      <c r="J149" s="7">
        <v>0.23</v>
      </c>
      <c r="K149" s="9">
        <v>45523</v>
      </c>
    </row>
    <row r="150" spans="1:11">
      <c r="A150" t="s">
        <v>1301</v>
      </c>
      <c r="B150" t="s">
        <v>970</v>
      </c>
      <c r="C150" t="s">
        <v>971</v>
      </c>
      <c r="D150" t="s">
        <v>972</v>
      </c>
      <c r="E150" t="s">
        <v>1267</v>
      </c>
      <c r="F150" s="7" t="s">
        <v>1268</v>
      </c>
      <c r="G150" s="7" t="s">
        <v>1269</v>
      </c>
      <c r="H150" s="7" t="s">
        <v>1226</v>
      </c>
      <c r="I150" s="7" t="s">
        <v>1270</v>
      </c>
      <c r="J150" s="7">
        <v>0.23</v>
      </c>
      <c r="K150" s="9">
        <v>45523</v>
      </c>
    </row>
    <row r="151" spans="1:11">
      <c r="A151" t="s">
        <v>1301</v>
      </c>
      <c r="B151" t="s">
        <v>970</v>
      </c>
      <c r="C151" t="s">
        <v>973</v>
      </c>
      <c r="D151" t="s">
        <v>974</v>
      </c>
      <c r="E151" t="s">
        <v>1267</v>
      </c>
      <c r="F151" s="7" t="s">
        <v>1271</v>
      </c>
      <c r="G151" s="7" t="s">
        <v>1269</v>
      </c>
      <c r="H151" s="7" t="s">
        <v>1226</v>
      </c>
      <c r="I151" s="7" t="s">
        <v>1272</v>
      </c>
      <c r="J151" s="7">
        <v>0.23</v>
      </c>
      <c r="K151" s="9">
        <v>45523</v>
      </c>
    </row>
    <row r="152" spans="1:11">
      <c r="A152" t="s">
        <v>1301</v>
      </c>
      <c r="B152" t="s">
        <v>970</v>
      </c>
      <c r="C152" t="s">
        <v>975</v>
      </c>
      <c r="D152" t="s">
        <v>976</v>
      </c>
      <c r="E152" t="s">
        <v>1267</v>
      </c>
      <c r="F152" s="7" t="s">
        <v>1273</v>
      </c>
      <c r="G152" s="7" t="s">
        <v>1269</v>
      </c>
      <c r="H152" s="7" t="s">
        <v>1226</v>
      </c>
      <c r="I152" s="7" t="s">
        <v>1274</v>
      </c>
      <c r="J152" s="7">
        <v>0.23</v>
      </c>
      <c r="K152" s="9">
        <v>45523</v>
      </c>
    </row>
    <row r="153" spans="1:11">
      <c r="A153" t="s">
        <v>1301</v>
      </c>
      <c r="B153" t="s">
        <v>977</v>
      </c>
      <c r="C153" t="s">
        <v>966</v>
      </c>
      <c r="D153" t="s">
        <v>978</v>
      </c>
      <c r="E153" t="s">
        <v>1094</v>
      </c>
      <c r="F153" s="7" t="s">
        <v>1275</v>
      </c>
      <c r="G153" s="7" t="s">
        <v>1226</v>
      </c>
      <c r="H153" s="7" t="s">
        <v>1226</v>
      </c>
      <c r="I153" s="7" t="s">
        <v>1276</v>
      </c>
      <c r="J153" s="7">
        <v>0.23</v>
      </c>
      <c r="K153" s="9">
        <v>45562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9ccff8b-74d7-41d4-a405-d5d2427d30db" xsi:nil="true"/>
    <lcf76f155ced4ddcb4097134ff3c332f xmlns="5b8e1a5f-66ee-41cf-803c-bf92c53f9034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D264C5099A6C4A9A7CCBB1681F9C05" ma:contentTypeVersion="12" ma:contentTypeDescription="Create a new document." ma:contentTypeScope="" ma:versionID="62cad9a265ec632c250ac972d075e7fd">
  <xsd:schema xmlns:xsd="http://www.w3.org/2001/XMLSchema" xmlns:xs="http://www.w3.org/2001/XMLSchema" xmlns:p="http://schemas.microsoft.com/office/2006/metadata/properties" xmlns:ns2="5b8e1a5f-66ee-41cf-803c-bf92c53f9034" xmlns:ns3="39ccff8b-74d7-41d4-a405-d5d2427d30db" targetNamespace="http://schemas.microsoft.com/office/2006/metadata/properties" ma:root="true" ma:fieldsID="018907b97c978d1d1f4ab1647d6123d3" ns2:_="" ns3:_="">
    <xsd:import namespace="5b8e1a5f-66ee-41cf-803c-bf92c53f9034"/>
    <xsd:import namespace="39ccff8b-74d7-41d4-a405-d5d2427d30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8e1a5f-66ee-41cf-803c-bf92c53f90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8febc87-ee34-4dfe-b641-4d6254a310c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ccff8b-74d7-41d4-a405-d5d2427d30db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8ad7168-a1f0-4aaa-bff9-7da837d338b0}" ma:internalName="TaxCatchAll" ma:showField="CatchAllData" ma:web="39ccff8b-74d7-41d4-a405-d5d2427d30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7CC372F5-7A32-4942-B829-F67F89CE0653}"/>
</file>

<file path=customXml/itemProps2.xml><?xml version="1.0" encoding="utf-8"?>
<ds:datastoreItem xmlns:ds="http://schemas.openxmlformats.org/officeDocument/2006/customXml" ds:itemID="{98ECF668-CF36-40D0-99C5-B1C00E983D1E}"/>
</file>

<file path=customXml/itemProps3.xml><?xml version="1.0" encoding="utf-8"?>
<ds:datastoreItem xmlns:ds="http://schemas.openxmlformats.org/officeDocument/2006/customXml" ds:itemID="{837209E0-A38C-4195-8D4B-58690874D873}"/>
</file>

<file path=customXml/itemProps4.xml><?xml version="1.0" encoding="utf-8"?>
<ds:datastoreItem xmlns:ds="http://schemas.openxmlformats.org/officeDocument/2006/customXml" ds:itemID="{1EAA0FE8-E65C-4020-8AF6-0A12E81294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Rafael Sousa</dc:creator>
  <cp:keywords/>
  <dc:description/>
  <cp:lastModifiedBy>Guest User</cp:lastModifiedBy>
  <cp:revision/>
  <dcterms:created xsi:type="dcterms:W3CDTF">2015-06-05T18:17:20Z</dcterms:created>
  <dcterms:modified xsi:type="dcterms:W3CDTF">2026-10-13T17:18:10Z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0x01010087D264C5099A6C4A9A7CCBB1681F9C05</vt:lpwstr>
  </property>
  <property fmtid="{D5CDD505-2E9C-101B-9397-08002B2CF9AE}" pid="3" name="MediaServiceImageTags">
    <vt:lpwstr/>
  </property>
</Properties>
</file>