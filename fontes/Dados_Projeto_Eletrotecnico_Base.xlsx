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solcorptm365.sharepoint.com/sites/Departamentos/Solcor/2_projects/299_STA Aluminium_EPC_Solcor_PV/3 - EPC/1. Project/Projeto Eletrotecnico/"/>
    </mc:Choice>
  </mc:AlternateContent>
  <xr:revisionPtr revIDLastSave="1122" documentId="13_ncr:1_{92CE5DB6-27F7-4F0F-973C-33D81019D220}" xr6:coauthVersionLast="47" xr6:coauthVersionMax="47" xr10:uidLastSave="{2ACD573D-BA62-4D01-BD4F-87E1DC39F56A}"/>
  <bookViews>
    <workbookView xWindow="-110" yWindow="-110" windowWidth="19420" windowHeight="11500" tabRatio="767" activeTab="1" xr2:uid="{00000000-000D-0000-FFFF-FFFF00000000}"/>
  </bookViews>
  <sheets>
    <sheet name="Dados (ALTERAR)" sheetId="1" r:id="rId1"/>
    <sheet name="Cálculos Elétricos" sheetId="13" r:id="rId2"/>
    <sheet name="F.C" sheetId="16" r:id="rId3"/>
    <sheet name="Tabelas de apoio" sheetId="12" r:id="rId4"/>
    <sheet name="CABOS" sheetId="15" r:id="rId5"/>
    <sheet name="Paineís (Não Alterar)" sheetId="9" r:id="rId6"/>
    <sheet name="DADOS WORD DOC (NAO ALTERAR)" sheetId="5" r:id="rId7"/>
    <sheet name="INVERSORES (NÃO ALTERAR)" sheetId="7" r:id="rId8"/>
    <sheet name="Técnico responsável" sheetId="8" r:id="rId9"/>
  </sheets>
  <externalReferences>
    <externalReference r:id="rId10"/>
    <externalReference r:id="rId11"/>
    <externalReference r:id="rId12"/>
  </externalReferences>
  <definedNames>
    <definedName name="_TAB1">'[1]Icc 2'!$B$9:$F$23</definedName>
    <definedName name="_TAB2">'[1]Icc 2'!$B$29:$F$43</definedName>
    <definedName name="AA">#REF!</definedName>
    <definedName name="AB">#REF!</definedName>
    <definedName name="AC">#REF!</definedName>
    <definedName name="AD">#REF!</definedName>
    <definedName name="ADD">#REF!</definedName>
    <definedName name="AE">#REF!</definedName>
    <definedName name="AF">#REF!</definedName>
    <definedName name="AG">#REF!</definedName>
    <definedName name="AH">#REF!</definedName>
    <definedName name="AJ">#REF!</definedName>
    <definedName name="AK">#REF!</definedName>
    <definedName name="AL">#REF!</definedName>
    <definedName name="AM">#REF!</definedName>
    <definedName name="AN">#REF!</definedName>
    <definedName name="AP">#REF!</definedName>
    <definedName name="AQ">#REF!</definedName>
    <definedName name="AR">#REF!</definedName>
    <definedName name="AS">#REF!</definedName>
    <definedName name="BA">#REF!</definedName>
    <definedName name="BB">#REF!</definedName>
    <definedName name="BC">#REF!</definedName>
    <definedName name="BD">#REF!</definedName>
    <definedName name="BE">#REF!</definedName>
    <definedName name="CA">#REF!</definedName>
    <definedName name="CB">#REF!</definedName>
    <definedName name="DISJ">[1]Tabela!$P$77:$R$99</definedName>
    <definedName name="JASolar">#REF!</definedName>
    <definedName name="Marcas">#REF!</definedName>
    <definedName name="Matriz">[1]Tabela!#REF!</definedName>
    <definedName name="ModoD">[1]Tabela!$A$6:$AG$14</definedName>
    <definedName name="REF_INST" localSheetId="4">'[2]Q 52H'!$C$2:$C$45</definedName>
    <definedName name="REF_INST" localSheetId="2">'[2]Q 52H'!$C$2:$C$45</definedName>
    <definedName name="REF_INST">'[3]Q 52H'!$C$2:$C$45</definedName>
    <definedName name="Risen">#REF!</definedName>
    <definedName name="TAB52C1">CABOS!$E$17:$H$33</definedName>
    <definedName name="TAB52C11">CABOS!$E$412:$L$430</definedName>
    <definedName name="TAB52C12">CABOS!$E$450:$L$467</definedName>
    <definedName name="TAB52C13">CABOS!$E$488:$I$503</definedName>
    <definedName name="TAB52C14">CABOS!$E$537:$I$552</definedName>
    <definedName name="TAB52C2">CABOS!$E$67:$H$82</definedName>
    <definedName name="TAB52C3">CABOS!$E$116:$H$131</definedName>
    <definedName name="TAB52C30">CABOS!$E$579:$I$594</definedName>
    <definedName name="TAB52C4">CABOS!$E$163:$H$178</definedName>
    <definedName name="TAB52C5">CABOS!$E$216:$I$230</definedName>
    <definedName name="TAB52C6">CABOS!$E$251:$H$265</definedName>
    <definedName name="TAB52C7">CABOS!$E$291:$J$305</definedName>
    <definedName name="TAB52C8">CABOS!$E$338:$J$352</definedName>
    <definedName name="TAB52C9">CABOS!$E$373:$L$391</definedName>
    <definedName name="Tabela1">[1]Tabela!$P$19:$Q$31</definedName>
    <definedName name="x">#REF!</definedName>
    <definedName name="ZNShin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5" i="13" l="1"/>
  <c r="AB24" i="13"/>
  <c r="AB23" i="13"/>
  <c r="X13" i="13"/>
  <c r="BQ15" i="13"/>
  <c r="BN15" i="13"/>
  <c r="BM15" i="13"/>
  <c r="BL15" i="13"/>
  <c r="BG15" i="13"/>
  <c r="BH15" i="13" s="1"/>
  <c r="AK15" i="13"/>
  <c r="BC15" i="13" s="1"/>
  <c r="Y15" i="13"/>
  <c r="X15" i="13"/>
  <c r="BK15" i="13" s="1"/>
  <c r="W15" i="13"/>
  <c r="T15" i="13"/>
  <c r="R15" i="13"/>
  <c r="I15" i="13"/>
  <c r="BO15" i="13" s="1"/>
  <c r="G15" i="13"/>
  <c r="J15" i="13" s="1"/>
  <c r="F15" i="13"/>
  <c r="G14" i="13"/>
  <c r="C66" i="1"/>
  <c r="C78" i="1"/>
  <c r="C77" i="1"/>
  <c r="C76" i="1"/>
  <c r="C75" i="1"/>
  <c r="C74" i="1"/>
  <c r="C73" i="1"/>
  <c r="C72" i="1"/>
  <c r="C71" i="1"/>
  <c r="C70" i="1"/>
  <c r="C69" i="1"/>
  <c r="C68" i="1"/>
  <c r="C67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K15" i="13" l="1"/>
  <c r="M15" i="13" s="1"/>
  <c r="BI15" i="13" s="1"/>
  <c r="BJ15" i="13"/>
  <c r="AH15" i="13"/>
  <c r="BY15" i="13" s="1" a="1"/>
  <c r="BY15" i="13" s="1"/>
  <c r="AF15" i="13"/>
  <c r="BW15" i="13" s="1" a="1"/>
  <c r="BW15" i="13" s="1"/>
  <c r="AG15" i="13"/>
  <c r="BX15" i="13" s="1" a="1"/>
  <c r="BX15" i="13" s="1"/>
  <c r="BR15" i="13"/>
  <c r="BS15" i="13" s="1"/>
  <c r="BT15" i="13" s="1"/>
  <c r="BU15" i="13" s="1"/>
  <c r="AH13" i="13"/>
  <c r="AG11" i="13"/>
  <c r="AG13" i="13"/>
  <c r="AF13" i="13"/>
  <c r="R13" i="13"/>
  <c r="T13" i="13"/>
  <c r="G13" i="13"/>
  <c r="J13" i="13" s="1"/>
  <c r="K13" i="13" s="1"/>
  <c r="M13" i="13" s="1"/>
  <c r="AK14" i="13"/>
  <c r="AK13" i="13"/>
  <c r="BC13" i="13" s="1"/>
  <c r="T14" i="13"/>
  <c r="R14" i="13"/>
  <c r="T12" i="13"/>
  <c r="R12" i="13"/>
  <c r="T11" i="13"/>
  <c r="R11" i="13"/>
  <c r="BQ12" i="13"/>
  <c r="BM12" i="13"/>
  <c r="BL12" i="13"/>
  <c r="BG12" i="13"/>
  <c r="BH12" i="13" s="1"/>
  <c r="AK12" i="13"/>
  <c r="BC12" i="13" s="1"/>
  <c r="Y12" i="13"/>
  <c r="X12" i="13"/>
  <c r="BK12" i="13" s="1"/>
  <c r="W12" i="13"/>
  <c r="AF12" i="13" s="1"/>
  <c r="I12" i="13"/>
  <c r="BO12" i="13" s="1"/>
  <c r="G12" i="13"/>
  <c r="J12" i="13" s="1"/>
  <c r="F12" i="13"/>
  <c r="C3" i="1"/>
  <c r="F11" i="13"/>
  <c r="G11" i="13"/>
  <c r="J11" i="13" s="1"/>
  <c r="I11" i="13"/>
  <c r="BO11" i="13" s="1"/>
  <c r="W11" i="13"/>
  <c r="X11" i="13"/>
  <c r="BK11" i="13" s="1"/>
  <c r="Y11" i="13"/>
  <c r="AK11" i="13"/>
  <c r="BC11" i="13" s="1"/>
  <c r="BG11" i="13"/>
  <c r="BH11" i="13" s="1"/>
  <c r="BL11" i="13"/>
  <c r="BM11" i="13"/>
  <c r="BQ11" i="13"/>
  <c r="AV2" i="5"/>
  <c r="AT2" i="5"/>
  <c r="AR2" i="5"/>
  <c r="AQ2" i="5"/>
  <c r="AP2" i="5"/>
  <c r="AO2" i="5"/>
  <c r="AN2" i="5"/>
  <c r="AM2" i="5"/>
  <c r="AL2" i="5"/>
  <c r="AJ2" i="5"/>
  <c r="AK2" i="5"/>
  <c r="AY2" i="5"/>
  <c r="AX2" i="5"/>
  <c r="AW2" i="5"/>
  <c r="K12" i="13" l="1"/>
  <c r="M12" i="13" s="1"/>
  <c r="BI12" i="13" s="1"/>
  <c r="AH12" i="13"/>
  <c r="AG12" i="13"/>
  <c r="AF11" i="13"/>
  <c r="AH11" i="13"/>
  <c r="BJ12" i="13"/>
  <c r="BW12" i="13" a="1"/>
  <c r="BW12" i="13" s="1"/>
  <c r="BX12" i="13" a="1"/>
  <c r="BX12" i="13" s="1"/>
  <c r="BY12" i="13" a="1"/>
  <c r="BY12" i="13" s="1"/>
  <c r="AU2" i="5"/>
  <c r="K11" i="13"/>
  <c r="M11" i="13" s="1"/>
  <c r="BI11" i="13" s="1"/>
  <c r="BW11" i="13" a="1"/>
  <c r="BW11" i="13" s="1"/>
  <c r="BJ11" i="13"/>
  <c r="BY11" i="13" a="1"/>
  <c r="BY11" i="13" s="1"/>
  <c r="BX11" i="13" a="1"/>
  <c r="BX11" i="13" s="1"/>
  <c r="AS2" i="5"/>
  <c r="K14" i="9"/>
  <c r="BZ12" i="13" l="1"/>
  <c r="BZ11" i="13"/>
  <c r="R58" i="15"/>
  <c r="R57" i="15"/>
  <c r="R56" i="15"/>
  <c r="R55" i="15"/>
  <c r="R54" i="15"/>
  <c r="R53" i="15"/>
  <c r="R52" i="15"/>
  <c r="R51" i="15"/>
  <c r="R50" i="15"/>
  <c r="R49" i="15"/>
  <c r="R48" i="15"/>
  <c r="R47" i="15"/>
  <c r="R46" i="15"/>
  <c r="R45" i="15"/>
  <c r="R43" i="15"/>
  <c r="R42" i="15"/>
  <c r="R41" i="15"/>
  <c r="R40" i="15"/>
  <c r="R39" i="15"/>
  <c r="R38" i="15"/>
  <c r="R37" i="15"/>
  <c r="R36" i="15"/>
  <c r="R35" i="15"/>
  <c r="R34" i="15"/>
  <c r="R44" i="15"/>
  <c r="R31" i="15" l="1"/>
  <c r="R30" i="15"/>
  <c r="R33" i="15"/>
  <c r="R32" i="15"/>
  <c r="R29" i="15"/>
  <c r="R28" i="15"/>
  <c r="J14" i="13" l="1"/>
  <c r="BQ10" i="13"/>
  <c r="BM10" i="13"/>
  <c r="BL10" i="13"/>
  <c r="BG10" i="13"/>
  <c r="BH10" i="13" s="1"/>
  <c r="AK10" i="13"/>
  <c r="BC10" i="13" s="1"/>
  <c r="Y10" i="13"/>
  <c r="X10" i="13"/>
  <c r="W10" i="13"/>
  <c r="T10" i="13"/>
  <c r="R10" i="13"/>
  <c r="I10" i="13"/>
  <c r="BO10" i="13" s="1"/>
  <c r="G10" i="13"/>
  <c r="J10" i="13" s="1"/>
  <c r="F10" i="13"/>
  <c r="I14" i="13"/>
  <c r="AF10" i="13" l="1"/>
  <c r="AH10" i="13"/>
  <c r="AG10" i="13"/>
  <c r="BX10" i="13" a="1"/>
  <c r="BX10" i="13" s="1"/>
  <c r="BY10" i="13" a="1"/>
  <c r="BY10" i="13" s="1"/>
  <c r="BW10" i="13" a="1"/>
  <c r="BW10" i="13" s="1"/>
  <c r="BJ10" i="13"/>
  <c r="K10" i="13"/>
  <c r="M10" i="13" s="1"/>
  <c r="BI10" i="13" s="1"/>
  <c r="BK10" i="13"/>
  <c r="CD2" i="5"/>
  <c r="BZ10" i="13" l="1"/>
  <c r="R21" i="15"/>
  <c r="R25" i="15"/>
  <c r="W14" i="13" l="1"/>
  <c r="AF14" i="13" l="1"/>
  <c r="AH14" i="13"/>
  <c r="AG14" i="13"/>
  <c r="BC14" i="13"/>
  <c r="BL14" i="13" l="1"/>
  <c r="BM14" i="13"/>
  <c r="BQ14" i="13"/>
  <c r="BG14" i="13"/>
  <c r="BH14" i="13" s="1"/>
  <c r="X14" i="13"/>
  <c r="Y14" i="13"/>
  <c r="BO14" i="13"/>
  <c r="F14" i="13"/>
  <c r="K14" i="13" s="1"/>
  <c r="M14" i="13" s="1"/>
  <c r="BX14" i="13" l="1" a="1"/>
  <c r="BX14" i="13" s="1"/>
  <c r="BY14" i="13" a="1"/>
  <c r="BY14" i="13" s="1"/>
  <c r="BK14" i="13"/>
  <c r="BW14" i="13" a="1"/>
  <c r="BW14" i="13" s="1"/>
  <c r="BJ14" i="13"/>
  <c r="BZ14" i="13" l="1"/>
  <c r="BI14" i="13" l="1"/>
  <c r="BN60" i="13"/>
  <c r="BR60" i="13" s="1"/>
  <c r="BT60" i="13" s="1"/>
  <c r="BV60" i="13" s="1"/>
  <c r="BN59" i="13"/>
  <c r="BR59" i="13" s="1"/>
  <c r="BT59" i="13" s="1"/>
  <c r="BV59" i="13" s="1"/>
  <c r="BN58" i="13"/>
  <c r="BR58" i="13" s="1"/>
  <c r="BT58" i="13" s="1"/>
  <c r="BV58" i="13" s="1"/>
  <c r="BN57" i="13"/>
  <c r="BR57" i="13" s="1"/>
  <c r="BT57" i="13" s="1"/>
  <c r="BV57" i="13" s="1"/>
  <c r="BN56" i="13"/>
  <c r="BR56" i="13" s="1"/>
  <c r="BT56" i="13" s="1"/>
  <c r="BV56" i="13" s="1"/>
  <c r="BN55" i="13"/>
  <c r="BR55" i="13" s="1"/>
  <c r="BT55" i="13" s="1"/>
  <c r="BV55" i="13" s="1"/>
  <c r="BN54" i="13"/>
  <c r="BR54" i="13" s="1"/>
  <c r="BT54" i="13" s="1"/>
  <c r="BV54" i="13" s="1"/>
  <c r="BN53" i="13"/>
  <c r="BQ53" i="13" s="1"/>
  <c r="BS53" i="13" s="1"/>
  <c r="BN52" i="13"/>
  <c r="BR52" i="13" s="1"/>
  <c r="BT52" i="13" s="1"/>
  <c r="BV52" i="13" s="1"/>
  <c r="BN51" i="13"/>
  <c r="BR51" i="13" s="1"/>
  <c r="BT51" i="13" s="1"/>
  <c r="BV51" i="13" s="1"/>
  <c r="BN50" i="13"/>
  <c r="BR50" i="13" s="1"/>
  <c r="BT50" i="13" s="1"/>
  <c r="BV50" i="13" s="1"/>
  <c r="BN49" i="13"/>
  <c r="BQ49" i="13" s="1"/>
  <c r="BS49" i="13" s="1"/>
  <c r="BN48" i="13"/>
  <c r="BR48" i="13" s="1"/>
  <c r="BT48" i="13" s="1"/>
  <c r="BV48" i="13" s="1"/>
  <c r="BN47" i="13"/>
  <c r="BQ47" i="13" s="1"/>
  <c r="BS47" i="13" s="1"/>
  <c r="BU47" i="13" s="1"/>
  <c r="BN46" i="13"/>
  <c r="BQ46" i="13" s="1"/>
  <c r="BS46" i="13" s="1"/>
  <c r="BU46" i="13" s="1"/>
  <c r="BN45" i="13"/>
  <c r="BQ45" i="13" s="1"/>
  <c r="BS45" i="13" s="1"/>
  <c r="BN44" i="13"/>
  <c r="BQ44" i="13" s="1"/>
  <c r="BS44" i="13" s="1"/>
  <c r="BU44" i="13" s="1"/>
  <c r="BN43" i="13"/>
  <c r="BQ43" i="13" s="1"/>
  <c r="BS43" i="13" s="1"/>
  <c r="BU43" i="13" s="1"/>
  <c r="BN42" i="13"/>
  <c r="BQ42" i="13" s="1"/>
  <c r="BS42" i="13" s="1"/>
  <c r="BU42" i="13" s="1"/>
  <c r="BU45" i="13" l="1"/>
  <c r="BU53" i="13"/>
  <c r="BQ51" i="13"/>
  <c r="BS51" i="13" s="1"/>
  <c r="BU51" i="13" s="1"/>
  <c r="BR47" i="13"/>
  <c r="BT47" i="13" s="1"/>
  <c r="BV47" i="13" s="1"/>
  <c r="BQ54" i="13"/>
  <c r="BS54" i="13" s="1"/>
  <c r="BU54" i="13" s="1"/>
  <c r="BQ48" i="13"/>
  <c r="BS48" i="13" s="1"/>
  <c r="BN12" i="13" s="1"/>
  <c r="BR12" i="13" s="1"/>
  <c r="BS12" i="13" s="1"/>
  <c r="BT12" i="13" s="1"/>
  <c r="BU12" i="13" s="1"/>
  <c r="BR53" i="13"/>
  <c r="BT53" i="13" s="1"/>
  <c r="BV53" i="13" s="1"/>
  <c r="BQ57" i="13"/>
  <c r="BS57" i="13" s="1"/>
  <c r="BU49" i="13"/>
  <c r="BQ55" i="13"/>
  <c r="BS55" i="13" s="1"/>
  <c r="BU55" i="13" s="1"/>
  <c r="BR49" i="13"/>
  <c r="BT49" i="13" s="1"/>
  <c r="BV49" i="13" s="1"/>
  <c r="BQ50" i="13"/>
  <c r="BS50" i="13" s="1"/>
  <c r="BQ56" i="13"/>
  <c r="BS56" i="13" s="1"/>
  <c r="BU56" i="13" s="1"/>
  <c r="BQ52" i="13"/>
  <c r="BS52" i="13" s="1"/>
  <c r="BQ58" i="13"/>
  <c r="BS58" i="13" s="1"/>
  <c r="BU58" i="13" s="1"/>
  <c r="BN10" i="13" l="1"/>
  <c r="BR10" i="13" s="1"/>
  <c r="BS10" i="13" s="1"/>
  <c r="BT10" i="13" s="1"/>
  <c r="BU10" i="13" s="1"/>
  <c r="BN11" i="13"/>
  <c r="BR11" i="13" s="1"/>
  <c r="BS11" i="13" s="1"/>
  <c r="BT11" i="13" s="1"/>
  <c r="BU11" i="13" s="1"/>
  <c r="BZ15" i="13"/>
  <c r="BU57" i="13"/>
  <c r="BN14" i="13"/>
  <c r="BU50" i="13"/>
  <c r="BU48" i="13"/>
  <c r="BU52" i="13"/>
  <c r="BR14" i="13" l="1"/>
  <c r="BS14" i="13" s="1"/>
  <c r="BT14" i="13" s="1"/>
  <c r="BU14" i="13" s="1"/>
  <c r="C33" i="1" l="1"/>
  <c r="C34" i="1"/>
  <c r="C35" i="1"/>
  <c r="G49" i="1" s="1"/>
  <c r="C36" i="1"/>
  <c r="C37" i="1"/>
  <c r="C38" i="1"/>
  <c r="C39" i="1"/>
  <c r="C40" i="1"/>
  <c r="C41" i="1"/>
  <c r="C42" i="1"/>
  <c r="C43" i="1"/>
  <c r="C32" i="1"/>
  <c r="CS2" i="5" l="1"/>
  <c r="CR2" i="5" l="1"/>
  <c r="CG2" i="5" l="1"/>
  <c r="CM2" i="5"/>
  <c r="CN2" i="5"/>
  <c r="CO2" i="5"/>
  <c r="CP2" i="5"/>
  <c r="CQ2" i="5"/>
  <c r="CL2" i="5"/>
  <c r="CE2" i="5"/>
  <c r="CF2" i="5"/>
  <c r="CH2" i="5"/>
  <c r="CI2" i="5"/>
  <c r="CJ2" i="5"/>
  <c r="CK2" i="5"/>
  <c r="J2" i="5" l="1"/>
  <c r="S2" i="5" l="1"/>
  <c r="R2" i="5"/>
  <c r="G2" i="5" l="1"/>
  <c r="I2" i="5" l="1"/>
  <c r="E2" i="5" s="1"/>
  <c r="F2" i="5"/>
  <c r="Q2" i="5" l="1"/>
  <c r="P2" i="5"/>
  <c r="O2" i="5"/>
  <c r="U2" i="5" l="1"/>
  <c r="BN2" i="5" l="1"/>
  <c r="BI2" i="5"/>
  <c r="BH2" i="5"/>
  <c r="D2" i="5"/>
  <c r="AD2" i="5"/>
  <c r="AC2" i="5"/>
  <c r="T2" i="5"/>
  <c r="BJ2" i="5"/>
  <c r="BF2" i="5"/>
  <c r="BE2" i="5"/>
  <c r="BS2" i="5"/>
  <c r="BQ2" i="5"/>
  <c r="A2" i="5"/>
  <c r="AH2" i="5"/>
  <c r="AI2" i="5"/>
  <c r="BP2" i="5"/>
  <c r="BO2" i="5"/>
  <c r="BL2" i="5"/>
  <c r="BK2" i="5"/>
  <c r="BG2" i="5"/>
  <c r="BD2" i="5"/>
  <c r="BC2" i="5"/>
  <c r="BA2" i="5"/>
  <c r="AZ2" i="5"/>
  <c r="BB2" i="5"/>
  <c r="AG2" i="5"/>
  <c r="AF2" i="5"/>
  <c r="AE2" i="5"/>
  <c r="AB2" i="5"/>
  <c r="AA2" i="5"/>
  <c r="Z2" i="5"/>
  <c r="Y2" i="5"/>
  <c r="X2" i="5"/>
  <c r="W2" i="5"/>
  <c r="V2" i="5"/>
  <c r="M2" i="5"/>
  <c r="N2" i="5" s="1"/>
  <c r="L2" i="5"/>
  <c r="K2" i="5"/>
  <c r="H2" i="5"/>
  <c r="C2" i="5"/>
  <c r="B2" i="5"/>
  <c r="BW2" i="5" l="1"/>
  <c r="CC2" i="5"/>
  <c r="CB2" i="5"/>
  <c r="BX2" i="5"/>
  <c r="CA2" i="5" s="1"/>
  <c r="BU2" i="5"/>
  <c r="BZ2" i="5" s="1"/>
  <c r="BV2" i="5"/>
  <c r="BY2" i="5" s="1"/>
  <c r="BR2" i="5"/>
  <c r="BT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</author>
  </authors>
  <commentList>
    <comment ref="U10" authorId="0" shapeId="0" xr:uid="{27656101-DB0B-4859-968F-18B9DECEC5FC}">
      <text>
        <r>
          <rPr>
            <b/>
            <sz val="12"/>
            <color indexed="81"/>
            <rFont val="Tahoma"/>
            <family val="2"/>
          </rPr>
          <t>Carolina:</t>
        </r>
        <r>
          <rPr>
            <sz val="12"/>
            <color indexed="81"/>
            <rFont val="Tahoma"/>
            <family val="2"/>
          </rPr>
          <t xml:space="preserve">
Cabos = 52-C4
</t>
        </r>
      </text>
    </comment>
    <comment ref="U11" authorId="0" shapeId="0" xr:uid="{BEE4FEBF-5713-4FE3-8E94-C6548BC696BD}">
      <text>
        <r>
          <rPr>
            <b/>
            <sz val="12"/>
            <color indexed="81"/>
            <rFont val="Tahoma"/>
            <family val="2"/>
          </rPr>
          <t>Carolina:</t>
        </r>
        <r>
          <rPr>
            <sz val="12"/>
            <color indexed="81"/>
            <rFont val="Tahoma"/>
            <family val="2"/>
          </rPr>
          <t xml:space="preserve">
Cabos = 52-C4
</t>
        </r>
      </text>
    </comment>
    <comment ref="U12" authorId="0" shapeId="0" xr:uid="{A8A3FA82-D306-4C4A-A56A-C77394928719}">
      <text>
        <r>
          <rPr>
            <b/>
            <sz val="12"/>
            <color indexed="81"/>
            <rFont val="Tahoma"/>
            <family val="2"/>
          </rPr>
          <t>Carolina:</t>
        </r>
        <r>
          <rPr>
            <sz val="12"/>
            <color indexed="81"/>
            <rFont val="Tahoma"/>
            <family val="2"/>
          </rPr>
          <t xml:space="preserve">
Cabos = 52-C4
</t>
        </r>
      </text>
    </comment>
    <comment ref="U14" authorId="0" shapeId="0" xr:uid="{B37104B6-78D2-44EC-95AB-C2D71DE61187}">
      <text>
        <r>
          <rPr>
            <b/>
            <sz val="12"/>
            <color indexed="81"/>
            <rFont val="Tahoma"/>
            <family val="2"/>
          </rPr>
          <t>Carolina:</t>
        </r>
        <r>
          <rPr>
            <sz val="12"/>
            <color indexed="81"/>
            <rFont val="Tahoma"/>
            <family val="2"/>
          </rPr>
          <t xml:space="preserve">
Cabos = 52-C4
</t>
        </r>
      </text>
    </comment>
    <comment ref="U15" authorId="0" shapeId="0" xr:uid="{29684CC7-A216-4098-977F-176E1D63E0EF}">
      <text>
        <r>
          <rPr>
            <b/>
            <sz val="12"/>
            <color indexed="81"/>
            <rFont val="Tahoma"/>
            <family val="2"/>
          </rPr>
          <t>Carolina:</t>
        </r>
        <r>
          <rPr>
            <sz val="12"/>
            <color indexed="81"/>
            <rFont val="Tahoma"/>
            <family val="2"/>
          </rPr>
          <t xml:space="preserve">
Cabos = 52-C4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Duarte</author>
  </authors>
  <commentList>
    <comment ref="P28" authorId="0" shapeId="0" xr:uid="{CD3530DE-4A5F-4920-8C50-06475EB0E34A}">
      <text>
        <r>
          <rPr>
            <b/>
            <sz val="9"/>
            <color indexed="81"/>
            <rFont val="Tahoma"/>
            <family val="2"/>
          </rPr>
          <t>Duarte:</t>
        </r>
        <r>
          <rPr>
            <sz val="9"/>
            <color indexed="81"/>
            <rFont val="Tahoma"/>
            <family val="2"/>
          </rPr>
          <t xml:space="preserve">
Rígido</t>
        </r>
      </text>
    </comment>
  </commentList>
</comments>
</file>

<file path=xl/sharedStrings.xml><?xml version="1.0" encoding="utf-8"?>
<sst xmlns="http://schemas.openxmlformats.org/spreadsheetml/2006/main" count="1630" uniqueCount="703">
  <si>
    <t>Projetista Responsável</t>
  </si>
  <si>
    <t>Ricardo Miguel Modesto Louro</t>
  </si>
  <si>
    <t>nº O.E.</t>
  </si>
  <si>
    <t>Data (Mês de Ano)</t>
  </si>
  <si>
    <t>Dados Empresa</t>
  </si>
  <si>
    <t>Nome</t>
  </si>
  <si>
    <t>Morada</t>
  </si>
  <si>
    <t xml:space="preserve"> </t>
  </si>
  <si>
    <t>Coordenada GPS</t>
  </si>
  <si>
    <t>Telefone</t>
  </si>
  <si>
    <t>email</t>
  </si>
  <si>
    <t>NIF</t>
  </si>
  <si>
    <t>CPE</t>
  </si>
  <si>
    <t>Tensão de alimentação (kV)</t>
  </si>
  <si>
    <t>Potência certificada (kW)</t>
  </si>
  <si>
    <t>Tipo de empresa</t>
  </si>
  <si>
    <t>Características Gerais</t>
  </si>
  <si>
    <t>Nr de registo</t>
  </si>
  <si>
    <t>Potência Nominal (kW)</t>
  </si>
  <si>
    <t>Potência de ligação (kW)</t>
  </si>
  <si>
    <t>Injeção na rede</t>
  </si>
  <si>
    <t>Nº total de inversores</t>
  </si>
  <si>
    <t>Potência dos geradores (kWp)</t>
  </si>
  <si>
    <t>Nº total de painéis</t>
  </si>
  <si>
    <t>Tipo de Instalação</t>
  </si>
  <si>
    <t>Ponto de Injeção</t>
  </si>
  <si>
    <t>Caracteristicas Painel</t>
  </si>
  <si>
    <t>Cálculo da secção mínima DC</t>
  </si>
  <si>
    <t>Marca</t>
  </si>
  <si>
    <t>ZNShine</t>
  </si>
  <si>
    <t>Queda de tensão admitida (%)</t>
  </si>
  <si>
    <t>Modelo</t>
  </si>
  <si>
    <t>ZMX7-GPLD144-590 W</t>
  </si>
  <si>
    <t>Comprimento do cabo (m)</t>
  </si>
  <si>
    <t>Potência Pico (Wp)</t>
  </si>
  <si>
    <t>Secção cabo (mm2)</t>
  </si>
  <si>
    <t>Nº de células</t>
  </si>
  <si>
    <t>Tensão nominal (V)</t>
  </si>
  <si>
    <t>Corrente nominal (A)</t>
  </si>
  <si>
    <t>Tensão circuito aberto (V)</t>
  </si>
  <si>
    <t>Corrente curto-circuito (A)</t>
  </si>
  <si>
    <r>
      <t>Coeficiente de temperatura para Voc (%/</t>
    </r>
    <r>
      <rPr>
        <sz val="11"/>
        <color theme="1"/>
        <rFont val="Calibri"/>
        <family val="2"/>
      </rPr>
      <t>°C</t>
    </r>
    <r>
      <rPr>
        <sz val="11"/>
        <color theme="1"/>
        <rFont val="Calibri"/>
        <family val="2"/>
        <scheme val="minor"/>
      </rPr>
      <t>)</t>
    </r>
  </si>
  <si>
    <t>Coeficiente de temperatura para Isc (%/°C)</t>
  </si>
  <si>
    <t>Coeficiente de temperatura para Pmpp (%/°C)</t>
  </si>
  <si>
    <t>Temperatura mínima no local (°C)</t>
  </si>
  <si>
    <t>Eficiência Máxima</t>
  </si>
  <si>
    <t>Eficiência aos 25 anos</t>
  </si>
  <si>
    <t>Caracteristicas Inversor</t>
  </si>
  <si>
    <t>Configuração de Strings</t>
  </si>
  <si>
    <t>Huawei</t>
  </si>
  <si>
    <t>N.º de strings (total)</t>
  </si>
  <si>
    <t>SUN2000-50KTL-M3</t>
  </si>
  <si>
    <t>N.º de paineis por string (maior string)</t>
  </si>
  <si>
    <r>
      <t>Potência ativa máxima (cos</t>
    </r>
    <r>
      <rPr>
        <sz val="11"/>
        <color theme="1"/>
        <rFont val="Calibri"/>
        <family val="2"/>
      </rPr>
      <t>φ</t>
    </r>
    <r>
      <rPr>
        <sz val="11"/>
        <color theme="1"/>
        <rFont val="Calibri"/>
        <family val="2"/>
        <scheme val="minor"/>
      </rPr>
      <t>=1)</t>
    </r>
  </si>
  <si>
    <t>Strings em paralelo</t>
  </si>
  <si>
    <t>Potência nominal por inversor</t>
  </si>
  <si>
    <t>Corrente máx por MPPT</t>
  </si>
  <si>
    <t>Nº de MPPT</t>
  </si>
  <si>
    <t>Nº de Ligações CC</t>
  </si>
  <si>
    <t>Corrente máxima por MPPT (A)</t>
  </si>
  <si>
    <t>Corrente de curto-circuito por MPPT (A)</t>
  </si>
  <si>
    <t>Tensão nominal de entrada (V)</t>
  </si>
  <si>
    <t>Tensão máxima de entrada (V)</t>
  </si>
  <si>
    <t>Tensão de arranque (V)</t>
  </si>
  <si>
    <t>Tensão minima de entrada MPP (V)</t>
  </si>
  <si>
    <t>Tensão máxima de entrada MPP (V)</t>
  </si>
  <si>
    <t>Corrente nominal de saída (A)</t>
  </si>
  <si>
    <t>Corrente máxima de saída (A)</t>
  </si>
  <si>
    <t>Eficiencia (%)</t>
  </si>
  <si>
    <t>Caracteristicas Inversor 2</t>
  </si>
  <si>
    <t>Al</t>
  </si>
  <si>
    <t>Cobre</t>
  </si>
  <si>
    <t>Origem</t>
  </si>
  <si>
    <t>Potência (kW)</t>
  </si>
  <si>
    <t>Destino</t>
  </si>
  <si>
    <t>Tipo Circuito</t>
  </si>
  <si>
    <t>Nº Paineis</t>
  </si>
  <si>
    <t>Tensão</t>
  </si>
  <si>
    <r>
      <t>P</t>
    </r>
    <r>
      <rPr>
        <b/>
        <vertAlign val="subscript"/>
        <sz val="10"/>
        <rFont val="Arial"/>
        <family val="2"/>
      </rPr>
      <t>max</t>
    </r>
  </si>
  <si>
    <t>Cos</t>
  </si>
  <si>
    <t>Angulo</t>
  </si>
  <si>
    <t>S</t>
  </si>
  <si>
    <r>
      <t>I</t>
    </r>
    <r>
      <rPr>
        <b/>
        <vertAlign val="subscript"/>
        <sz val="10"/>
        <rFont val="Arial"/>
        <family val="2"/>
      </rPr>
      <t>B</t>
    </r>
  </si>
  <si>
    <t>Factor de Simultaneadade</t>
  </si>
  <si>
    <t>IB</t>
  </si>
  <si>
    <t>Canalização</t>
  </si>
  <si>
    <t>Quantidade de Condutor (m)</t>
  </si>
  <si>
    <r>
      <t>I</t>
    </r>
    <r>
      <rPr>
        <b/>
        <vertAlign val="subscript"/>
        <sz val="10"/>
        <rFont val="Arial"/>
        <family val="2"/>
      </rPr>
      <t>Z</t>
    </r>
  </si>
  <si>
    <t>Factor de Correcão</t>
  </si>
  <si>
    <t>Dispos.</t>
  </si>
  <si>
    <t>Norma</t>
  </si>
  <si>
    <t>In (A)</t>
  </si>
  <si>
    <r>
      <t>K</t>
    </r>
    <r>
      <rPr>
        <b/>
        <vertAlign val="subscript"/>
        <sz val="10"/>
        <rFont val="Arial"/>
        <family val="2"/>
      </rPr>
      <t>2</t>
    </r>
  </si>
  <si>
    <r>
      <t>I</t>
    </r>
    <r>
      <rPr>
        <b/>
        <vertAlign val="subscript"/>
        <sz val="10"/>
        <rFont val="Arial"/>
        <family val="2"/>
      </rPr>
      <t>2</t>
    </r>
  </si>
  <si>
    <t>Condição de Aquecimento</t>
  </si>
  <si>
    <t>Condição de Sobrecarga</t>
  </si>
  <si>
    <t>b</t>
  </si>
  <si>
    <t>u (V)</t>
  </si>
  <si>
    <r>
      <t>D</t>
    </r>
    <r>
      <rPr>
        <b/>
        <sz val="10"/>
        <rFont val="Arial"/>
        <family val="2"/>
      </rPr>
      <t>u</t>
    </r>
    <r>
      <rPr>
        <b/>
        <sz val="10"/>
        <rFont val="Symbol"/>
        <family val="1"/>
        <charset val="2"/>
      </rPr>
      <t xml:space="preserve"> (%)</t>
    </r>
  </si>
  <si>
    <t>QDT Total</t>
  </si>
  <si>
    <t>Isolamento</t>
  </si>
  <si>
    <t>Preço €
Fases</t>
  </si>
  <si>
    <t>Preço €
Neutro</t>
  </si>
  <si>
    <t>Preço €
Terra</t>
  </si>
  <si>
    <t>Preço €
Total</t>
  </si>
  <si>
    <t>U</t>
  </si>
  <si>
    <t>F</t>
  </si>
  <si>
    <t>Inst</t>
  </si>
  <si>
    <t xml:space="preserve">Designação </t>
  </si>
  <si>
    <t>L (m)</t>
  </si>
  <si>
    <t>L (m) +</t>
  </si>
  <si>
    <t>Materiais</t>
  </si>
  <si>
    <r>
      <t>S</t>
    </r>
    <r>
      <rPr>
        <b/>
        <vertAlign val="subscript"/>
        <sz val="10"/>
        <rFont val="Arial"/>
        <family val="2"/>
      </rPr>
      <t>f</t>
    </r>
  </si>
  <si>
    <r>
      <t>S</t>
    </r>
    <r>
      <rPr>
        <b/>
        <vertAlign val="subscript"/>
        <sz val="10"/>
        <rFont val="Arial"/>
        <family val="2"/>
      </rPr>
      <t>N</t>
    </r>
  </si>
  <si>
    <r>
      <t>S</t>
    </r>
    <r>
      <rPr>
        <b/>
        <vertAlign val="subscript"/>
        <sz val="10"/>
        <rFont val="Arial"/>
        <family val="2"/>
      </rPr>
      <t>PE</t>
    </r>
  </si>
  <si>
    <t>Tabela</t>
  </si>
  <si>
    <t>Total</t>
  </si>
  <si>
    <t>Quadro</t>
  </si>
  <si>
    <t>FC1</t>
  </si>
  <si>
    <t>FC2</t>
  </si>
  <si>
    <t>FC3</t>
  </si>
  <si>
    <t>FC4</t>
  </si>
  <si>
    <t>FC5</t>
  </si>
  <si>
    <t>FC6</t>
  </si>
  <si>
    <t>FC7</t>
  </si>
  <si>
    <t>FC8</t>
  </si>
  <si>
    <t>(corr.)</t>
  </si>
  <si>
    <t>Protec.</t>
  </si>
  <si>
    <r>
      <t>(K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.I</t>
    </r>
    <r>
      <rPr>
        <b/>
        <vertAlign val="subscript"/>
        <sz val="10"/>
        <rFont val="Arial"/>
        <family val="2"/>
      </rPr>
      <t>n</t>
    </r>
    <r>
      <rPr>
        <b/>
        <sz val="10"/>
        <rFont val="Arial"/>
        <family val="2"/>
      </rPr>
      <t>)</t>
    </r>
  </si>
  <si>
    <t>r</t>
  </si>
  <si>
    <t>l</t>
  </si>
  <si>
    <t>sin 𝞿</t>
  </si>
  <si>
    <t xml:space="preserve">Verificação </t>
  </si>
  <si>
    <t>(V)</t>
  </si>
  <si>
    <t xml:space="preserve">(W) </t>
  </si>
  <si>
    <t>VA</t>
  </si>
  <si>
    <t>(A)</t>
  </si>
  <si>
    <t>Mono/Multi</t>
  </si>
  <si>
    <t xml:space="preserve">Cabo </t>
  </si>
  <si>
    <t>Situação</t>
  </si>
  <si>
    <t>Modos de instalação</t>
  </si>
  <si>
    <t>Métodos de Refência Disponíveis</t>
  </si>
  <si>
    <t>Refª</t>
  </si>
  <si>
    <t xml:space="preserve">Métodos de Refºª </t>
  </si>
  <si>
    <t>Métodos de Refºª Escolhido</t>
  </si>
  <si>
    <t>Alma</t>
  </si>
  <si>
    <t>Isol.</t>
  </si>
  <si>
    <t>Secção</t>
  </si>
  <si>
    <t>Nº cabos</t>
  </si>
  <si>
    <t>Factor</t>
  </si>
  <si>
    <t>RTIEBT</t>
  </si>
  <si>
    <r>
      <t>I</t>
    </r>
    <r>
      <rPr>
        <b/>
        <vertAlign val="subscript"/>
        <sz val="10"/>
        <rFont val="Arial"/>
        <family val="2"/>
      </rPr>
      <t>b</t>
    </r>
    <r>
      <rPr>
        <b/>
        <sz val="10"/>
        <rFont val="Arial"/>
        <family val="2"/>
      </rPr>
      <t>&lt;I</t>
    </r>
    <r>
      <rPr>
        <b/>
        <vertAlign val="subscript"/>
        <sz val="10"/>
        <rFont val="Arial"/>
        <family val="2"/>
      </rPr>
      <t>n</t>
    </r>
    <r>
      <rPr>
        <b/>
        <sz val="10"/>
        <rFont val="Arial"/>
        <family val="2"/>
      </rPr>
      <t>&lt;I</t>
    </r>
    <r>
      <rPr>
        <b/>
        <vertAlign val="subscript"/>
        <sz val="10"/>
        <rFont val="Arial"/>
        <family val="2"/>
      </rPr>
      <t>z</t>
    </r>
  </si>
  <si>
    <r>
      <t>I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&lt;1,45I</t>
    </r>
    <r>
      <rPr>
        <b/>
        <vertAlign val="subscript"/>
        <sz val="10"/>
        <rFont val="Arial"/>
        <family val="2"/>
      </rPr>
      <t>z</t>
    </r>
  </si>
  <si>
    <r>
      <t>W.</t>
    </r>
    <r>
      <rPr>
        <b/>
        <sz val="10"/>
        <rFont val="Arial"/>
        <family val="2"/>
      </rPr>
      <t>mm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/m</t>
    </r>
  </si>
  <si>
    <t>Iccmax</t>
  </si>
  <si>
    <t>Icc min</t>
  </si>
  <si>
    <t>(mon=2/ trif = 1)</t>
  </si>
  <si>
    <t>(%)</t>
  </si>
  <si>
    <t>%&lt;%a</t>
  </si>
  <si>
    <t>Inversor 1</t>
  </si>
  <si>
    <t>QPV</t>
  </si>
  <si>
    <t>Trif. Equilibrado</t>
  </si>
  <si>
    <t>Monocondutor</t>
  </si>
  <si>
    <t>LXV</t>
  </si>
  <si>
    <t>Enterradas</t>
  </si>
  <si>
    <t>Condutas circulares (tubos)</t>
  </si>
  <si>
    <t>Catalogo</t>
  </si>
  <si>
    <t>52-D1</t>
  </si>
  <si>
    <t>52-D2</t>
  </si>
  <si>
    <t>52-E1</t>
  </si>
  <si>
    <t>52-E2</t>
  </si>
  <si>
    <t>52-E3</t>
  </si>
  <si>
    <t>52-E4</t>
  </si>
  <si>
    <t>52-E5</t>
  </si>
  <si>
    <t>52-E6</t>
  </si>
  <si>
    <t>Disjuntor</t>
  </si>
  <si>
    <t>EN60898</t>
  </si>
  <si>
    <t>(XV) - Rígido</t>
  </si>
  <si>
    <t>Inversor 2</t>
  </si>
  <si>
    <t>EN60905</t>
  </si>
  <si>
    <t>RZ1K - Verde fléxivel</t>
  </si>
  <si>
    <r>
      <t>Secção Nominal (mm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</si>
  <si>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t>Diâmetro da alma, d (mm)</t>
  </si>
  <si>
    <t>Espessura do Isola. cobre</t>
  </si>
  <si>
    <t>Espessura do Isola. alumínio</t>
  </si>
  <si>
    <r>
      <t>Distância entre eixos cobre, a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(mm)</t>
    </r>
  </si>
  <si>
    <r>
      <t>Distância entre eixos alumínio, a</t>
    </r>
    <r>
      <rPr>
        <b/>
        <vertAlign val="subscript"/>
        <sz val="10"/>
        <rFont val="Arial"/>
        <family val="2"/>
      </rPr>
      <t>m</t>
    </r>
    <r>
      <rPr>
        <b/>
        <sz val="10"/>
        <rFont val="Arial"/>
        <family val="2"/>
      </rPr>
      <t xml:space="preserve"> (mm)</t>
    </r>
  </si>
  <si>
    <r>
      <t>l</t>
    </r>
    <r>
      <rPr>
        <b/>
        <vertAlign val="subscript"/>
        <sz val="10"/>
        <rFont val="Arial"/>
        <family val="2"/>
      </rPr>
      <t xml:space="preserve"> </t>
    </r>
    <r>
      <rPr>
        <b/>
        <sz val="10"/>
        <rFont val="Arial"/>
        <family val="2"/>
      </rPr>
      <t>(</t>
    </r>
    <r>
      <rPr>
        <b/>
        <sz val="10"/>
        <rFont val="Calibri"/>
        <family val="2"/>
      </rPr>
      <t>mH</t>
    </r>
    <r>
      <rPr>
        <b/>
        <sz val="10"/>
        <rFont val="Arial"/>
        <family val="2"/>
      </rPr>
      <t>/km)</t>
    </r>
  </si>
  <si>
    <r>
      <t>X (</t>
    </r>
    <r>
      <rPr>
        <b/>
        <sz val="10"/>
        <rFont val="Calibri"/>
        <family val="2"/>
      </rPr>
      <t>Ω</t>
    </r>
    <r>
      <rPr>
        <b/>
        <sz val="10"/>
        <rFont val="Arial"/>
        <family val="2"/>
      </rPr>
      <t>/m)</t>
    </r>
  </si>
  <si>
    <t>Alumínio</t>
  </si>
  <si>
    <t>-</t>
  </si>
  <si>
    <t>Temos de considerar o número de circuitos. 3 cabos por fase equivalem a 1 circuito.</t>
  </si>
  <si>
    <r>
      <rPr>
        <i/>
        <sz val="8.5"/>
        <rFont val="Arial"/>
        <family val="2"/>
      </rPr>
      <t>(2) - Podem ser utilizados outros tipos de canalizações não indicados nesta secção, desde que sejam cumpridas as regras gerais indicadas na presente parte das Regras Técnicas.</t>
    </r>
  </si>
  <si>
    <r>
      <rPr>
        <sz val="11"/>
        <rFont val="Times New Roman"/>
        <family val="1"/>
      </rPr>
      <t>Quadro 52H</t>
    </r>
  </si>
  <si>
    <r>
      <rPr>
        <sz val="11"/>
        <rFont val="Times New Roman"/>
        <family val="1"/>
      </rPr>
      <t>Exemplos de modos de instalação</t>
    </r>
  </si>
  <si>
    <r>
      <rPr>
        <sz val="9.5"/>
        <rFont val="Arial MT"/>
        <family val="2"/>
      </rPr>
      <t>Exemplo</t>
    </r>
  </si>
  <si>
    <r>
      <rPr>
        <sz val="9.5"/>
        <rFont val="Arial MT"/>
        <family val="2"/>
      </rPr>
      <t>Designação</t>
    </r>
  </si>
  <si>
    <r>
      <rPr>
        <sz val="9.5"/>
        <rFont val="Arial MT"/>
        <family val="2"/>
      </rPr>
      <t>Refª</t>
    </r>
  </si>
  <si>
    <r>
      <rPr>
        <sz val="9.5"/>
        <rFont val="Arial MT"/>
        <family val="2"/>
      </rPr>
      <t>Método de refª</t>
    </r>
    <r>
      <rPr>
        <i/>
        <vertAlign val="superscript"/>
        <sz val="8.5"/>
        <rFont val="Arial"/>
        <family val="2"/>
      </rPr>
      <t>(1)</t>
    </r>
  </si>
  <si>
    <r>
      <rPr>
        <sz val="9.5"/>
        <rFont val="Arial MT"/>
        <family val="2"/>
      </rPr>
      <t>Condutores isolados em condutas circulares (tubos) embebidas em elementos da construção, termicamente isolantes</t>
    </r>
  </si>
  <si>
    <r>
      <rPr>
        <sz val="9.5"/>
        <rFont val="Arial MT"/>
        <family val="2"/>
      </rPr>
      <t>A</t>
    </r>
  </si>
  <si>
    <t>Instalação das Canalizações</t>
  </si>
  <si>
    <t>Disjuntores</t>
  </si>
  <si>
    <r>
      <rPr>
        <sz val="9.5"/>
        <rFont val="Arial MT"/>
        <family val="2"/>
      </rPr>
      <t>Cabos multicondutores em condutas circulares (tubos) embebidas em elementos da construção, termicamente isolantes</t>
    </r>
  </si>
  <si>
    <r>
      <rPr>
        <sz val="9.5"/>
        <rFont val="Arial MT"/>
        <family val="2"/>
      </rPr>
      <t>A2</t>
    </r>
  </si>
  <si>
    <t>In</t>
  </si>
  <si>
    <t>Inf</t>
  </si>
  <si>
    <t>If</t>
  </si>
  <si>
    <r>
      <rPr>
        <sz val="9.5"/>
        <rFont val="Arial MT"/>
        <family val="2"/>
      </rPr>
      <t>Condutores isolados em condutas circulares (tubos) montadas à vista</t>
    </r>
  </si>
  <si>
    <r>
      <rPr>
        <sz val="9.5"/>
        <rFont val="Arial MT"/>
        <family val="2"/>
      </rPr>
      <t>B</t>
    </r>
  </si>
  <si>
    <t>Sem fixação</t>
  </si>
  <si>
    <t>Fixação directa</t>
  </si>
  <si>
    <t>Calhas</t>
  </si>
  <si>
    <t>Condutas não circulares</t>
  </si>
  <si>
    <t>Caminhos de cabos, escadas e consolas</t>
  </si>
  <si>
    <t>Sobre isoladores</t>
  </si>
  <si>
    <t>Cabos auto-suportados</t>
  </si>
  <si>
    <r>
      <rPr>
        <sz val="9.5"/>
        <rFont val="Arial MT"/>
        <family val="2"/>
      </rPr>
      <t>Cabos mono ou multicondutores em condutas circulares (tubos) montadas à vista</t>
    </r>
  </si>
  <si>
    <r>
      <rPr>
        <sz val="9.5"/>
        <rFont val="Arial MT"/>
        <family val="2"/>
      </rPr>
      <t>3A</t>
    </r>
  </si>
  <si>
    <r>
      <rPr>
        <sz val="9.5"/>
        <rFont val="Arial MT"/>
        <family val="2"/>
      </rPr>
      <t>(em estudo)</t>
    </r>
  </si>
  <si>
    <t>Ocos de construção</t>
  </si>
  <si>
    <t>21,25,73,74</t>
  </si>
  <si>
    <t>22,73,74</t>
  </si>
  <si>
    <t>12,13,13,15,16</t>
  </si>
  <si>
    <r>
      <t>Condutores isolados em condutas não</t>
    </r>
    <r>
      <rPr>
        <sz val="9.5"/>
        <rFont val="Arial MT"/>
      </rPr>
      <t xml:space="preserve"> circulares montadas à vista</t>
    </r>
    <r>
      <rPr>
        <sz val="9.5"/>
        <rFont val="Arial MT"/>
        <family val="2"/>
      </rPr>
      <t xml:space="preserve">. </t>
    </r>
  </si>
  <si>
    <r>
      <rPr>
        <sz val="9.5"/>
        <rFont val="Arial MT"/>
        <family val="2"/>
      </rPr>
      <t>B2</t>
    </r>
  </si>
  <si>
    <t>Caleiras</t>
  </si>
  <si>
    <r>
      <t>Cabos mono ou multicondutores em condutas não circulares montadas à</t>
    </r>
    <r>
      <rPr>
        <sz val="9.5"/>
        <rFont val="Arial MT"/>
      </rPr>
      <t xml:space="preserve"> vista</t>
    </r>
  </si>
  <si>
    <r>
      <rPr>
        <sz val="9.5"/>
        <rFont val="Arial MT"/>
        <family val="2"/>
      </rPr>
      <t>4A</t>
    </r>
  </si>
  <si>
    <r>
      <rPr>
        <sz val="9.5"/>
        <rFont val="Arial MT"/>
        <family val="2"/>
      </rPr>
      <t>Condutores isolados em condutas circulares (tubos) embebidas nos elementos da construção, em alvenaria</t>
    </r>
  </si>
  <si>
    <t>Embebidas</t>
  </si>
  <si>
    <t>1,2,5</t>
  </si>
  <si>
    <r>
      <rPr>
        <sz val="9.5"/>
        <rFont val="Arial MT"/>
        <family val="2"/>
      </rPr>
      <t>Cabos mono ou multicondutores em condutas circulares (tubos) embebidas nos elementos da construção, em alvenaria</t>
    </r>
  </si>
  <si>
    <r>
      <rPr>
        <sz val="9.5"/>
        <rFont val="Arial MT"/>
        <family val="2"/>
      </rPr>
      <t>5A</t>
    </r>
  </si>
  <si>
    <t>À vista</t>
  </si>
  <si>
    <t>31,32,71,72</t>
  </si>
  <si>
    <r>
      <rPr>
        <sz val="9.5"/>
        <rFont val="Arial MT"/>
        <family val="2"/>
      </rPr>
      <t>Cabos mono ou multicondutores (com ou sem armadura) fixados às paredes</t>
    </r>
  </si>
  <si>
    <r>
      <rPr>
        <sz val="9.5"/>
        <rFont val="Arial MT"/>
        <family val="2"/>
      </rPr>
      <t>C</t>
    </r>
  </si>
  <si>
    <t>Linhas aérias</t>
  </si>
  <si>
    <r>
      <rPr>
        <sz val="9.5"/>
        <rFont val="Arial MT"/>
        <family val="2"/>
      </rPr>
      <t>Cabos mono ou multicondutores (com ou sem armadura) fixados aos tectos</t>
    </r>
  </si>
  <si>
    <r>
      <rPr>
        <sz val="9.5"/>
        <rFont val="Arial MT"/>
        <family val="2"/>
      </rPr>
      <t>11A</t>
    </r>
  </si>
  <si>
    <r>
      <rPr>
        <sz val="9.5"/>
        <rFont val="Arial MT"/>
        <family val="2"/>
      </rPr>
      <t>C [3]</t>
    </r>
  </si>
  <si>
    <t>Imersas</t>
  </si>
  <si>
    <r>
      <rPr>
        <sz val="9.5"/>
        <rFont val="Arial MT"/>
        <family val="2"/>
      </rPr>
      <t>Cabos mono ou multicondutores (com ou sem armadura) em caminhos de cabos não perfurados</t>
    </r>
  </si>
  <si>
    <r>
      <rPr>
        <sz val="9.5"/>
        <rFont val="Arial MT"/>
        <family val="2"/>
      </rPr>
      <t>C [2]</t>
    </r>
    <r>
      <rPr>
        <i/>
        <vertAlign val="superscript"/>
        <sz val="8.5"/>
        <rFont val="Arial"/>
        <family val="2"/>
      </rPr>
      <t>(3)</t>
    </r>
  </si>
  <si>
    <r>
      <rPr>
        <sz val="9.5"/>
        <rFont val="Arial MT"/>
        <family val="2"/>
      </rPr>
      <t>Cabos mono ou multicondutores (com ou sem armadura) em caminhos de cabos perfurados</t>
    </r>
  </si>
  <si>
    <r>
      <rPr>
        <sz val="9.5"/>
        <rFont val="Arial MT"/>
        <family val="2"/>
      </rPr>
      <t>E ou F [4]</t>
    </r>
    <r>
      <rPr>
        <i/>
        <vertAlign val="superscript"/>
        <sz val="8.5"/>
        <rFont val="Arial"/>
        <family val="2"/>
      </rPr>
      <t>(3)</t>
    </r>
  </si>
  <si>
    <r>
      <rPr>
        <sz val="9.5"/>
        <rFont val="Arial MT"/>
        <family val="2"/>
      </rPr>
      <t>Cabos mono ou multicondutores (com ou sem armadura) em consolas</t>
    </r>
  </si>
  <si>
    <r>
      <rPr>
        <sz val="9.5"/>
        <rFont val="Arial MT"/>
        <family val="2"/>
      </rPr>
      <t>E ou F [4] ou [5](</t>
    </r>
    <r>
      <rPr>
        <i/>
        <sz val="8.5"/>
        <rFont val="Arial"/>
        <family val="2"/>
      </rPr>
      <t xml:space="preserve">2)(3)
</t>
    </r>
    <r>
      <rPr>
        <sz val="9.5"/>
        <rFont val="Arial MT"/>
        <family val="2"/>
      </rPr>
      <t>G</t>
    </r>
  </si>
  <si>
    <t>Tensões</t>
  </si>
  <si>
    <t>Tipo de cabo</t>
  </si>
  <si>
    <r>
      <rPr>
        <sz val="9.5"/>
        <rFont val="Arial MT"/>
        <family val="2"/>
      </rPr>
      <t>Cabos mono ou multicondutores (com ou sem armadura) fixados por braçadeiras e afastados dos elementos da construção</t>
    </r>
  </si>
  <si>
    <t>Tipo de Circuito</t>
  </si>
  <si>
    <t>Uo</t>
  </si>
  <si>
    <r>
      <rPr>
        <sz val="9.5"/>
        <rFont val="Arial MT"/>
        <family val="2"/>
      </rPr>
      <t>Cabos mono ou multicondutores (com ou sem armadura) em escadas (para cabos)</t>
    </r>
  </si>
  <si>
    <t>Monofásico</t>
  </si>
  <si>
    <t>Multicondutor</t>
  </si>
  <si>
    <r>
      <rPr>
        <sz val="9.5"/>
        <rFont val="Arial MT"/>
        <family val="2"/>
      </rPr>
      <t>Cabos mono ou multicondutores auto- suportados ou suspensos por fiadores</t>
    </r>
  </si>
  <si>
    <r>
      <rPr>
        <sz val="9.5"/>
        <rFont val="Arial MT"/>
        <family val="2"/>
      </rPr>
      <t>E ou G</t>
    </r>
  </si>
  <si>
    <t>Bifásico</t>
  </si>
  <si>
    <r>
      <rPr>
        <sz val="9.5"/>
        <rFont val="Arial MT"/>
        <family val="2"/>
      </rPr>
      <t>Condutores nus ou isolados assentes sobre isoladores</t>
    </r>
  </si>
  <si>
    <r>
      <rPr>
        <sz val="9.5"/>
        <rFont val="Arial MT"/>
        <family val="2"/>
      </rPr>
      <t>G</t>
    </r>
  </si>
  <si>
    <t>Trif. c/ neutro</t>
  </si>
  <si>
    <r>
      <rPr>
        <sz val="9.5"/>
        <rFont val="Arial MT"/>
        <family val="2"/>
      </rPr>
      <t>Cabos mono ou multicondutores em ocos da construção</t>
    </r>
  </si>
  <si>
    <r>
      <rPr>
        <sz val="9.5"/>
        <rFont val="Arial MT"/>
        <family val="2"/>
      </rPr>
      <t>B2 para: 1,5D</t>
    </r>
    <r>
      <rPr>
        <vertAlign val="subscript"/>
        <sz val="9.5"/>
        <rFont val="Arial MT"/>
        <family val="2"/>
      </rPr>
      <t xml:space="preserve">e  </t>
    </r>
    <r>
      <rPr>
        <sz val="9.5"/>
        <rFont val="Arial MT"/>
        <family val="2"/>
      </rPr>
      <t>V  5D</t>
    </r>
    <r>
      <rPr>
        <vertAlign val="subscript"/>
        <sz val="9.5"/>
        <rFont val="Arial MT"/>
        <family val="2"/>
      </rPr>
      <t xml:space="preserve">e
</t>
    </r>
    <r>
      <rPr>
        <sz val="9.5"/>
        <rFont val="Arial MT"/>
        <family val="2"/>
      </rPr>
      <t xml:space="preserve">B para:
</t>
    </r>
    <r>
      <rPr>
        <sz val="9.5"/>
        <rFont val="Arial MT"/>
        <family val="2"/>
      </rPr>
      <t>5D</t>
    </r>
    <r>
      <rPr>
        <vertAlign val="subscript"/>
        <sz val="9.5"/>
        <rFont val="Arial MT"/>
        <family val="2"/>
      </rPr>
      <t xml:space="preserve">e  </t>
    </r>
    <r>
      <rPr>
        <sz val="9.5"/>
        <rFont val="Arial MT"/>
        <family val="2"/>
      </rPr>
      <t>V  50D</t>
    </r>
    <r>
      <rPr>
        <vertAlign val="subscript"/>
        <sz val="9.5"/>
        <rFont val="Arial MT"/>
        <family val="2"/>
      </rPr>
      <t xml:space="preserve">e
</t>
    </r>
    <r>
      <rPr>
        <i/>
        <sz val="8.5"/>
        <rFont val="Arial"/>
        <family val="2"/>
      </rPr>
      <t>(4)</t>
    </r>
  </si>
  <si>
    <r>
      <rPr>
        <sz val="9.5"/>
        <rFont val="Arial MT"/>
        <family val="2"/>
      </rPr>
      <t>Condutores isolados em condutas circulares (tubos) em ocos da construção</t>
    </r>
  </si>
  <si>
    <r>
      <rPr>
        <sz val="9.5"/>
        <rFont val="Arial MT"/>
        <family val="2"/>
      </rPr>
      <t>B2 para: 1,5D</t>
    </r>
    <r>
      <rPr>
        <vertAlign val="subscript"/>
        <sz val="9.5"/>
        <rFont val="Arial MT"/>
        <family val="2"/>
      </rPr>
      <t xml:space="preserve">e  </t>
    </r>
    <r>
      <rPr>
        <sz val="9.5"/>
        <rFont val="Arial MT"/>
        <family val="2"/>
      </rPr>
      <t>V  20D</t>
    </r>
    <r>
      <rPr>
        <vertAlign val="subscript"/>
        <sz val="9.5"/>
        <rFont val="Arial MT"/>
        <family val="2"/>
      </rPr>
      <t xml:space="preserve">e
</t>
    </r>
    <r>
      <rPr>
        <sz val="9.5"/>
        <rFont val="Arial MT"/>
        <family val="2"/>
      </rPr>
      <t xml:space="preserve">B para:
</t>
    </r>
    <r>
      <rPr>
        <sz val="9.5"/>
        <rFont val="Arial MT"/>
        <family val="2"/>
      </rPr>
      <t>20D</t>
    </r>
    <r>
      <rPr>
        <vertAlign val="subscript"/>
        <sz val="9.5"/>
        <rFont val="Arial MT"/>
        <family val="2"/>
      </rPr>
      <t xml:space="preserve">e  </t>
    </r>
    <r>
      <rPr>
        <sz val="9.5"/>
        <rFont val="Arial MT"/>
        <family val="2"/>
      </rPr>
      <t>V  50D</t>
    </r>
    <r>
      <rPr>
        <vertAlign val="subscript"/>
        <sz val="9.5"/>
        <rFont val="Arial MT"/>
        <family val="2"/>
      </rPr>
      <t xml:space="preserve">e
</t>
    </r>
    <r>
      <rPr>
        <i/>
        <sz val="8.5"/>
        <rFont val="Arial"/>
        <family val="2"/>
      </rPr>
      <t>(4)</t>
    </r>
  </si>
  <si>
    <t>DC</t>
  </si>
  <si>
    <r>
      <rPr>
        <sz val="9.5"/>
        <rFont val="Arial MT"/>
        <family val="2"/>
      </rPr>
      <t>Cabos mono ou multicondutores em condutas circulares (tubos) em ocos da construção</t>
    </r>
  </si>
  <si>
    <r>
      <rPr>
        <sz val="9.5"/>
        <rFont val="Arial MT"/>
        <family val="2"/>
      </rPr>
      <t>22A</t>
    </r>
  </si>
  <si>
    <r>
      <rPr>
        <sz val="9.5"/>
        <rFont val="Arial MT"/>
        <family val="2"/>
      </rPr>
      <t>Condutores isolados em condutas não circulares em ocos da construção</t>
    </r>
  </si>
  <si>
    <t>Cabo</t>
  </si>
  <si>
    <r>
      <rPr>
        <sz val="9.5"/>
        <rFont val="Arial MT"/>
        <family val="2"/>
      </rPr>
      <t>Cabos mono ou multicondutores em condutas não circulares em ocos da construção</t>
    </r>
  </si>
  <si>
    <r>
      <rPr>
        <sz val="9.5"/>
        <rFont val="Arial MT"/>
        <family val="2"/>
      </rPr>
      <t>23A</t>
    </r>
  </si>
  <si>
    <t>H07V-U</t>
  </si>
  <si>
    <t>PVC</t>
  </si>
  <si>
    <r>
      <rPr>
        <sz val="9.5"/>
        <rFont val="Arial MT"/>
        <family val="2"/>
      </rPr>
      <t>Condutores isolados em condutas não circulares embebidas durante a construção do edifício</t>
    </r>
  </si>
  <si>
    <t>H07V-R</t>
  </si>
  <si>
    <r>
      <rPr>
        <sz val="9.5"/>
        <rFont val="Arial MT"/>
        <family val="2"/>
      </rPr>
      <t>Cabos mono ou multicondutores em condutas não circulares embebidas durante a construção do edifício</t>
    </r>
  </si>
  <si>
    <r>
      <rPr>
        <sz val="9.5"/>
        <rFont val="Arial MT"/>
        <family val="2"/>
      </rPr>
      <t>24A</t>
    </r>
  </si>
  <si>
    <t>H07V-K</t>
  </si>
  <si>
    <r>
      <rPr>
        <sz val="9.5"/>
        <rFont val="Arial MT"/>
        <family val="2"/>
      </rPr>
      <t>Cabos mono ou multicondutores em tectos falsos ou suspensos</t>
    </r>
  </si>
  <si>
    <t>H05VV-F</t>
  </si>
  <si>
    <r>
      <rPr>
        <sz val="9.5"/>
        <rFont val="Arial MT"/>
        <family val="2"/>
      </rPr>
      <t>Condutores isolados ou cabos mono ou multicondutores em calhas fixadas a elementos da construção em percursos horizontais</t>
    </r>
  </si>
  <si>
    <t>B(5)(8)</t>
  </si>
  <si>
    <t>PT-N05VV-U</t>
  </si>
  <si>
    <r>
      <rPr>
        <sz val="9.5"/>
        <rFont val="Arial MT"/>
        <family val="2"/>
      </rPr>
      <t>Condutores isolados ou cabos mono ou multicondutores em calhas fixadas a elementos da construção em percursos verticais</t>
    </r>
  </si>
  <si>
    <t>XG (RF)</t>
  </si>
  <si>
    <t>XLPE</t>
  </si>
  <si>
    <r>
      <rPr>
        <sz val="9.5"/>
        <rFont val="Arial MT"/>
        <family val="2"/>
      </rPr>
      <t>Condutores isolados em calhas embebidas nos pavimentos e nas paredes</t>
    </r>
  </si>
  <si>
    <t>B(5)</t>
  </si>
  <si>
    <t>NHXH (FE180)E90</t>
  </si>
  <si>
    <r>
      <rPr>
        <sz val="9.5"/>
        <rFont val="Arial MT"/>
        <family val="2"/>
      </rPr>
      <t>Cabos mono ou multicondutores em calhas embebidas nos pavimentos e nas paredes</t>
    </r>
  </si>
  <si>
    <r>
      <rPr>
        <sz val="9.5"/>
        <rFont val="Arial MT"/>
        <family val="2"/>
      </rPr>
      <t>33A</t>
    </r>
  </si>
  <si>
    <t>XZ1</t>
  </si>
  <si>
    <t>Condutores isolados em calhas suspensas</t>
  </si>
  <si>
    <r>
      <rPr>
        <i/>
        <sz val="11"/>
        <rFont val="Arial"/>
        <family val="2"/>
      </rPr>
      <t>B(5)</t>
    </r>
    <r>
      <rPr>
        <i/>
        <sz val="8.5"/>
        <rFont val="Arial"/>
        <family val="2"/>
      </rPr>
      <t xml:space="preserve">
</t>
    </r>
    <r>
      <rPr>
        <sz val="9.5"/>
        <rFont val="Arial MT"/>
        <family val="2"/>
      </rPr>
      <t>B2</t>
    </r>
  </si>
  <si>
    <t>XG (ZH)</t>
  </si>
  <si>
    <t xml:space="preserve">
Cabos mono ou multicondutores em calhas suspensas</t>
  </si>
  <si>
    <t>34A</t>
  </si>
  <si>
    <t>XV</t>
  </si>
  <si>
    <r>
      <rPr>
        <sz val="9.5"/>
        <rFont val="Arial MT"/>
        <family val="2"/>
      </rPr>
      <t>Condutores isolados em condutas circulares (tubos) ou cabos multicondutores em caleiras fechadas, em percursos horizontais ou verticais</t>
    </r>
  </si>
  <si>
    <t>XV - K</t>
  </si>
  <si>
    <r>
      <rPr>
        <sz val="9.5"/>
        <rFont val="Arial MT"/>
        <family val="2"/>
      </rPr>
      <t>Condutores isolados em condutas circulares (tubos) em caleiras ventiladas</t>
    </r>
  </si>
  <si>
    <t>B(6)(8)</t>
  </si>
  <si>
    <t>AL</t>
  </si>
  <si>
    <r>
      <rPr>
        <sz val="9.5"/>
        <rFont val="Arial MT"/>
        <family val="2"/>
      </rPr>
      <t>Cabos mono ou multicondutores em caleiras abertas ou ventiladas</t>
    </r>
  </si>
  <si>
    <t>B(6)</t>
  </si>
  <si>
    <t>LXHIOV</t>
  </si>
  <si>
    <r>
      <rPr>
        <sz val="9.5"/>
        <rFont val="Arial MT"/>
        <family val="2"/>
      </rPr>
      <t>Cabos multicondutores embebidos directamente em elementos da construção, termicamente isolantes</t>
    </r>
  </si>
  <si>
    <t>LSXV</t>
  </si>
  <si>
    <r>
      <rPr>
        <sz val="9.5"/>
        <rFont val="Arial MT"/>
        <family val="2"/>
      </rPr>
      <t>Cabos mono ou multicondutores embebidos directamente em elementos da construção, sem protecção mecânica complementar</t>
    </r>
  </si>
  <si>
    <t>LXZ1 (RZ1 AL)</t>
  </si>
  <si>
    <r>
      <rPr>
        <sz val="9.5"/>
        <rFont val="Arial MT"/>
        <family val="2"/>
      </rPr>
      <t>Cabos mono ou multicondutores embebidos directamente em elementos da construção, com protecção mecânica complementar</t>
    </r>
  </si>
  <si>
    <r>
      <rPr>
        <sz val="9.5"/>
        <rFont val="Arial MT"/>
        <family val="2"/>
      </rPr>
      <t>Cabos mono ou multicondutores, em condutas enterradas</t>
    </r>
  </si>
  <si>
    <t>D(7)</t>
  </si>
  <si>
    <r>
      <rPr>
        <sz val="9.5"/>
        <rFont val="Arial MT"/>
        <family val="2"/>
      </rPr>
      <t>Cabos mono ou multicondutores enterrados, sem protecção mecânica complementar</t>
    </r>
  </si>
  <si>
    <r>
      <rPr>
        <sz val="9.5"/>
        <rFont val="Arial MT"/>
        <family val="2"/>
      </rPr>
      <t>Cabos mono ou multicondutores enterrados, com protecção mecânica complementar</t>
    </r>
  </si>
  <si>
    <r>
      <rPr>
        <sz val="9.5"/>
        <rFont val="Arial MT"/>
        <family val="2"/>
      </rPr>
      <t>Condutores isolados em calhas de rodapé</t>
    </r>
  </si>
  <si>
    <t>A(9)</t>
  </si>
  <si>
    <r>
      <rPr>
        <sz val="9.5"/>
        <rFont val="Arial MT"/>
        <family val="2"/>
      </rPr>
      <t xml:space="preserve">Condutores isolados ou cabos mono ou multicondutores em calhas de rodapé dotadas de separadores
</t>
    </r>
    <r>
      <rPr>
        <i/>
        <sz val="7.5"/>
        <rFont val="Arial"/>
        <family val="2"/>
      </rPr>
      <t>(* - compartimento para cabos de comunicações e de transmissão de dados)</t>
    </r>
  </si>
  <si>
    <t>B(8)</t>
  </si>
  <si>
    <r>
      <rPr>
        <sz val="9.5"/>
        <rFont val="Arial MT"/>
        <family val="2"/>
      </rPr>
      <t>Condutores isolados em condutas circulares (tubos) ou cabos mono ou multicondutores, protegidos pelos aros das portas</t>
    </r>
  </si>
  <si>
    <r>
      <rPr>
        <sz val="9.5"/>
        <rFont val="Arial MT"/>
        <family val="2"/>
      </rPr>
      <t>Condutores isolados em condutas circulares (tubos) ou cabos mono ou multicondutores, protegidos pelos aros das janelas</t>
    </r>
  </si>
  <si>
    <r>
      <rPr>
        <b/>
        <i/>
        <sz val="12"/>
        <rFont val="Arial"/>
        <family val="2"/>
      </rPr>
      <t xml:space="preserve">Nota: </t>
    </r>
    <r>
      <rPr>
        <i/>
        <sz val="12"/>
        <rFont val="Arial"/>
        <family val="2"/>
      </rPr>
      <t xml:space="preserve">O algarismo indicado dentro de [ ] corresponde ao da referência do quadro 52E1 (factores de correcção).
</t>
    </r>
    <r>
      <rPr>
        <b/>
        <i/>
        <sz val="12"/>
        <rFont val="Arial"/>
        <family val="2"/>
      </rPr>
      <t xml:space="preserve">V </t>
    </r>
    <r>
      <rPr>
        <i/>
        <sz val="12"/>
        <rFont val="Arial"/>
        <family val="2"/>
      </rPr>
      <t xml:space="preserve">- é a menor dimensão ou o diâmetro do oco ou a dimensão vertical do bloco alvéolar do oco do pavimento ou do tecto.
</t>
    </r>
    <r>
      <rPr>
        <b/>
        <i/>
        <sz val="12"/>
        <rFont val="Arial"/>
        <family val="2"/>
      </rPr>
      <t>D</t>
    </r>
    <r>
      <rPr>
        <b/>
        <i/>
        <vertAlign val="subscript"/>
        <sz val="12"/>
        <rFont val="Arial"/>
        <family val="2"/>
      </rPr>
      <t xml:space="preserve">e </t>
    </r>
    <r>
      <rPr>
        <i/>
        <sz val="12"/>
        <rFont val="Arial"/>
        <family val="2"/>
      </rPr>
      <t>- é o diâmetro exterior dos cabos multicondutores ou o diâmetro equivalente dos cabos monocondutores ou o diâmetro exterior da conduta ou do bloco alvéolar; quando os cabos monocondutores forem colocados em triângulo D</t>
    </r>
    <r>
      <rPr>
        <i/>
        <vertAlign val="subscript"/>
        <sz val="12"/>
        <rFont val="Arial"/>
        <family val="2"/>
      </rPr>
      <t xml:space="preserve">e </t>
    </r>
    <r>
      <rPr>
        <i/>
        <sz val="12"/>
        <rFont val="Arial"/>
        <family val="2"/>
      </rPr>
      <t xml:space="preserve">= 2,2d e quando forem colocados em linha De=3d (d - é o diâmetro exterior de um cabo monocondutor);
</t>
    </r>
    <r>
      <rPr>
        <b/>
        <i/>
        <sz val="12"/>
        <rFont val="Arial"/>
        <family val="2"/>
      </rPr>
      <t xml:space="preserve">(1) </t>
    </r>
    <r>
      <rPr>
        <i/>
        <sz val="12"/>
        <rFont val="Arial"/>
        <family val="2"/>
      </rPr>
      <t xml:space="preserve">- Veja-se o Anexo III.
</t>
    </r>
    <r>
      <rPr>
        <b/>
        <i/>
        <sz val="12"/>
        <rFont val="Arial"/>
        <family val="2"/>
      </rPr>
      <t xml:space="preserve">(2)  </t>
    </r>
    <r>
      <rPr>
        <i/>
        <sz val="12"/>
        <rFont val="Arial"/>
        <family val="2"/>
      </rPr>
      <t xml:space="preserve">-  Para  certas  aplicações,  pode  ser  mais  adequado utilizar factores de  correcção  específicos,  como  por  exemplo,  os indicados nos quadro 52E4 e 52E5.
</t>
    </r>
    <r>
      <rPr>
        <b/>
        <i/>
        <sz val="12"/>
        <rFont val="Arial"/>
        <family val="2"/>
      </rPr>
      <t xml:space="preserve">(3) </t>
    </r>
    <r>
      <rPr>
        <i/>
        <sz val="12"/>
        <rFont val="Arial"/>
        <family val="2"/>
      </rPr>
      <t xml:space="preserve">- Os valores das correntes admissíveis podem também ser usados para os percursos verticais; quando as condições de ventilação forem limitadas a temperatura na parte superior do percurso vertical pode tornar-se muito elevada.
</t>
    </r>
    <r>
      <rPr>
        <b/>
        <i/>
        <sz val="12"/>
        <rFont val="Arial"/>
        <family val="2"/>
      </rPr>
      <t xml:space="preserve">(4) </t>
    </r>
    <r>
      <rPr>
        <i/>
        <sz val="12"/>
        <rFont val="Arial"/>
        <family val="2"/>
      </rPr>
      <t>- Para V</t>
    </r>
    <r>
      <rPr>
        <sz val="12"/>
        <rFont val="Calibri"/>
        <family val="2"/>
      </rPr>
      <t>&gt;</t>
    </r>
    <r>
      <rPr>
        <i/>
        <sz val="12"/>
        <rFont val="Arial"/>
        <family val="2"/>
      </rPr>
      <t>50D</t>
    </r>
    <r>
      <rPr>
        <i/>
        <vertAlign val="subscript"/>
        <sz val="12"/>
        <rFont val="Arial"/>
        <family val="2"/>
      </rPr>
      <t xml:space="preserve">e </t>
    </r>
    <r>
      <rPr>
        <i/>
        <sz val="12"/>
        <rFont val="Arial"/>
        <family val="2"/>
      </rPr>
      <t xml:space="preserve">devem ser usados os métodos de referência C, E ou F.
</t>
    </r>
    <r>
      <rPr>
        <b/>
        <i/>
        <sz val="12"/>
        <rFont val="Arial"/>
        <family val="2"/>
      </rPr>
      <t xml:space="preserve">(5)  </t>
    </r>
    <r>
      <rPr>
        <i/>
        <sz val="12"/>
        <rFont val="Arial"/>
        <family val="2"/>
      </rPr>
      <t xml:space="preserve">- Os valores das correntes admissíveis indicados para o método de referência B são válidos para um único circuito; quando se utilizar mais do que um circuito, devem ser aplicados os factores de correcção indicados no quadro 52E1, mesmo se houver divisórias ou separadores.
</t>
    </r>
    <r>
      <rPr>
        <b/>
        <i/>
        <sz val="12"/>
        <rFont val="Arial"/>
        <family val="2"/>
      </rPr>
      <t xml:space="preserve">(6) </t>
    </r>
    <r>
      <rPr>
        <i/>
        <sz val="12"/>
        <rFont val="Arial"/>
        <family val="2"/>
      </rPr>
      <t xml:space="preserve">- Recomenda-se limitar a utilização destes modos de instalação aos locais acessíveis apenas a pessoas autorizadas.
</t>
    </r>
    <r>
      <rPr>
        <b/>
        <i/>
        <sz val="12"/>
        <rFont val="Arial"/>
        <family val="2"/>
      </rPr>
      <t xml:space="preserve">(7) </t>
    </r>
    <r>
      <rPr>
        <i/>
        <sz val="12"/>
        <rFont val="Arial"/>
        <family val="2"/>
      </rPr>
      <t xml:space="preserve">- Em estudo; provisoriamente aplica-se o método D do Anexo III.
</t>
    </r>
    <r>
      <rPr>
        <b/>
        <i/>
        <sz val="12"/>
        <rFont val="Arial"/>
        <family val="2"/>
      </rPr>
      <t xml:space="preserve">(8) </t>
    </r>
    <r>
      <rPr>
        <i/>
        <sz val="12"/>
        <rFont val="Arial"/>
        <family val="2"/>
      </rPr>
      <t xml:space="preserve">- Para os cabos multicondutores utilizar o método de referência B2.
</t>
    </r>
    <r>
      <rPr>
        <b/>
        <i/>
        <sz val="12"/>
        <rFont val="Arial"/>
        <family val="2"/>
      </rPr>
      <t xml:space="preserve">(9) </t>
    </r>
    <r>
      <rPr>
        <i/>
        <sz val="12"/>
        <rFont val="Arial"/>
        <family val="2"/>
      </rPr>
      <t>- Quando a construção destas calhas for termicamente equivalente às utilizadas nos métodos de instalação 31 e 32, podem ser usados os métodos de referência B e B2 (veja-se a nota 7).</t>
    </r>
  </si>
  <si>
    <t>Material</t>
  </si>
  <si>
    <t>Preço €</t>
  </si>
  <si>
    <t>[E] QUADRO 52-C1</t>
  </si>
  <si>
    <t>Correntes admissíveis, em amperes, para os métodos de referência A, B e C (de acordo com o quadro 52H)</t>
  </si>
  <si>
    <t>Condutores isolados a policloreto de vinilo (PVC), para:</t>
  </si>
  <si>
    <t>(XZ1) - Condições especiais contra fogos</t>
  </si>
  <si>
    <t>dois condutores carregados</t>
  </si>
  <si>
    <t>cobre ou alumínio</t>
  </si>
  <si>
    <t>temperatura da alma condutora: 70°C</t>
  </si>
  <si>
    <t>temperatura ambiente: 30°C</t>
  </si>
  <si>
    <t>Secção nominal</t>
  </si>
  <si>
    <t>Método de referência</t>
  </si>
  <si>
    <t>dos condutores</t>
  </si>
  <si>
    <t>(mm2)</t>
  </si>
  <si>
    <t>A</t>
  </si>
  <si>
    <t>B</t>
  </si>
  <si>
    <r>
      <t>C</t>
    </r>
    <r>
      <rPr>
        <i/>
        <sz val="8"/>
        <rFont val="Arial"/>
        <family val="2"/>
      </rPr>
      <t>(*)</t>
    </r>
  </si>
  <si>
    <t>Condutores de cobre</t>
  </si>
  <si>
    <t>1,5</t>
  </si>
  <si>
    <t>14,5</t>
  </si>
  <si>
    <t>17,5</t>
  </si>
  <si>
    <t>19,5</t>
  </si>
  <si>
    <t>(RVK - FXV) - Fléxivel</t>
  </si>
  <si>
    <t>2,5</t>
  </si>
  <si>
    <t>Novos preços</t>
  </si>
  <si>
    <t>ENERGY CLASS RV/XV ECA 1KV 5G10</t>
  </si>
  <si>
    <t>ENERGY CLASS RV/XV ECA 1KV 5G16</t>
  </si>
  <si>
    <t>ENERGY CLASS RV/XV ECA 1KV 5G25</t>
  </si>
  <si>
    <t>ENERGY CLASS RV/XV ECA 1KV 5G35</t>
  </si>
  <si>
    <t>ENERGY CLASS RV/XV ECA 1KV 1X35</t>
  </si>
  <si>
    <t>ENERGY CLASS RV/XV ECA 1KV 1X50</t>
  </si>
  <si>
    <t>Condutores de Alumínio</t>
  </si>
  <si>
    <t>XZ1-AL (S) ECA 1KV AC-1,5KV DC 1X35</t>
  </si>
  <si>
    <t>XZ1-AL (S) ECA 1KV AC-1,5KV DC 1X50</t>
  </si>
  <si>
    <t>XZ1-AL (S) ECA 1KV AC-1,5KV DC 1X70</t>
  </si>
  <si>
    <t>XZ1-AL (S) ECA 1KV AC-1,5KV DC 1X95</t>
  </si>
  <si>
    <t>XZ1-AL (S) ECA 1KV AC-1,5KV DC 1X120</t>
  </si>
  <si>
    <t>XZ1-AL (S) ECA 1KV AC-1,5KV DC 1X150</t>
  </si>
  <si>
    <t>XZ1-AL (S) ECA 1KV AC-1,5KV DC 1X185</t>
  </si>
  <si>
    <t>XZ1-AL (S) ECA 1KV AC-1,5KV DC 1X240</t>
  </si>
  <si>
    <t>XZ1-AL (S) ECA 1KV AC-1,5KV DC 1X300</t>
  </si>
  <si>
    <t>EXZH CLASS RZ1 (AS) CCA 1KV 1X16 AL VD</t>
  </si>
  <si>
    <t>EXZH CLASS RZ1 (AS) CCA 1KV 1X25 AL VD</t>
  </si>
  <si>
    <t>EXZH CLASS RZ1 (AS) CCA 1KV 1X35 AL VD</t>
  </si>
  <si>
    <t>EXZH CLASS RZ1 (AS) CCA 1KV 1X50 AL VD</t>
  </si>
  <si>
    <t>EXZH CLASS RZ1 (AS) CCA 1KV 1X70 AL VD</t>
  </si>
  <si>
    <t>EXZH CLASS RZ1 (AS) CCA 1KV 1X95 AL VD</t>
  </si>
  <si>
    <t>EXZH CLASS RZ1 (AS) CCA 1KV 1X120 AL VD</t>
  </si>
  <si>
    <t>(*) - Para S  16 mm2, admitiu-se que os condutores eram de secção circular e para</t>
  </si>
  <si>
    <t>EXZH CLASS RZ1 (AS) CCA 1KV 1X150 AL VD</t>
  </si>
  <si>
    <t>S  16 mm2, de secção sectorial (aplicável também a condutores de secção circular).</t>
  </si>
  <si>
    <t>EXZH CLASS RZ1 (AS) CCA 1KV 1X185 AL VD</t>
  </si>
  <si>
    <t>EXZH CLASS RZ1 (AS) CCA 1KV 1X240 AL VD</t>
  </si>
  <si>
    <t>EXZH CLASS RZ1 (AS) CCA 1KV 1X300 AL VD</t>
  </si>
  <si>
    <t>[E] QUADRO 52-C2</t>
  </si>
  <si>
    <t>GENLIS-R CLASS H07V-R ECA 1X16 AV</t>
  </si>
  <si>
    <t>GENLIS-R CLASS H07V-R ECA 1X25 AV</t>
  </si>
  <si>
    <t>GENLIS-R CLASS H07V-R ECA 1X35 AV</t>
  </si>
  <si>
    <t>Condutores isolados a polietileno reticulado (XLPE) ou etileno-propileno (EPR), para:</t>
  </si>
  <si>
    <t>GENLIS-R CLASS H07V-R ECA 1X50 AV</t>
  </si>
  <si>
    <t>GENLIS-R CLASS H07V-R ECA 1X70 AV</t>
  </si>
  <si>
    <t xml:space="preserve">cobre </t>
  </si>
  <si>
    <t>temperatura da alma condutora: 90°C</t>
  </si>
  <si>
    <t>Atenção ainda não está correto</t>
  </si>
  <si>
    <t>C(*)</t>
  </si>
  <si>
    <t>19,0</t>
  </si>
  <si>
    <t>[E] QUADRO 52-C3</t>
  </si>
  <si>
    <t>três condutores carregados</t>
  </si>
  <si>
    <t>13,5</t>
  </si>
  <si>
    <t>15,5</t>
  </si>
  <si>
    <t>18,0</t>
  </si>
  <si>
    <t>[E] QUADRO 52-C4</t>
  </si>
  <si>
    <t>17,0</t>
  </si>
  <si>
    <t>20,0</t>
  </si>
  <si>
    <t>[E] QUADRO 52-C5</t>
  </si>
  <si>
    <t>Correntes admissíveis, em amperes, para o método de referência C (de acordo com o quadro 52H)</t>
  </si>
  <si>
    <t>Condutores com isolamento mineral, para:</t>
  </si>
  <si>
    <t>condutores e bainha em cobre</t>
  </si>
  <si>
    <t>bainha em PVC ou cabo nu e acessível(1)</t>
  </si>
  <si>
    <t>temperatura da bainha: 70°C</t>
  </si>
  <si>
    <t>NÚMERO E DISPOSIÇÃO DOS CONDUTORES</t>
  </si>
  <si>
    <t>nominal</t>
  </si>
  <si>
    <t>Um cabo de dois</t>
  </si>
  <si>
    <t>Três condutores carregados</t>
  </si>
  <si>
    <t>dos</t>
  </si>
  <si>
    <t>condutores ou dois</t>
  </si>
  <si>
    <r>
      <t>Um cabo multicondutor ou três cabos monocondutores em triângulo</t>
    </r>
    <r>
      <rPr>
        <i/>
        <sz val="8"/>
        <rFont val="Arial"/>
        <family val="2"/>
      </rPr>
      <t>(2)</t>
    </r>
  </si>
  <si>
    <r>
      <t>Três cabos monocondutores em esteira horizontal</t>
    </r>
    <r>
      <rPr>
        <i/>
        <sz val="8"/>
        <rFont val="Arial"/>
        <family val="2"/>
      </rPr>
      <t>(2)</t>
    </r>
  </si>
  <si>
    <t>condutores (mm2)</t>
  </si>
  <si>
    <r>
      <t>cabos monocondutores carregados</t>
    </r>
    <r>
      <rPr>
        <i/>
        <sz val="8"/>
        <rFont val="Arial"/>
        <family val="2"/>
      </rPr>
      <t>(2)</t>
    </r>
  </si>
  <si>
    <t xml:space="preserve">Coluna </t>
  </si>
  <si>
    <t>tensão estipulada do cabo: 500 V</t>
  </si>
  <si>
    <t>tensão estipulada do cabo: 750 V</t>
  </si>
  <si>
    <t>(1) - Para os cabos nus acessíveis, os valores indicados devem ser multiplicados por 0,9.</t>
  </si>
  <si>
    <t>(2) - Para os cabos monocondutores, as bainhas dos cabos de um mesmo circuito devem ser ligadas em conjunto nas duas extremidades.</t>
  </si>
  <si>
    <t>[E] QUADRO 52-C6</t>
  </si>
  <si>
    <t>cabo nu e inacessível(1)</t>
  </si>
  <si>
    <t>temperatura da bainha: 105°C</t>
  </si>
  <si>
    <r>
      <t>Um cabo de dois condutores ou dois cabos monocondutores carregados</t>
    </r>
    <r>
      <rPr>
        <i/>
        <sz val="8"/>
        <rFont val="Arial"/>
        <family val="2"/>
      </rPr>
      <t>(2)</t>
    </r>
  </si>
  <si>
    <t>dos condutores (mm2)</t>
  </si>
  <si>
    <t>(1) - Para os cabos nus inacessíveis não é necessário, em caso de agrupamento, aplicar factores de correcção.</t>
  </si>
  <si>
    <t>[E] QUADRO 52-C7</t>
  </si>
  <si>
    <t>Correntes admissíveis, em amperes, para os métodos de referência E, F e G (de acordo com o quadro 52H)</t>
  </si>
  <si>
    <t>Secção nominal dos condutores (mm2)</t>
  </si>
  <si>
    <t>Um cabo</t>
  </si>
  <si>
    <t>de dois condutores ou dois</t>
  </si>
  <si>
    <t>cabos</t>
  </si>
  <si>
    <r>
      <t xml:space="preserve"> mono-condutores carregados</t>
    </r>
    <r>
      <rPr>
        <i/>
        <sz val="8"/>
        <rFont val="Arial"/>
        <family val="2"/>
      </rPr>
      <t>(2)</t>
    </r>
  </si>
  <si>
    <r>
      <t>Um cabo multicondutor ou três cabos mono-condutores em triângulo</t>
    </r>
    <r>
      <rPr>
        <i/>
        <sz val="8"/>
        <rFont val="Arial"/>
        <family val="2"/>
      </rPr>
      <t>(2)</t>
    </r>
  </si>
  <si>
    <r>
      <t>cabos mono-condutores agrupados sem afasta-mento (na ho-rizontal ou na vertical)</t>
    </r>
    <r>
      <rPr>
        <i/>
        <sz val="8"/>
        <rFont val="Arial"/>
        <family val="2"/>
      </rPr>
      <t>(2)(3)</t>
    </r>
  </si>
  <si>
    <t>cabos mono-condutores agrupados com</t>
  </si>
  <si>
    <r>
      <t>cabos mono-condutores agrupados com afasta-mento (na horizon-tal)</t>
    </r>
    <r>
      <rPr>
        <i/>
        <sz val="8"/>
        <rFont val="Arial"/>
        <family val="2"/>
      </rPr>
      <t>(2)(3)</t>
    </r>
  </si>
  <si>
    <r>
      <t>afastamento (na vertical)</t>
    </r>
    <r>
      <rPr>
        <i/>
        <sz val="8"/>
        <rFont val="Arial"/>
        <family val="2"/>
      </rPr>
      <t>(2)(3)</t>
    </r>
  </si>
  <si>
    <t>Mét. refª.</t>
  </si>
  <si>
    <t>E ou F</t>
  </si>
  <si>
    <t>G</t>
  </si>
  <si>
    <t>Coluna.</t>
  </si>
  <si>
    <t>(2) - Para os cabos monocondutores, as bainhas dos cabos de um mesmo circuito devem ser ligadas</t>
  </si>
  <si>
    <t xml:space="preserve">        em conjunto nas duas extremidades.</t>
  </si>
  <si>
    <t>(3) - Afastamento não inferior ao diâmetro exterior do cabo monocondutor (De).</t>
  </si>
  <si>
    <t>[E] QUADRO 52-C8</t>
  </si>
  <si>
    <t>condutores</t>
  </si>
  <si>
    <t>de dois</t>
  </si>
  <si>
    <r>
      <t xml:space="preserve"> afastamento (na vertical)</t>
    </r>
    <r>
      <rPr>
        <i/>
        <sz val="8"/>
        <rFont val="Arial"/>
        <family val="2"/>
      </rPr>
      <t>(2)(3)</t>
    </r>
  </si>
  <si>
    <t>[E] QUADRO 52-C9</t>
  </si>
  <si>
    <t>cobre</t>
  </si>
  <si>
    <t>Cabos multicondutores</t>
  </si>
  <si>
    <t>Cabos monocondutores</t>
  </si>
  <si>
    <t>nominal dos</t>
  </si>
  <si>
    <t>Três con-dutores</t>
  </si>
  <si>
    <t>Dois condutores</t>
  </si>
  <si>
    <t>Dois con-dutores</t>
  </si>
  <si>
    <t>carrega-</t>
  </si>
  <si>
    <t>em esteira</t>
  </si>
  <si>
    <t>dos em triângulo</t>
  </si>
  <si>
    <t>Sem</t>
  </si>
  <si>
    <r>
      <t>Com afastamento</t>
    </r>
    <r>
      <rPr>
        <i/>
        <sz val="8"/>
        <rFont val="Arial"/>
        <family val="2"/>
      </rPr>
      <t>(2)</t>
    </r>
  </si>
  <si>
    <r>
      <t>dos</t>
    </r>
    <r>
      <rPr>
        <i/>
        <sz val="8"/>
        <rFont val="Arial"/>
        <family val="2"/>
      </rPr>
      <t>(1)</t>
    </r>
  </si>
  <si>
    <r>
      <t>afasta-mento</t>
    </r>
    <r>
      <rPr>
        <i/>
        <sz val="8"/>
        <rFont val="Arial"/>
        <family val="2"/>
      </rPr>
      <t>(2)</t>
    </r>
  </si>
  <si>
    <t>Horizon-tal</t>
  </si>
  <si>
    <t>Vertical</t>
  </si>
  <si>
    <t>E</t>
  </si>
  <si>
    <t>18,5</t>
  </si>
  <si>
    <t>1 005</t>
  </si>
  <si>
    <t>1 138</t>
  </si>
  <si>
    <t>1 070</t>
  </si>
  <si>
    <t>(1) - Para S  16 mm2, admitiu-se que os condutores eram de secção circular e para</t>
  </si>
  <si>
    <t xml:space="preserve">         S  16 mm2, de secção sectorial (aplicável também a condutores de secção circular).</t>
  </si>
  <si>
    <t>(2) - Afastamento não inferior ao diâmetro exterior do cabo monocondutor (De).</t>
  </si>
  <si>
    <t xml:space="preserve"> [E] QUADRO 52-C11</t>
  </si>
  <si>
    <t>1 condutor
carregado</t>
  </si>
  <si>
    <t>1 085</t>
  </si>
  <si>
    <t>1 008</t>
  </si>
  <si>
    <t>1 083</t>
  </si>
  <si>
    <t>1 253</t>
  </si>
  <si>
    <t>1 169</t>
  </si>
  <si>
    <t>1 254</t>
  </si>
  <si>
    <t>1 088</t>
  </si>
  <si>
    <t>1 151</t>
  </si>
  <si>
    <t>1 454</t>
  </si>
  <si>
    <t>1 362</t>
  </si>
  <si>
    <t>[E] QUADRO 52-C12</t>
  </si>
  <si>
    <t>Correntes admissíveis, em amperes, para os métodos de referência E, F e G</t>
  </si>
  <si>
    <t>alumínio</t>
  </si>
  <si>
    <t>1 154</t>
  </si>
  <si>
    <t>1 077</t>
  </si>
  <si>
    <t>[E] QUADRO 52-C13</t>
  </si>
  <si>
    <t>Correntes admissíveis, em amperes, para os métodos de referência A2 e B2</t>
  </si>
  <si>
    <t>dois ou três condutores carregados</t>
  </si>
  <si>
    <t>Dois condutores carregados</t>
  </si>
  <si>
    <t>A2</t>
  </si>
  <si>
    <t>B2</t>
  </si>
  <si>
    <t>16,5</t>
  </si>
  <si>
    <t>Condutores de alumínio</t>
  </si>
  <si>
    <t>[E] QUADRO 52-C14</t>
  </si>
  <si>
    <t>QUADRO 52-C30</t>
  </si>
  <si>
    <t>Correntes admissíveis, em amperes, para o método de referência D</t>
  </si>
  <si>
    <t>Canalizações enterradas</t>
  </si>
  <si>
    <t>Número de condutores carregados</t>
  </si>
  <si>
    <t>e natureza do isolamento</t>
  </si>
  <si>
    <r>
      <t xml:space="preserve">3 </t>
    </r>
    <r>
      <rPr>
        <i/>
        <sz val="8"/>
        <rFont val="Arial"/>
        <family val="2"/>
      </rPr>
      <t>PVC</t>
    </r>
  </si>
  <si>
    <r>
      <t xml:space="preserve">2 </t>
    </r>
    <r>
      <rPr>
        <i/>
        <sz val="8"/>
        <rFont val="Arial"/>
        <family val="2"/>
      </rPr>
      <t>PVC</t>
    </r>
  </si>
  <si>
    <r>
      <t xml:space="preserve">3 </t>
    </r>
    <r>
      <rPr>
        <i/>
        <sz val="8"/>
        <rFont val="Arial"/>
        <family val="2"/>
      </rPr>
      <t>XLPE</t>
    </r>
  </si>
  <si>
    <r>
      <t xml:space="preserve">2 </t>
    </r>
    <r>
      <rPr>
        <i/>
        <sz val="8"/>
        <rFont val="Arial"/>
        <family val="2"/>
      </rPr>
      <t>XLPE</t>
    </r>
  </si>
  <si>
    <t>Condutores de Aluminio</t>
  </si>
  <si>
    <t>Para cabos enterrados e colocados dentro de tubos ou de travessias, os valores indicados no quadro devem ser multiplicados por 0,80. Atendendo a que as correntes admissíveis foram calculadas para uma resistividade térmica do solo igual a 1K.m/W, é necessário considerar os factores de correcção.</t>
  </si>
  <si>
    <t>Risen</t>
  </si>
  <si>
    <t>QCELLS</t>
  </si>
  <si>
    <t>Marcas</t>
  </si>
  <si>
    <t>Modelos Risen</t>
  </si>
  <si>
    <t>Modelos ZNShine</t>
  </si>
  <si>
    <t>Modelos JA Solar</t>
  </si>
  <si>
    <t>ModelosQCell</t>
  </si>
  <si>
    <t>RSM 130-8-440M</t>
  </si>
  <si>
    <t>RSM144-9-545M</t>
  </si>
  <si>
    <t>RSM144-9-575BNDG</t>
  </si>
  <si>
    <t>RSM144-9-565BNDG-585BNDG</t>
  </si>
  <si>
    <t>RSM144-10-600BNDG</t>
  </si>
  <si>
    <t>ZXM7-EHLD144</t>
  </si>
  <si>
    <t>ZXM7-UHLD144</t>
  </si>
  <si>
    <t>Q.PEAK DUO ML-611</t>
  </si>
  <si>
    <t>490W</t>
  </si>
  <si>
    <t>JASolar</t>
  </si>
  <si>
    <t>ZMX7-SHLD120</t>
  </si>
  <si>
    <t>DATA</t>
  </si>
  <si>
    <t>CLIENTE</t>
  </si>
  <si>
    <t>LOCALIZAÇÃO</t>
  </si>
  <si>
    <t>POTFABRICA</t>
  </si>
  <si>
    <t>INST</t>
  </si>
  <si>
    <t>INJ</t>
  </si>
  <si>
    <t>REGISTO</t>
  </si>
  <si>
    <t>POTINSTALADA</t>
  </si>
  <si>
    <t>PNOM</t>
  </si>
  <si>
    <t>PLIGAÇÃO</t>
  </si>
  <si>
    <t>NPAINEIS</t>
  </si>
  <si>
    <t>NINV</t>
  </si>
  <si>
    <t>PONTOINJEÇÃO</t>
  </si>
  <si>
    <t>PTINJ</t>
  </si>
  <si>
    <t>LOCALINST</t>
  </si>
  <si>
    <t>HOMOPOLAR</t>
  </si>
  <si>
    <t>HOMOPOLAR1</t>
  </si>
  <si>
    <t>EXCEDENTE</t>
  </si>
  <si>
    <t>EXCEDENTE1</t>
  </si>
  <si>
    <t>INVPNOM</t>
  </si>
  <si>
    <t>INVMAXAPPARENT</t>
  </si>
  <si>
    <t>NMPPT</t>
  </si>
  <si>
    <t>NLIGAÇÕES</t>
  </si>
  <si>
    <t>MAXCURRMPPT</t>
  </si>
  <si>
    <t>SCCURRMPPT</t>
  </si>
  <si>
    <t>VNOMINPUT</t>
  </si>
  <si>
    <t>VMAXINPUT</t>
  </si>
  <si>
    <t>VMININPUT</t>
  </si>
  <si>
    <t>VMPPMIN</t>
  </si>
  <si>
    <t>VMPPMAX</t>
  </si>
  <si>
    <t>MPPTRANGE</t>
  </si>
  <si>
    <t>NOMCURROUT</t>
  </si>
  <si>
    <t>MAXCURROUT</t>
  </si>
  <si>
    <t>INVMODEL</t>
  </si>
  <si>
    <t>INVBRAND</t>
  </si>
  <si>
    <t>INVPNOM2</t>
  </si>
  <si>
    <t>INVMAXAPPARENT2</t>
  </si>
  <si>
    <t>NMPPT2</t>
  </si>
  <si>
    <t>NLIGAÇÕES2</t>
  </si>
  <si>
    <t>MAXCURRMPPT2</t>
  </si>
  <si>
    <t>SCCURRMPPT2</t>
  </si>
  <si>
    <t>VNOMINPUT2</t>
  </si>
  <si>
    <t>VMAXINPUT2</t>
  </si>
  <si>
    <t>VMININPUT2</t>
  </si>
  <si>
    <t>VMPPMIN2</t>
  </si>
  <si>
    <t>VMPPMAX2</t>
  </si>
  <si>
    <t>MPPTRANGE2</t>
  </si>
  <si>
    <t>NOMCURROUT2</t>
  </si>
  <si>
    <t>MAXCURROUT2</t>
  </si>
  <si>
    <t>INVMODEL2</t>
  </si>
  <si>
    <t>INVBRAND2</t>
  </si>
  <si>
    <t>PANELMODEL</t>
  </si>
  <si>
    <t>PANELBRAND</t>
  </si>
  <si>
    <t>POTPAINEL</t>
  </si>
  <si>
    <t>NCELULAS</t>
  </si>
  <si>
    <t>VNOM</t>
  </si>
  <si>
    <t>INOM</t>
  </si>
  <si>
    <t>ISC</t>
  </si>
  <si>
    <t>VOC</t>
  </si>
  <si>
    <t>COEFFVOC</t>
  </si>
  <si>
    <t>COEFFISC</t>
  </si>
  <si>
    <t>COEFFPM</t>
  </si>
  <si>
    <t>EFFPANEL</t>
  </si>
  <si>
    <t>EFF25</t>
  </si>
  <si>
    <t>MAXTEMP</t>
  </si>
  <si>
    <t>MINTEMP</t>
  </si>
  <si>
    <t>TECNICO RESPONSAVEL</t>
  </si>
  <si>
    <t>NOET</t>
  </si>
  <si>
    <t>NSTRINGS</t>
  </si>
  <si>
    <t>NSRTINGS/INV</t>
  </si>
  <si>
    <t>SIZESTRING</t>
  </si>
  <si>
    <t>POTINPUT</t>
  </si>
  <si>
    <t>Voc corr for tmax</t>
  </si>
  <si>
    <t>Voc corr for tmin</t>
  </si>
  <si>
    <t>Vdc corr for tmax</t>
  </si>
  <si>
    <t>Pdc at tmax</t>
  </si>
  <si>
    <t>maxstringsize</t>
  </si>
  <si>
    <t>minpanelspermppt</t>
  </si>
  <si>
    <t>NpanelsforPtmax</t>
  </si>
  <si>
    <t>currpermppt</t>
  </si>
  <si>
    <t>stringvoltage</t>
  </si>
  <si>
    <t>Nº CC</t>
  </si>
  <si>
    <t>Telefone técnico</t>
  </si>
  <si>
    <t>email técnico</t>
  </si>
  <si>
    <t>NIF técnico</t>
  </si>
  <si>
    <t>Nº DGEG</t>
  </si>
  <si>
    <t>Nº OET</t>
  </si>
  <si>
    <t>Morada técnico</t>
  </si>
  <si>
    <t>Código Postal técnico</t>
  </si>
  <si>
    <t>Telefone cliente</t>
  </si>
  <si>
    <t>email cliente</t>
  </si>
  <si>
    <t>NIF cliente</t>
  </si>
  <si>
    <t>Caracteristicas</t>
  </si>
  <si>
    <t>SUN2000-6KTL-L1</t>
  </si>
  <si>
    <t>SUN2000-25K-MB0</t>
  </si>
  <si>
    <t>SUN2000-30KTL-M3</t>
  </si>
  <si>
    <t>SUN2000-36KTL-M3</t>
  </si>
  <si>
    <t>SUN2000-40KTL-M3</t>
  </si>
  <si>
    <t>SUN2000-150K-MG0</t>
  </si>
  <si>
    <t>Potência ativa máxima (cosφ=1)</t>
  </si>
  <si>
    <t>Dados</t>
  </si>
  <si>
    <t>Duarte Miguel Saraiva Batista</t>
  </si>
  <si>
    <t>Rui Bárbaro Bernardes</t>
  </si>
  <si>
    <t>ricardo.louro@solcor.pt</t>
  </si>
  <si>
    <t>duarte.batista@solcor.pt</t>
  </si>
  <si>
    <t>rui.bernardes@redeforte.pt</t>
  </si>
  <si>
    <t>Avenida Almirante Reis 54, 3º Andar</t>
  </si>
  <si>
    <t>Av. Manuel da Maia, Nº4</t>
  </si>
  <si>
    <t>1150-019 Lisboa</t>
  </si>
  <si>
    <t>2720-402 Damaia</t>
  </si>
  <si>
    <t>Quadro de Entrada</t>
  </si>
  <si>
    <t>Inversor 3</t>
  </si>
  <si>
    <t>OK</t>
  </si>
  <si>
    <t>Inversor 4</t>
  </si>
  <si>
    <t>SUN2000-5KTL-L1</t>
  </si>
  <si>
    <t>SUN2000-10K-MAP0</t>
  </si>
  <si>
    <t>SUN2000-12K-MAP0</t>
  </si>
  <si>
    <t>SUN2000-17KTL-MB0</t>
  </si>
  <si>
    <t xml:space="preserve"> SUN2000-3KTL-M1 HC</t>
  </si>
  <si>
    <t xml:space="preserve"> SUN2000-4KTL-M1 HC</t>
  </si>
  <si>
    <t xml:space="preserve"> SUN2000-5KTL-M1 HC</t>
  </si>
  <si>
    <t>SUN2000-6KTL-M1 HC</t>
  </si>
  <si>
    <t>SUN2000-8KTL-M1 HC</t>
  </si>
  <si>
    <t>SUN2000-10KT-M1 HC</t>
  </si>
  <si>
    <t>SUN2000-12K-MB0</t>
  </si>
  <si>
    <t>SUN2000-15K-MB0</t>
  </si>
  <si>
    <t>SUN2000-20K-MB0</t>
  </si>
  <si>
    <t>SUN2000-100KTL-M2</t>
  </si>
  <si>
    <t>SUN2000-115KTL-M2</t>
  </si>
  <si>
    <t>SigenStor EC 5.0 TP</t>
  </si>
  <si>
    <t xml:space="preserve">SigenStor EC 6.0 TP </t>
  </si>
  <si>
    <t xml:space="preserve">SigenStor EC 8.0 TP </t>
  </si>
  <si>
    <t>SigenStor EC 15.0 TP</t>
  </si>
  <si>
    <t>SigenStor EC 12.0 TP</t>
  </si>
  <si>
    <t xml:space="preserve">SigenStor EC 10.0 TP </t>
  </si>
  <si>
    <t>SigenStor EC 17.0 TP</t>
  </si>
  <si>
    <t>SigenStor EC 20.0 TP</t>
  </si>
  <si>
    <t>SigenStor EC 25.0 TP</t>
  </si>
  <si>
    <t xml:space="preserve">SigenStor EC 30.0 TP </t>
  </si>
  <si>
    <t>PV 50 M1-HYA</t>
  </si>
  <si>
    <t>PV 60-M1-HYA</t>
  </si>
  <si>
    <t>PV 80 M1-HYA</t>
  </si>
  <si>
    <t>PV 100 M1-HYA</t>
  </si>
  <si>
    <t>PV 110-M1-HYA</t>
  </si>
  <si>
    <t>PV 125-M1-HYA</t>
  </si>
  <si>
    <t>PV 50 M1</t>
  </si>
  <si>
    <t>PV 100 M1</t>
  </si>
  <si>
    <t>PV 80 M1</t>
  </si>
  <si>
    <t>PV 60 M1</t>
  </si>
  <si>
    <t>PV 110 M1</t>
  </si>
  <si>
    <t>PV 125 M1</t>
  </si>
  <si>
    <t>PV 50 M1-HYB</t>
  </si>
  <si>
    <t>PV 60-M1-HYB</t>
  </si>
  <si>
    <t>PV 80 M1-HYB</t>
  </si>
  <si>
    <t>PV 100 M1-HYB</t>
  </si>
  <si>
    <t>PV 110-M1-HYB</t>
  </si>
  <si>
    <t>PV 125-M1-HYB</t>
  </si>
  <si>
    <t>SigenStor EC 5.0 SP</t>
  </si>
  <si>
    <t>SigenStor EC 6.0 SP</t>
  </si>
  <si>
    <t>SigenStor EC 8.0 SP</t>
  </si>
  <si>
    <t>SigenStor EC 10.0 SP</t>
  </si>
  <si>
    <t>SigenStor EC 12.0 SP</t>
  </si>
  <si>
    <t>SigenStor EC 3.0 SP</t>
  </si>
  <si>
    <t>SigenStor EC 4.0 SP</t>
  </si>
  <si>
    <t>SigenStor EC 3.6 SP</t>
  </si>
  <si>
    <t>RSM144-9-570-595BNDG</t>
  </si>
  <si>
    <t>RSM132-11-610-635BNDG</t>
  </si>
  <si>
    <t>ZXN7-MD144 600</t>
  </si>
  <si>
    <t>STA – Sociedade Transformadora de Alumínios S.A.</t>
  </si>
  <si>
    <t>R. Terramonte 771, Gueifães, 4470-122 Maia</t>
  </si>
  <si>
    <t>41.20583976494613, -8.603993799425119</t>
  </si>
  <si>
    <t>Branco@sofi.pt</t>
  </si>
  <si>
    <t>QInterligação</t>
  </si>
  <si>
    <t>Qentrada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</si>
</sst>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"/>
    <numFmt numFmtId="165" formatCode="0.000"/>
    <numFmt numFmtId="166" formatCode="0.0000"/>
    <numFmt numFmtId="167" formatCode="0.0%"/>
    <numFmt numFmtId="168" formatCode="0.000000000"/>
    <numFmt numFmtId="169" formatCode="_-[$€-2]\ * #,##0.00_-;\-[$€-2]\ * #,##0.00_-;_-[$€-2]\ * &quot;-&quot;??_-;_-@_-"/>
    <numFmt numFmtId="170" formatCode="_-[$€-2]\ * #,##0.000_-;\-[$€-2]\ * #,##0.000_-;_-[$€-2]\ * &quot;-&quot;??_-;_-@_-"/>
    <numFmt numFmtId="171" formatCode="[$-816]d\ &quot;de&quot;\ mmmm\ &quot;de&quot;\ yyyy;@"/>
  </numFmts>
  <fonts count="4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8.5"/>
      <name val="Arial"/>
      <family val="2"/>
    </font>
    <font>
      <sz val="11"/>
      <name val="Times New Roman"/>
      <family val="1"/>
    </font>
    <font>
      <sz val="9.5"/>
      <name val="Arial MT"/>
    </font>
    <font>
      <sz val="9.5"/>
      <name val="Arial MT"/>
      <family val="2"/>
    </font>
    <font>
      <i/>
      <vertAlign val="superscript"/>
      <sz val="8.5"/>
      <name val="Arial"/>
      <family val="2"/>
    </font>
    <font>
      <sz val="9.5"/>
      <color rgb="FF000000"/>
      <name val="Arial MT"/>
      <family val="2"/>
    </font>
    <font>
      <vertAlign val="subscript"/>
      <sz val="9.5"/>
      <name val="Arial MT"/>
      <family val="2"/>
    </font>
    <font>
      <i/>
      <sz val="11"/>
      <name val="Arial"/>
      <family val="2"/>
    </font>
    <font>
      <sz val="11"/>
      <name val="Calibri"/>
      <family val="2"/>
    </font>
    <font>
      <i/>
      <sz val="7.5"/>
      <name val="Arial"/>
      <family val="2"/>
    </font>
    <font>
      <sz val="12"/>
      <color theme="1"/>
      <name val="Calibri"/>
      <family val="2"/>
      <scheme val="minor"/>
    </font>
    <font>
      <b/>
      <i/>
      <sz val="12"/>
      <name val="Arial"/>
      <family val="2"/>
    </font>
    <font>
      <i/>
      <sz val="12"/>
      <name val="Arial"/>
      <family val="2"/>
    </font>
    <font>
      <b/>
      <i/>
      <vertAlign val="subscript"/>
      <sz val="12"/>
      <name val="Arial"/>
      <family val="2"/>
    </font>
    <font>
      <i/>
      <vertAlign val="subscript"/>
      <sz val="12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vertAlign val="subscript"/>
      <sz val="10"/>
      <name val="Arial"/>
      <family val="2"/>
    </font>
    <font>
      <sz val="10"/>
      <name val="Trebuchet MS"/>
      <family val="2"/>
    </font>
    <font>
      <b/>
      <sz val="10"/>
      <name val="Symbol"/>
      <family val="1"/>
      <charset val="2"/>
    </font>
    <font>
      <b/>
      <sz val="14"/>
      <name val="Symbol"/>
      <family val="1"/>
      <charset val="2"/>
    </font>
    <font>
      <b/>
      <sz val="7.5"/>
      <name val="Arial"/>
      <family val="2"/>
    </font>
    <font>
      <b/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Trebuchet MS"/>
      <family val="2"/>
    </font>
    <font>
      <sz val="8"/>
      <name val="Arial"/>
      <family val="2"/>
    </font>
    <font>
      <sz val="7"/>
      <name val="Trebuchet MS"/>
      <family val="2"/>
    </font>
    <font>
      <b/>
      <sz val="10"/>
      <name val="Calibri"/>
      <family val="2"/>
    </font>
    <font>
      <sz val="12"/>
      <name val="Calibri"/>
      <family val="2"/>
    </font>
    <font>
      <sz val="10"/>
      <name val="MS Sans Serif"/>
      <family val="2"/>
    </font>
    <font>
      <i/>
      <sz val="8"/>
      <name val="Arial"/>
      <family val="2"/>
    </font>
    <font>
      <sz val="8"/>
      <name val="MS Sans Serif"/>
      <family val="2"/>
    </font>
    <font>
      <sz val="12"/>
      <color indexed="81"/>
      <name val="Tahoma"/>
      <family val="2"/>
    </font>
    <font>
      <b/>
      <sz val="12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0" fontId="39" fillId="0" borderId="0"/>
    <xf numFmtId="0" fontId="24" fillId="0" borderId="0"/>
    <xf numFmtId="0" fontId="6" fillId="0" borderId="0" applyNumberFormat="0" applyFill="0" applyBorder="0" applyAlignment="0" applyProtection="0"/>
  </cellStyleXfs>
  <cellXfs count="420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/>
    <xf numFmtId="0" fontId="0" fillId="0" borderId="6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/>
    <xf numFmtId="0" fontId="0" fillId="0" borderId="7" xfId="0" applyBorder="1"/>
    <xf numFmtId="0" fontId="0" fillId="0" borderId="5" xfId="0" applyBorder="1"/>
    <xf numFmtId="0" fontId="4" fillId="8" borderId="18" xfId="0" applyFont="1" applyFill="1" applyBorder="1" applyAlignment="1">
      <alignment horizontal="center" vertical="center"/>
    </xf>
    <xf numFmtId="0" fontId="0" fillId="9" borderId="18" xfId="0" applyFill="1" applyBorder="1" applyAlignment="1">
      <alignment vertical="center"/>
    </xf>
    <xf numFmtId="0" fontId="0" fillId="9" borderId="19" xfId="0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4" fillId="8" borderId="10" xfId="0" applyFont="1" applyFill="1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167" fontId="0" fillId="0" borderId="3" xfId="1" applyNumberFormat="1" applyFont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0" borderId="19" xfId="0" applyBorder="1" applyAlignment="1">
      <alignment vertical="center"/>
    </xf>
    <xf numFmtId="165" fontId="0" fillId="0" borderId="0" xfId="0" applyNumberFormat="1"/>
    <xf numFmtId="164" fontId="0" fillId="0" borderId="7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0" fontId="6" fillId="9" borderId="19" xfId="4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21" xfId="0" applyBorder="1" applyAlignment="1">
      <alignment horizontal="left"/>
    </xf>
    <xf numFmtId="0" fontId="6" fillId="0" borderId="21" xfId="4" applyBorder="1"/>
    <xf numFmtId="0" fontId="0" fillId="0" borderId="21" xfId="0" applyBorder="1" applyAlignment="1">
      <alignment horizontal="left" vertical="center" wrapText="1"/>
    </xf>
    <xf numFmtId="2" fontId="0" fillId="0" borderId="7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7" xfId="0" applyNumberFormat="1" applyBorder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25" xfId="0" applyBorder="1" applyAlignment="1">
      <alignment horizontal="left" vertical="top" wrapText="1"/>
    </xf>
    <xf numFmtId="0" fontId="9" fillId="0" borderId="25" xfId="0" applyFont="1" applyBorder="1" applyAlignment="1">
      <alignment horizontal="left" vertical="top" wrapText="1"/>
    </xf>
    <xf numFmtId="1" fontId="12" fillId="0" borderId="25" xfId="0" applyNumberFormat="1" applyFont="1" applyBorder="1" applyAlignment="1">
      <alignment horizontal="center" vertical="center" shrinkToFit="1"/>
    </xf>
    <xf numFmtId="0" fontId="9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 wrapText="1"/>
    </xf>
    <xf numFmtId="0" fontId="7" fillId="0" borderId="0" xfId="0" applyFont="1" applyAlignment="1">
      <alignment vertical="top" wrapText="1"/>
    </xf>
    <xf numFmtId="0" fontId="0" fillId="0" borderId="25" xfId="0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24" fillId="13" borderId="28" xfId="0" applyFont="1" applyFill="1" applyBorder="1" applyAlignment="1">
      <alignment horizontal="center" vertical="center" wrapText="1"/>
    </xf>
    <xf numFmtId="0" fontId="24" fillId="13" borderId="12" xfId="0" applyFont="1" applyFill="1" applyBorder="1" applyAlignment="1">
      <alignment horizontal="center" vertical="center" wrapText="1"/>
    </xf>
    <xf numFmtId="0" fontId="24" fillId="13" borderId="29" xfId="0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4" fillId="13" borderId="30" xfId="0" applyFont="1" applyFill="1" applyBorder="1" applyAlignment="1">
      <alignment horizontal="center" vertical="center"/>
    </xf>
    <xf numFmtId="0" fontId="24" fillId="13" borderId="33" xfId="0" applyFont="1" applyFill="1" applyBorder="1" applyAlignment="1">
      <alignment horizontal="center" vertical="center"/>
    </xf>
    <xf numFmtId="0" fontId="24" fillId="13" borderId="3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1" fontId="12" fillId="0" borderId="27" xfId="0" applyNumberFormat="1" applyFont="1" applyBorder="1" applyAlignment="1">
      <alignment horizontal="center" vertical="center" shrinkToFit="1"/>
    </xf>
    <xf numFmtId="0" fontId="9" fillId="0" borderId="4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" fontId="12" fillId="0" borderId="13" xfId="0" applyNumberFormat="1" applyFont="1" applyBorder="1" applyAlignment="1">
      <alignment horizontal="center" vertical="center" shrinkToFit="1"/>
    </xf>
    <xf numFmtId="0" fontId="9" fillId="0" borderId="10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0" fillId="0" borderId="24" xfId="0" applyBorder="1" applyAlignment="1">
      <alignment horizontal="left" vertical="top"/>
    </xf>
    <xf numFmtId="0" fontId="23" fillId="12" borderId="43" xfId="0" applyFont="1" applyFill="1" applyBorder="1" applyAlignment="1">
      <alignment horizontal="center"/>
    </xf>
    <xf numFmtId="0" fontId="23" fillId="12" borderId="8" xfId="0" applyFont="1" applyFill="1" applyBorder="1" applyAlignment="1">
      <alignment horizontal="center"/>
    </xf>
    <xf numFmtId="0" fontId="23" fillId="12" borderId="9" xfId="0" applyFont="1" applyFill="1" applyBorder="1" applyAlignment="1">
      <alignment horizontal="center"/>
    </xf>
    <xf numFmtId="0" fontId="23" fillId="12" borderId="2" xfId="0" applyFont="1" applyFill="1" applyBorder="1" applyAlignment="1">
      <alignment horizontal="center"/>
    </xf>
    <xf numFmtId="0" fontId="23" fillId="12" borderId="11" xfId="0" applyFont="1" applyFill="1" applyBorder="1" applyAlignment="1">
      <alignment horizontal="center"/>
    </xf>
    <xf numFmtId="0" fontId="23" fillId="12" borderId="16" xfId="0" applyFont="1" applyFill="1" applyBorder="1" applyAlignment="1">
      <alignment horizontal="center"/>
    </xf>
    <xf numFmtId="0" fontId="23" fillId="12" borderId="44" xfId="0" applyFont="1" applyFill="1" applyBorder="1" applyAlignment="1">
      <alignment horizontal="center"/>
    </xf>
    <xf numFmtId="0" fontId="23" fillId="12" borderId="3" xfId="0" applyFont="1" applyFill="1" applyBorder="1" applyAlignment="1">
      <alignment horizontal="center"/>
    </xf>
    <xf numFmtId="0" fontId="23" fillId="12" borderId="42" xfId="0" applyFont="1" applyFill="1" applyBorder="1" applyAlignment="1">
      <alignment horizontal="center"/>
    </xf>
    <xf numFmtId="9" fontId="23" fillId="12" borderId="46" xfId="1" applyFont="1" applyFill="1" applyBorder="1" applyAlignment="1">
      <alignment horizontal="center"/>
    </xf>
    <xf numFmtId="0" fontId="23" fillId="12" borderId="14" xfId="0" applyFont="1" applyFill="1" applyBorder="1" applyAlignment="1">
      <alignment horizontal="center" vertical="center"/>
    </xf>
    <xf numFmtId="0" fontId="29" fillId="12" borderId="14" xfId="0" applyFont="1" applyFill="1" applyBorder="1" applyAlignment="1">
      <alignment horizontal="center" vertical="center"/>
    </xf>
    <xf numFmtId="0" fontId="23" fillId="12" borderId="11" xfId="0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horizontal="center"/>
    </xf>
    <xf numFmtId="0" fontId="23" fillId="12" borderId="45" xfId="0" applyFont="1" applyFill="1" applyBorder="1" applyAlignment="1">
      <alignment horizontal="center"/>
    </xf>
    <xf numFmtId="0" fontId="23" fillId="12" borderId="46" xfId="0" applyFont="1" applyFill="1" applyBorder="1" applyAlignment="1">
      <alignment horizontal="center"/>
    </xf>
    <xf numFmtId="0" fontId="23" fillId="12" borderId="6" xfId="0" applyFont="1" applyFill="1" applyBorder="1" applyAlignment="1">
      <alignment horizontal="center"/>
    </xf>
    <xf numFmtId="0" fontId="23" fillId="12" borderId="21" xfId="0" applyFont="1" applyFill="1" applyBorder="1" applyAlignment="1">
      <alignment horizontal="center"/>
    </xf>
    <xf numFmtId="0" fontId="23" fillId="12" borderId="0" xfId="0" applyFont="1" applyFill="1" applyAlignment="1">
      <alignment horizontal="center"/>
    </xf>
    <xf numFmtId="0" fontId="23" fillId="12" borderId="24" xfId="0" applyFont="1" applyFill="1" applyBorder="1" applyAlignment="1">
      <alignment horizontal="center"/>
    </xf>
    <xf numFmtId="0" fontId="29" fillId="12" borderId="21" xfId="0" applyFont="1" applyFill="1" applyBorder="1" applyAlignment="1">
      <alignment horizontal="center"/>
    </xf>
    <xf numFmtId="0" fontId="23" fillId="12" borderId="14" xfId="0" applyFont="1" applyFill="1" applyBorder="1" applyAlignment="1">
      <alignment horizontal="center"/>
    </xf>
    <xf numFmtId="0" fontId="23" fillId="12" borderId="48" xfId="0" applyFont="1" applyFill="1" applyBorder="1" applyAlignment="1">
      <alignment horizontal="center"/>
    </xf>
    <xf numFmtId="0" fontId="23" fillId="12" borderId="50" xfId="0" applyFont="1" applyFill="1" applyBorder="1" applyAlignment="1">
      <alignment horizontal="center" vertical="center"/>
    </xf>
    <xf numFmtId="0" fontId="31" fillId="12" borderId="4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20" xfId="0" applyFont="1" applyFill="1" applyBorder="1" applyAlignment="1">
      <alignment horizontal="center" vertical="center" wrapText="1"/>
    </xf>
    <xf numFmtId="0" fontId="32" fillId="12" borderId="8" xfId="0" applyFont="1" applyFill="1" applyBorder="1" applyAlignment="1">
      <alignment horizontal="center" vertical="center" wrapText="1"/>
    </xf>
    <xf numFmtId="0" fontId="23" fillId="12" borderId="1" xfId="0" applyFont="1" applyFill="1" applyBorder="1"/>
    <xf numFmtId="0" fontId="23" fillId="12" borderId="4" xfId="0" applyFont="1" applyFill="1" applyBorder="1"/>
    <xf numFmtId="0" fontId="23" fillId="12" borderId="17" xfId="0" applyFont="1" applyFill="1" applyBorder="1"/>
    <xf numFmtId="0" fontId="23" fillId="12" borderId="5" xfId="0" applyFont="1" applyFill="1" applyBorder="1"/>
    <xf numFmtId="0" fontId="23" fillId="12" borderId="52" xfId="0" applyFont="1" applyFill="1" applyBorder="1" applyAlignment="1">
      <alignment horizontal="center"/>
    </xf>
    <xf numFmtId="0" fontId="23" fillId="12" borderId="49" xfId="0" applyFont="1" applyFill="1" applyBorder="1" applyAlignment="1">
      <alignment horizontal="center"/>
    </xf>
    <xf numFmtId="0" fontId="23" fillId="12" borderId="53" xfId="0" applyFont="1" applyFill="1" applyBorder="1" applyAlignment="1">
      <alignment horizontal="center"/>
    </xf>
    <xf numFmtId="0" fontId="23" fillId="12" borderId="4" xfId="0" applyFont="1" applyFill="1" applyBorder="1" applyAlignment="1">
      <alignment horizontal="center"/>
    </xf>
    <xf numFmtId="0" fontId="23" fillId="12" borderId="22" xfId="0" applyFont="1" applyFill="1" applyBorder="1" applyAlignment="1">
      <alignment horizontal="center"/>
    </xf>
    <xf numFmtId="0" fontId="23" fillId="12" borderId="17" xfId="0" applyFont="1" applyFill="1" applyBorder="1" applyAlignment="1">
      <alignment horizontal="center"/>
    </xf>
    <xf numFmtId="0" fontId="24" fillId="12" borderId="51" xfId="0" applyFont="1" applyFill="1" applyBorder="1" applyAlignment="1">
      <alignment horizontal="center"/>
    </xf>
    <xf numFmtId="0" fontId="29" fillId="12" borderId="22" xfId="0" applyFont="1" applyFill="1" applyBorder="1" applyAlignment="1">
      <alignment horizontal="center"/>
    </xf>
    <xf numFmtId="0" fontId="34" fillId="0" borderId="0" xfId="0" applyFont="1"/>
    <xf numFmtId="0" fontId="36" fillId="12" borderId="22" xfId="0" applyFont="1" applyFill="1" applyBorder="1" applyAlignment="1">
      <alignment horizontal="center"/>
    </xf>
    <xf numFmtId="0" fontId="23" fillId="12" borderId="50" xfId="0" applyFont="1" applyFill="1" applyBorder="1" applyAlignment="1">
      <alignment horizontal="center"/>
    </xf>
    <xf numFmtId="0" fontId="24" fillId="0" borderId="54" xfId="0" applyFont="1" applyBorder="1" applyAlignment="1">
      <alignment horizontal="center"/>
    </xf>
    <xf numFmtId="1" fontId="24" fillId="0" borderId="55" xfId="0" applyNumberFormat="1" applyFont="1" applyBorder="1" applyAlignment="1">
      <alignment horizontal="center"/>
    </xf>
    <xf numFmtId="1" fontId="24" fillId="0" borderId="56" xfId="0" applyNumberFormat="1" applyFont="1" applyBorder="1" applyAlignment="1">
      <alignment horizontal="center"/>
    </xf>
    <xf numFmtId="2" fontId="24" fillId="0" borderId="56" xfId="0" applyNumberFormat="1" applyFont="1" applyBorder="1" applyAlignment="1">
      <alignment horizontal="center" vertical="center"/>
    </xf>
    <xf numFmtId="1" fontId="24" fillId="0" borderId="56" xfId="0" applyNumberFormat="1" applyFont="1" applyBorder="1" applyAlignment="1">
      <alignment horizontal="center" vertical="center"/>
    </xf>
    <xf numFmtId="164" fontId="24" fillId="0" borderId="57" xfId="0" applyNumberFormat="1" applyFont="1" applyBorder="1" applyAlignment="1">
      <alignment horizontal="center"/>
    </xf>
    <xf numFmtId="165" fontId="24" fillId="0" borderId="58" xfId="0" applyNumberFormat="1" applyFont="1" applyBorder="1" applyAlignment="1">
      <alignment horizontal="center"/>
    </xf>
    <xf numFmtId="164" fontId="24" fillId="0" borderId="58" xfId="0" applyNumberFormat="1" applyFont="1" applyBorder="1" applyAlignment="1">
      <alignment horizontal="center"/>
    </xf>
    <xf numFmtId="0" fontId="24" fillId="15" borderId="54" xfId="0" applyFont="1" applyFill="1" applyBorder="1" applyAlignment="1">
      <alignment horizontal="center"/>
    </xf>
    <xf numFmtId="0" fontId="24" fillId="0" borderId="59" xfId="0" applyFont="1" applyBorder="1" applyAlignment="1">
      <alignment horizontal="center"/>
    </xf>
    <xf numFmtId="1" fontId="0" fillId="0" borderId="60" xfId="0" applyNumberForma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164" fontId="0" fillId="0" borderId="58" xfId="0" applyNumberFormat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59" xfId="0" applyBorder="1" applyAlignment="1">
      <alignment horizontal="center"/>
    </xf>
    <xf numFmtId="0" fontId="24" fillId="15" borderId="56" xfId="0" applyFont="1" applyFill="1" applyBorder="1" applyAlignment="1">
      <alignment horizontal="center"/>
    </xf>
    <xf numFmtId="0" fontId="24" fillId="15" borderId="57" xfId="0" applyFont="1" applyFill="1" applyBorder="1" applyAlignment="1">
      <alignment horizontal="center"/>
    </xf>
    <xf numFmtId="166" fontId="0" fillId="16" borderId="69" xfId="0" applyNumberFormat="1" applyFill="1" applyBorder="1" applyAlignment="1">
      <alignment horizontal="center"/>
    </xf>
    <xf numFmtId="168" fontId="0" fillId="17" borderId="69" xfId="0" applyNumberFormat="1" applyFill="1" applyBorder="1" applyAlignment="1">
      <alignment horizontal="center"/>
    </xf>
    <xf numFmtId="1" fontId="0" fillId="0" borderId="69" xfId="0" applyNumberFormat="1" applyBorder="1" applyAlignment="1">
      <alignment horizontal="center"/>
    </xf>
    <xf numFmtId="2" fontId="24" fillId="0" borderId="71" xfId="0" applyNumberFormat="1" applyFont="1" applyBorder="1" applyAlignment="1">
      <alignment horizontal="center"/>
    </xf>
    <xf numFmtId="10" fontId="24" fillId="0" borderId="69" xfId="1" applyNumberFormat="1" applyFont="1" applyFill="1" applyBorder="1" applyAlignment="1">
      <alignment horizontal="center"/>
    </xf>
    <xf numFmtId="10" fontId="3" fillId="0" borderId="72" xfId="1" applyNumberFormat="1" applyFill="1" applyBorder="1" applyAlignment="1">
      <alignment horizontal="center"/>
    </xf>
    <xf numFmtId="0" fontId="24" fillId="15" borderId="66" xfId="0" applyFont="1" applyFill="1" applyBorder="1" applyAlignment="1">
      <alignment horizontal="center"/>
    </xf>
    <xf numFmtId="0" fontId="24" fillId="0" borderId="73" xfId="0" applyFont="1" applyBorder="1" applyAlignment="1">
      <alignment horizontal="center"/>
    </xf>
    <xf numFmtId="0" fontId="0" fillId="0" borderId="74" xfId="0" applyBorder="1" applyAlignment="1">
      <alignment horizontal="center"/>
    </xf>
    <xf numFmtId="1" fontId="24" fillId="16" borderId="69" xfId="0" applyNumberFormat="1" applyFont="1" applyFill="1" applyBorder="1" applyAlignment="1">
      <alignment horizontal="center"/>
    </xf>
    <xf numFmtId="0" fontId="0" fillId="18" borderId="10" xfId="0" applyFill="1" applyBorder="1" applyAlignment="1">
      <alignment horizontal="center" vertical="center"/>
    </xf>
    <xf numFmtId="0" fontId="24" fillId="18" borderId="10" xfId="0" applyFont="1" applyFill="1" applyBorder="1" applyAlignment="1">
      <alignment horizontal="center" vertical="center"/>
    </xf>
    <xf numFmtId="0" fontId="0" fillId="0" borderId="10" xfId="0" applyBorder="1"/>
    <xf numFmtId="0" fontId="0" fillId="18" borderId="10" xfId="0" applyFill="1" applyBorder="1"/>
    <xf numFmtId="0" fontId="23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3" fillId="19" borderId="11" xfId="0" applyFont="1" applyFill="1" applyBorder="1" applyAlignment="1">
      <alignment horizontal="center" vertical="center"/>
    </xf>
    <xf numFmtId="0" fontId="23" fillId="19" borderId="22" xfId="0" applyFont="1" applyFill="1" applyBorder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23" fillId="19" borderId="5" xfId="0" applyFont="1" applyFill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2" fontId="23" fillId="0" borderId="69" xfId="0" applyNumberFormat="1" applyFont="1" applyBorder="1" applyAlignment="1">
      <alignment horizontal="center" vertical="center"/>
    </xf>
    <xf numFmtId="164" fontId="23" fillId="0" borderId="69" xfId="0" applyNumberFormat="1" applyFont="1" applyBorder="1" applyAlignment="1">
      <alignment horizontal="center" vertical="center"/>
    </xf>
    <xf numFmtId="165" fontId="23" fillId="0" borderId="69" xfId="0" applyNumberFormat="1" applyFont="1" applyBorder="1" applyAlignment="1">
      <alignment horizontal="center" vertical="center"/>
    </xf>
    <xf numFmtId="2" fontId="24" fillId="0" borderId="69" xfId="0" applyNumberFormat="1" applyFont="1" applyBorder="1" applyAlignment="1">
      <alignment horizontal="center" vertical="center"/>
    </xf>
    <xf numFmtId="11" fontId="24" fillId="0" borderId="69" xfId="0" applyNumberFormat="1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/>
    </xf>
    <xf numFmtId="2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5" fontId="23" fillId="0" borderId="54" xfId="0" applyNumberFormat="1" applyFont="1" applyBorder="1" applyAlignment="1">
      <alignment horizontal="center" vertical="center"/>
    </xf>
    <xf numFmtId="2" fontId="24" fillId="0" borderId="54" xfId="0" applyNumberFormat="1" applyFont="1" applyBorder="1" applyAlignment="1">
      <alignment horizontal="center" vertical="center"/>
    </xf>
    <xf numFmtId="11" fontId="24" fillId="0" borderId="54" xfId="0" applyNumberFormat="1" applyFont="1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0" fontId="23" fillId="0" borderId="76" xfId="0" applyFont="1" applyBorder="1" applyAlignment="1">
      <alignment horizontal="center" vertical="center"/>
    </xf>
    <xf numFmtId="2" fontId="23" fillId="0" borderId="76" xfId="0" applyNumberFormat="1" applyFont="1" applyBorder="1" applyAlignment="1">
      <alignment horizontal="center" vertical="center"/>
    </xf>
    <xf numFmtId="164" fontId="23" fillId="0" borderId="76" xfId="0" applyNumberFormat="1" applyFont="1" applyBorder="1" applyAlignment="1">
      <alignment horizontal="center" vertical="center"/>
    </xf>
    <xf numFmtId="2" fontId="24" fillId="0" borderId="76" xfId="0" applyNumberFormat="1" applyFont="1" applyBorder="1" applyAlignment="1">
      <alignment horizontal="center" vertical="center"/>
    </xf>
    <xf numFmtId="11" fontId="24" fillId="0" borderId="76" xfId="0" applyNumberFormat="1" applyFont="1" applyBorder="1" applyAlignment="1">
      <alignment horizontal="center" vertical="center"/>
    </xf>
    <xf numFmtId="9" fontId="23" fillId="12" borderId="22" xfId="1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vertical="center"/>
    </xf>
    <xf numFmtId="2" fontId="0" fillId="0" borderId="5" xfId="0" applyNumberFormat="1" applyBorder="1" applyAlignment="1">
      <alignment horizontal="center" vertical="center" wrapText="1"/>
    </xf>
    <xf numFmtId="0" fontId="0" fillId="0" borderId="26" xfId="0" applyBorder="1" applyAlignment="1">
      <alignment horizontal="left" vertical="top" wrapText="1"/>
    </xf>
    <xf numFmtId="0" fontId="9" fillId="0" borderId="26" xfId="0" applyFont="1" applyBorder="1" applyAlignment="1">
      <alignment horizontal="left" vertical="top" wrapText="1"/>
    </xf>
    <xf numFmtId="1" fontId="12" fillId="0" borderId="26" xfId="0" applyNumberFormat="1" applyFont="1" applyBorder="1" applyAlignment="1">
      <alignment horizontal="center" vertical="center" shrinkToFit="1"/>
    </xf>
    <xf numFmtId="0" fontId="7" fillId="0" borderId="26" xfId="0" applyFont="1" applyBorder="1" applyAlignment="1">
      <alignment horizontal="center" vertical="center" wrapText="1"/>
    </xf>
    <xf numFmtId="0" fontId="35" fillId="0" borderId="0" xfId="2" applyFont="1" applyAlignment="1">
      <alignment horizontal="center"/>
    </xf>
    <xf numFmtId="0" fontId="35" fillId="0" borderId="5" xfId="2" applyFont="1" applyBorder="1" applyAlignment="1">
      <alignment horizontal="center" vertical="top" wrapText="1"/>
    </xf>
    <xf numFmtId="0" fontId="35" fillId="0" borderId="22" xfId="2" applyFont="1" applyBorder="1" applyAlignment="1">
      <alignment horizontal="center" vertical="top" wrapText="1"/>
    </xf>
    <xf numFmtId="0" fontId="35" fillId="0" borderId="0" xfId="2" applyFont="1" applyAlignment="1">
      <alignment horizontal="center" wrapText="1"/>
    </xf>
    <xf numFmtId="0" fontId="35" fillId="2" borderId="5" xfId="2" applyFont="1" applyFill="1" applyBorder="1" applyAlignment="1">
      <alignment horizontal="center" vertical="top" wrapText="1"/>
    </xf>
    <xf numFmtId="0" fontId="35" fillId="0" borderId="9" xfId="2" applyFont="1" applyBorder="1" applyAlignment="1">
      <alignment horizontal="center" vertical="top" wrapText="1"/>
    </xf>
    <xf numFmtId="0" fontId="35" fillId="0" borderId="4" xfId="2" applyFont="1" applyBorder="1" applyAlignment="1">
      <alignment horizontal="center" vertical="top" wrapText="1"/>
    </xf>
    <xf numFmtId="0" fontId="35" fillId="0" borderId="21" xfId="2" applyFont="1" applyBorder="1" applyAlignment="1">
      <alignment horizontal="center" vertical="top" wrapText="1"/>
    </xf>
    <xf numFmtId="0" fontId="35" fillId="0" borderId="11" xfId="2" applyFont="1" applyBorder="1" applyAlignment="1">
      <alignment horizontal="center" vertical="top" wrapText="1"/>
    </xf>
    <xf numFmtId="0" fontId="40" fillId="0" borderId="0" xfId="2" applyFont="1" applyAlignment="1">
      <alignment horizontal="left" vertical="top"/>
    </xf>
    <xf numFmtId="0" fontId="35" fillId="0" borderId="0" xfId="2" applyFont="1" applyAlignment="1">
      <alignment horizontal="left" vertical="top"/>
    </xf>
    <xf numFmtId="0" fontId="40" fillId="0" borderId="0" xfId="2" applyFont="1" applyAlignment="1">
      <alignment horizontal="center" vertical="top" wrapText="1"/>
    </xf>
    <xf numFmtId="0" fontId="35" fillId="0" borderId="3" xfId="2" applyFont="1" applyBorder="1" applyAlignment="1">
      <alignment horizontal="center" vertical="top" wrapText="1"/>
    </xf>
    <xf numFmtId="0" fontId="35" fillId="0" borderId="7" xfId="2" applyFont="1" applyBorder="1" applyAlignment="1">
      <alignment horizontal="center" vertical="top" wrapText="1"/>
    </xf>
    <xf numFmtId="0" fontId="35" fillId="0" borderId="1" xfId="2" applyFont="1" applyBorder="1" applyAlignment="1">
      <alignment horizontal="center" vertical="top" wrapText="1"/>
    </xf>
    <xf numFmtId="0" fontId="35" fillId="0" borderId="8" xfId="2" applyFont="1" applyBorder="1" applyAlignment="1">
      <alignment horizontal="center" vertical="top" wrapText="1"/>
    </xf>
    <xf numFmtId="0" fontId="35" fillId="0" borderId="6" xfId="2" applyFont="1" applyBorder="1" applyAlignment="1">
      <alignment horizontal="center" vertical="top" wrapText="1"/>
    </xf>
    <xf numFmtId="0" fontId="40" fillId="0" borderId="0" xfId="2" applyFont="1" applyAlignment="1">
      <alignment horizontal="center"/>
    </xf>
    <xf numFmtId="0" fontId="40" fillId="0" borderId="0" xfId="2" applyFont="1" applyAlignment="1">
      <alignment horizontal="left"/>
    </xf>
    <xf numFmtId="0" fontId="35" fillId="0" borderId="0" xfId="2" applyFont="1" applyAlignment="1">
      <alignment horizontal="left"/>
    </xf>
    <xf numFmtId="0" fontId="41" fillId="0" borderId="0" xfId="2" applyFont="1"/>
    <xf numFmtId="0" fontId="39" fillId="0" borderId="0" xfId="2"/>
    <xf numFmtId="0" fontId="39" fillId="0" borderId="0" xfId="2" applyAlignment="1">
      <alignment horizontal="right"/>
    </xf>
    <xf numFmtId="0" fontId="23" fillId="19" borderId="11" xfId="0" applyFont="1" applyFill="1" applyBorder="1" applyAlignment="1">
      <alignment horizontal="center" vertical="center" wrapText="1"/>
    </xf>
    <xf numFmtId="0" fontId="23" fillId="19" borderId="22" xfId="0" applyFont="1" applyFill="1" applyBorder="1" applyAlignment="1">
      <alignment horizontal="center" vertical="center" wrapText="1"/>
    </xf>
    <xf numFmtId="0" fontId="23" fillId="19" borderId="8" xfId="0" applyFont="1" applyFill="1" applyBorder="1" applyAlignment="1">
      <alignment horizontal="center"/>
    </xf>
    <xf numFmtId="0" fontId="23" fillId="19" borderId="9" xfId="0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169" fontId="35" fillId="0" borderId="0" xfId="2" applyNumberFormat="1" applyFont="1" applyAlignment="1">
      <alignment horizontal="center"/>
    </xf>
    <xf numFmtId="170" fontId="35" fillId="0" borderId="0" xfId="2" applyNumberFormat="1" applyFont="1" applyAlignment="1">
      <alignment horizontal="center"/>
    </xf>
    <xf numFmtId="0" fontId="35" fillId="9" borderId="78" xfId="2" applyFont="1" applyFill="1" applyBorder="1" applyAlignment="1">
      <alignment horizontal="center"/>
    </xf>
    <xf numFmtId="169" fontId="35" fillId="9" borderId="78" xfId="2" applyNumberFormat="1" applyFont="1" applyFill="1" applyBorder="1" applyAlignment="1">
      <alignment horizontal="center"/>
    </xf>
    <xf numFmtId="0" fontId="35" fillId="0" borderId="78" xfId="2" applyFont="1" applyBorder="1" applyAlignment="1">
      <alignment horizontal="center"/>
    </xf>
    <xf numFmtId="0" fontId="35" fillId="9" borderId="77" xfId="2" applyFont="1" applyFill="1" applyBorder="1" applyAlignment="1">
      <alignment horizontal="center"/>
    </xf>
    <xf numFmtId="0" fontId="35" fillId="0" borderId="77" xfId="2" applyFont="1" applyBorder="1" applyAlignment="1">
      <alignment horizontal="center"/>
    </xf>
    <xf numFmtId="169" fontId="0" fillId="0" borderId="0" xfId="0" applyNumberFormat="1"/>
    <xf numFmtId="171" fontId="0" fillId="0" borderId="9" xfId="0" applyNumberFormat="1" applyBorder="1" applyAlignment="1">
      <alignment horizontal="center" vertical="center"/>
    </xf>
    <xf numFmtId="171" fontId="0" fillId="0" borderId="0" xfId="0" applyNumberFormat="1" applyAlignment="1">
      <alignment horizontal="center" vertical="center" wrapText="1"/>
    </xf>
    <xf numFmtId="0" fontId="24" fillId="0" borderId="11" xfId="0" applyFont="1" applyBorder="1" applyAlignment="1">
      <alignment horizontal="center" vertical="center"/>
    </xf>
    <xf numFmtId="0" fontId="0" fillId="9" borderId="19" xfId="0" applyFill="1" applyBorder="1" applyAlignment="1">
      <alignment vertical="center"/>
    </xf>
    <xf numFmtId="0" fontId="4" fillId="8" borderId="79" xfId="0" applyFont="1" applyFill="1" applyBorder="1" applyAlignment="1">
      <alignment vertical="center"/>
    </xf>
    <xf numFmtId="0" fontId="4" fillId="8" borderId="24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23" fillId="12" borderId="3" xfId="0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3" fillId="12" borderId="20" xfId="0" applyFont="1" applyFill="1" applyBorder="1" applyAlignment="1">
      <alignment horizontal="center" vertical="center"/>
    </xf>
    <xf numFmtId="0" fontId="23" fillId="12" borderId="16" xfId="0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23" fillId="16" borderId="21" xfId="0" applyFont="1" applyFill="1" applyBorder="1" applyAlignment="1">
      <alignment horizontal="center" vertical="center"/>
    </xf>
    <xf numFmtId="0" fontId="23" fillId="16" borderId="22" xfId="0" applyFont="1" applyFill="1" applyBorder="1" applyAlignment="1">
      <alignment horizontal="center" vertical="center"/>
    </xf>
    <xf numFmtId="0" fontId="23" fillId="16" borderId="44" xfId="0" applyFont="1" applyFill="1" applyBorder="1" applyAlignment="1">
      <alignment horizontal="center"/>
    </xf>
    <xf numFmtId="0" fontId="23" fillId="16" borderId="11" xfId="0" applyFont="1" applyFill="1" applyBorder="1" applyAlignment="1">
      <alignment horizontal="center"/>
    </xf>
    <xf numFmtId="0" fontId="23" fillId="16" borderId="24" xfId="0" applyFont="1" applyFill="1" applyBorder="1" applyAlignment="1">
      <alignment horizontal="center" vertical="center"/>
    </xf>
    <xf numFmtId="0" fontId="23" fillId="16" borderId="51" xfId="0" applyFont="1" applyFill="1" applyBorder="1" applyAlignment="1">
      <alignment horizontal="center" vertical="center"/>
    </xf>
    <xf numFmtId="1" fontId="24" fillId="20" borderId="54" xfId="0" applyNumberFormat="1" applyFont="1" applyFill="1" applyBorder="1" applyAlignment="1">
      <alignment horizontal="center"/>
    </xf>
    <xf numFmtId="164" fontId="24" fillId="20" borderId="69" xfId="0" applyNumberFormat="1" applyFont="1" applyFill="1" applyBorder="1" applyAlignment="1">
      <alignment horizontal="center"/>
    </xf>
    <xf numFmtId="0" fontId="0" fillId="16" borderId="64" xfId="0" applyFill="1" applyBorder="1" applyAlignment="1">
      <alignment horizontal="center"/>
    </xf>
    <xf numFmtId="0" fontId="0" fillId="16" borderId="65" xfId="0" applyFill="1" applyBorder="1" applyAlignment="1">
      <alignment horizontal="center"/>
    </xf>
    <xf numFmtId="0" fontId="24" fillId="16" borderId="75" xfId="0" applyFont="1" applyFill="1" applyBorder="1" applyAlignment="1">
      <alignment horizontal="center"/>
    </xf>
    <xf numFmtId="0" fontId="24" fillId="16" borderId="73" xfId="0" applyFont="1" applyFill="1" applyBorder="1" applyAlignment="1">
      <alignment horizontal="center"/>
    </xf>
    <xf numFmtId="0" fontId="24" fillId="16" borderId="66" xfId="0" applyFont="1" applyFill="1" applyBorder="1" applyAlignment="1">
      <alignment horizontal="center"/>
    </xf>
    <xf numFmtId="0" fontId="40" fillId="0" borderId="0" xfId="2" applyFont="1" applyAlignment="1">
      <alignment vertical="top" wrapText="1"/>
    </xf>
    <xf numFmtId="0" fontId="24" fillId="0" borderId="1" xfId="3" applyBorder="1" applyAlignment="1">
      <alignment horizontal="center" vertical="center"/>
    </xf>
    <xf numFmtId="0" fontId="24" fillId="0" borderId="11" xfId="3" applyBorder="1" applyAlignment="1">
      <alignment horizontal="center" vertical="center"/>
    </xf>
    <xf numFmtId="0" fontId="24" fillId="2" borderId="1" xfId="3" applyFill="1" applyBorder="1" applyAlignment="1">
      <alignment horizontal="center" vertical="center"/>
    </xf>
    <xf numFmtId="2" fontId="35" fillId="0" borderId="0" xfId="2" applyNumberFormat="1" applyFont="1" applyAlignment="1">
      <alignment horizontal="center"/>
    </xf>
    <xf numFmtId="2" fontId="35" fillId="12" borderId="0" xfId="2" applyNumberFormat="1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9" borderId="0" xfId="0" applyFill="1" applyAlignment="1">
      <alignment horizontal="center" vertical="center"/>
    </xf>
    <xf numFmtId="0" fontId="6" fillId="9" borderId="0" xfId="4" applyFill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16" borderId="80" xfId="0" applyFont="1" applyFill="1" applyBorder="1" applyAlignment="1">
      <alignment horizontal="center"/>
    </xf>
    <xf numFmtId="0" fontId="0" fillId="0" borderId="27" xfId="0" applyBorder="1" applyAlignment="1">
      <alignment horizontal="center" vertical="top" wrapText="1"/>
    </xf>
    <xf numFmtId="0" fontId="15" fillId="0" borderId="27" xfId="0" applyFont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 wrapText="1"/>
    </xf>
    <xf numFmtId="2" fontId="0" fillId="0" borderId="9" xfId="0" applyNumberFormat="1" applyBorder="1" applyAlignment="1">
      <alignment horizontal="center" wrapText="1"/>
    </xf>
    <xf numFmtId="2" fontId="0" fillId="0" borderId="70" xfId="0" applyNumberFormat="1" applyBorder="1" applyAlignment="1">
      <alignment horizontal="center" wrapText="1"/>
    </xf>
    <xf numFmtId="2" fontId="0" fillId="0" borderId="71" xfId="0" applyNumberFormat="1" applyBorder="1" applyAlignment="1">
      <alignment horizontal="center" wrapText="1"/>
    </xf>
    <xf numFmtId="0" fontId="24" fillId="0" borderId="6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8" fillId="12" borderId="11" xfId="0" applyFont="1" applyFill="1" applyBorder="1" applyAlignment="1">
      <alignment horizontal="center" vertical="center"/>
    </xf>
    <xf numFmtId="0" fontId="28" fillId="12" borderId="22" xfId="0" applyFont="1" applyFill="1" applyBorder="1" applyAlignment="1">
      <alignment horizontal="center" vertical="center"/>
    </xf>
    <xf numFmtId="169" fontId="1" fillId="0" borderId="11" xfId="0" applyNumberFormat="1" applyFont="1" applyBorder="1" applyAlignment="1">
      <alignment horizontal="center" vertical="center"/>
    </xf>
    <xf numFmtId="169" fontId="1" fillId="0" borderId="22" xfId="0" applyNumberFormat="1" applyFont="1" applyBorder="1" applyAlignment="1">
      <alignment horizontal="center" vertical="center"/>
    </xf>
    <xf numFmtId="9" fontId="23" fillId="12" borderId="11" xfId="1" applyFont="1" applyFill="1" applyBorder="1" applyAlignment="1">
      <alignment horizontal="center" vertical="center"/>
    </xf>
    <xf numFmtId="9" fontId="23" fillId="12" borderId="21" xfId="1" applyFont="1" applyFill="1" applyBorder="1" applyAlignment="1">
      <alignment horizontal="center" vertical="center"/>
    </xf>
    <xf numFmtId="9" fontId="23" fillId="12" borderId="22" xfId="1" applyFont="1" applyFill="1" applyBorder="1" applyAlignment="1">
      <alignment horizontal="center" vertical="center"/>
    </xf>
    <xf numFmtId="9" fontId="23" fillId="12" borderId="11" xfId="1" applyFont="1" applyFill="1" applyBorder="1" applyAlignment="1">
      <alignment horizontal="center" vertical="center" wrapText="1"/>
    </xf>
    <xf numFmtId="9" fontId="23" fillId="12" borderId="21" xfId="1" applyFont="1" applyFill="1" applyBorder="1" applyAlignment="1">
      <alignment horizontal="center" vertical="center" wrapText="1"/>
    </xf>
    <xf numFmtId="9" fontId="23" fillId="12" borderId="22" xfId="1" applyFont="1" applyFill="1" applyBorder="1" applyAlignment="1">
      <alignment horizontal="center" vertical="center" wrapText="1"/>
    </xf>
    <xf numFmtId="0" fontId="23" fillId="12" borderId="3" xfId="0" applyFont="1" applyFill="1" applyBorder="1" applyAlignment="1">
      <alignment horizontal="center" vertical="center"/>
    </xf>
    <xf numFmtId="0" fontId="23" fillId="12" borderId="7" xfId="0" applyFont="1" applyFill="1" applyBorder="1" applyAlignment="1">
      <alignment horizontal="center" vertical="center"/>
    </xf>
    <xf numFmtId="0" fontId="23" fillId="12" borderId="5" xfId="0" applyFont="1" applyFill="1" applyBorder="1" applyAlignment="1">
      <alignment horizontal="center" vertical="center"/>
    </xf>
    <xf numFmtId="0" fontId="29" fillId="12" borderId="11" xfId="0" applyFont="1" applyFill="1" applyBorder="1" applyAlignment="1">
      <alignment horizontal="center" vertical="center"/>
    </xf>
    <xf numFmtId="0" fontId="29" fillId="12" borderId="21" xfId="0" applyFont="1" applyFill="1" applyBorder="1" applyAlignment="1">
      <alignment horizontal="center" vertical="center"/>
    </xf>
    <xf numFmtId="0" fontId="29" fillId="12" borderId="22" xfId="0" applyFont="1" applyFill="1" applyBorder="1" applyAlignment="1">
      <alignment horizontal="center" vertical="center"/>
    </xf>
    <xf numFmtId="0" fontId="24" fillId="12" borderId="6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35" fillId="12" borderId="4" xfId="0" applyFont="1" applyFill="1" applyBorder="1" applyAlignment="1">
      <alignment horizontal="center"/>
    </xf>
    <xf numFmtId="0" fontId="35" fillId="12" borderId="5" xfId="0" applyFont="1" applyFill="1" applyBorder="1" applyAlignment="1">
      <alignment horizontal="center"/>
    </xf>
    <xf numFmtId="0" fontId="23" fillId="16" borderId="46" xfId="0" applyFont="1" applyFill="1" applyBorder="1" applyAlignment="1">
      <alignment horizontal="center" vertical="center"/>
    </xf>
    <xf numFmtId="0" fontId="23" fillId="16" borderId="53" xfId="0" applyFont="1" applyFill="1" applyBorder="1" applyAlignment="1">
      <alignment horizontal="center" vertical="center"/>
    </xf>
    <xf numFmtId="0" fontId="23" fillId="16" borderId="3" xfId="0" applyFont="1" applyFill="1" applyBorder="1" applyAlignment="1">
      <alignment horizontal="center" vertical="center"/>
    </xf>
    <xf numFmtId="0" fontId="23" fillId="16" borderId="5" xfId="0" applyFont="1" applyFill="1" applyBorder="1" applyAlignment="1">
      <alignment horizontal="center" vertical="center"/>
    </xf>
    <xf numFmtId="0" fontId="23" fillId="16" borderId="11" xfId="0" applyFont="1" applyFill="1" applyBorder="1" applyAlignment="1">
      <alignment horizontal="center" vertical="center"/>
    </xf>
    <xf numFmtId="0" fontId="23" fillId="16" borderId="21" xfId="0" applyFont="1" applyFill="1" applyBorder="1" applyAlignment="1">
      <alignment horizontal="center" vertical="center"/>
    </xf>
    <xf numFmtId="0" fontId="23" fillId="16" borderId="22" xfId="0" applyFont="1" applyFill="1" applyBorder="1" applyAlignment="1">
      <alignment horizontal="center" vertical="center"/>
    </xf>
    <xf numFmtId="0" fontId="23" fillId="16" borderId="16" xfId="0" applyFont="1" applyFill="1" applyBorder="1" applyAlignment="1">
      <alignment horizontal="center" vertical="center" wrapText="1"/>
    </xf>
    <xf numFmtId="0" fontId="23" fillId="16" borderId="0" xfId="0" applyFont="1" applyFill="1" applyAlignment="1">
      <alignment horizontal="center" vertical="center" wrapText="1"/>
    </xf>
    <xf numFmtId="0" fontId="23" fillId="16" borderId="17" xfId="0" applyFont="1" applyFill="1" applyBorder="1" applyAlignment="1">
      <alignment horizontal="center" vertical="center" wrapText="1"/>
    </xf>
    <xf numFmtId="0" fontId="23" fillId="12" borderId="42" xfId="0" applyFont="1" applyFill="1" applyBorder="1" applyAlignment="1">
      <alignment horizontal="center" vertical="center"/>
    </xf>
    <xf numFmtId="0" fontId="23" fillId="12" borderId="23" xfId="0" applyFont="1" applyFill="1" applyBorder="1" applyAlignment="1">
      <alignment horizontal="center" vertical="center"/>
    </xf>
    <xf numFmtId="0" fontId="23" fillId="12" borderId="49" xfId="0" applyFont="1" applyFill="1" applyBorder="1" applyAlignment="1">
      <alignment horizontal="center" vertical="center"/>
    </xf>
    <xf numFmtId="0" fontId="23" fillId="12" borderId="43" xfId="0" applyFont="1" applyFill="1" applyBorder="1" applyAlignment="1">
      <alignment horizontal="center" vertical="center" wrapText="1"/>
    </xf>
    <xf numFmtId="0" fontId="23" fillId="12" borderId="14" xfId="0" applyFont="1" applyFill="1" applyBorder="1" applyAlignment="1">
      <alignment horizontal="center" vertical="center" wrapText="1"/>
    </xf>
    <xf numFmtId="0" fontId="23" fillId="12" borderId="50" xfId="0" applyFont="1" applyFill="1" applyBorder="1" applyAlignment="1">
      <alignment horizontal="center" vertical="center" wrapText="1"/>
    </xf>
    <xf numFmtId="0" fontId="23" fillId="16" borderId="11" xfId="0" applyFont="1" applyFill="1" applyBorder="1" applyAlignment="1">
      <alignment horizontal="center" wrapText="1"/>
    </xf>
    <xf numFmtId="0" fontId="23" fillId="16" borderId="21" xfId="0" applyFont="1" applyFill="1" applyBorder="1" applyAlignment="1">
      <alignment horizontal="center" wrapText="1"/>
    </xf>
    <xf numFmtId="0" fontId="23" fillId="16" borderId="22" xfId="0" applyFont="1" applyFill="1" applyBorder="1" applyAlignment="1">
      <alignment horizontal="center" wrapText="1"/>
    </xf>
    <xf numFmtId="0" fontId="23" fillId="12" borderId="8" xfId="0" applyFont="1" applyFill="1" applyBorder="1" applyAlignment="1">
      <alignment horizontal="center"/>
    </xf>
    <xf numFmtId="0" fontId="23" fillId="12" borderId="20" xfId="0" applyFont="1" applyFill="1" applyBorder="1" applyAlignment="1">
      <alignment horizontal="center"/>
    </xf>
    <xf numFmtId="0" fontId="23" fillId="12" borderId="9" xfId="0" applyFont="1" applyFill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12" borderId="20" xfId="0" applyFont="1" applyFill="1" applyBorder="1" applyAlignment="1">
      <alignment horizontal="center"/>
    </xf>
    <xf numFmtId="0" fontId="25" fillId="12" borderId="9" xfId="0" applyFont="1" applyFill="1" applyBorder="1" applyAlignment="1">
      <alignment horizontal="center"/>
    </xf>
    <xf numFmtId="0" fontId="23" fillId="12" borderId="8" xfId="0" applyFont="1" applyFill="1" applyBorder="1" applyAlignment="1">
      <alignment horizontal="center" vertical="center"/>
    </xf>
    <xf numFmtId="0" fontId="23" fillId="12" borderId="20" xfId="0" applyFont="1" applyFill="1" applyBorder="1" applyAlignment="1">
      <alignment horizontal="center" vertical="center"/>
    </xf>
    <xf numFmtId="0" fontId="23" fillId="12" borderId="9" xfId="0" applyFont="1" applyFill="1" applyBorder="1" applyAlignment="1">
      <alignment horizontal="center" vertical="center"/>
    </xf>
    <xf numFmtId="0" fontId="23" fillId="12" borderId="11" xfId="0" applyFont="1" applyFill="1" applyBorder="1" applyAlignment="1">
      <alignment horizontal="center" vertical="center"/>
    </xf>
    <xf numFmtId="0" fontId="23" fillId="12" borderId="22" xfId="0" applyFont="1" applyFill="1" applyBorder="1" applyAlignment="1">
      <alignment horizontal="center" vertical="center"/>
    </xf>
    <xf numFmtId="0" fontId="23" fillId="19" borderId="11" xfId="0" applyFont="1" applyFill="1" applyBorder="1" applyAlignment="1">
      <alignment horizontal="center" vertical="center"/>
    </xf>
    <xf numFmtId="0" fontId="23" fillId="19" borderId="2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0" fillId="12" borderId="21" xfId="0" applyFont="1" applyFill="1" applyBorder="1" applyAlignment="1">
      <alignment horizontal="center" wrapText="1"/>
    </xf>
    <xf numFmtId="0" fontId="0" fillId="12" borderId="22" xfId="0" applyFill="1" applyBorder="1" applyAlignment="1">
      <alignment horizontal="center" wrapText="1"/>
    </xf>
    <xf numFmtId="0" fontId="23" fillId="12" borderId="45" xfId="0" applyFont="1" applyFill="1" applyBorder="1" applyAlignment="1">
      <alignment horizontal="center" vertical="center"/>
    </xf>
    <xf numFmtId="0" fontId="23" fillId="12" borderId="47" xfId="0" applyFont="1" applyFill="1" applyBorder="1" applyAlignment="1">
      <alignment horizontal="center" vertical="center"/>
    </xf>
    <xf numFmtId="0" fontId="23" fillId="12" borderId="52" xfId="0" applyFont="1" applyFill="1" applyBorder="1" applyAlignment="1">
      <alignment horizontal="center" vertical="center"/>
    </xf>
    <xf numFmtId="0" fontId="23" fillId="12" borderId="11" xfId="0" applyFont="1" applyFill="1" applyBorder="1" applyAlignment="1">
      <alignment horizontal="center" vertical="center" wrapText="1"/>
    </xf>
    <xf numFmtId="0" fontId="23" fillId="12" borderId="22" xfId="0" applyFont="1" applyFill="1" applyBorder="1" applyAlignment="1">
      <alignment horizontal="center" vertical="center" wrapText="1"/>
    </xf>
    <xf numFmtId="0" fontId="23" fillId="12" borderId="2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3" fillId="12" borderId="21" xfId="0" applyFont="1" applyFill="1" applyBorder="1" applyAlignment="1">
      <alignment horizontal="center" vertical="center"/>
    </xf>
    <xf numFmtId="0" fontId="23" fillId="12" borderId="43" xfId="0" applyFont="1" applyFill="1" applyBorder="1" applyAlignment="1">
      <alignment horizontal="center" vertical="center"/>
    </xf>
    <xf numFmtId="0" fontId="23" fillId="12" borderId="14" xfId="0" applyFont="1" applyFill="1" applyBorder="1" applyAlignment="1">
      <alignment horizontal="center" vertical="center"/>
    </xf>
    <xf numFmtId="0" fontId="23" fillId="12" borderId="50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top" wrapText="1" indent="2"/>
    </xf>
    <xf numFmtId="0" fontId="8" fillId="0" borderId="0" xfId="0" applyFont="1" applyAlignment="1">
      <alignment horizontal="center" vertical="top" wrapText="1"/>
    </xf>
    <xf numFmtId="0" fontId="22" fillId="14" borderId="8" xfId="0" applyFont="1" applyFill="1" applyBorder="1" applyAlignment="1">
      <alignment horizontal="center" vertical="center"/>
    </xf>
    <xf numFmtId="0" fontId="22" fillId="14" borderId="20" xfId="0" applyFont="1" applyFill="1" applyBorder="1" applyAlignment="1">
      <alignment horizontal="center" vertical="center"/>
    </xf>
    <xf numFmtId="0" fontId="22" fillId="14" borderId="9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1" fillId="14" borderId="10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15" fillId="0" borderId="26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26" fillId="14" borderId="20" xfId="0" applyFont="1" applyFill="1" applyBorder="1" applyAlignment="1">
      <alignment horizontal="center" vertical="center"/>
    </xf>
    <xf numFmtId="0" fontId="26" fillId="14" borderId="9" xfId="0" applyFont="1" applyFill="1" applyBorder="1" applyAlignment="1">
      <alignment horizontal="center" vertical="center"/>
    </xf>
    <xf numFmtId="0" fontId="35" fillId="0" borderId="0" xfId="2" applyFont="1" applyAlignment="1">
      <alignment horizontal="center" vertical="center"/>
    </xf>
    <xf numFmtId="0" fontId="35" fillId="0" borderId="2" xfId="2" applyFont="1" applyBorder="1" applyAlignment="1">
      <alignment horizontal="center" vertical="top" wrapText="1"/>
    </xf>
    <xf numFmtId="0" fontId="35" fillId="0" borderId="16" xfId="2" applyFont="1" applyBorder="1" applyAlignment="1">
      <alignment horizontal="center" vertical="top" wrapText="1"/>
    </xf>
    <xf numFmtId="0" fontId="35" fillId="0" borderId="3" xfId="2" applyFont="1" applyBorder="1" applyAlignment="1">
      <alignment horizontal="center" vertical="top" wrapText="1"/>
    </xf>
    <xf numFmtId="0" fontId="40" fillId="0" borderId="4" xfId="2" applyFont="1" applyBorder="1" applyAlignment="1">
      <alignment horizontal="center" vertical="top" wrapText="1"/>
    </xf>
    <xf numFmtId="0" fontId="40" fillId="0" borderId="17" xfId="2" applyFont="1" applyBorder="1" applyAlignment="1">
      <alignment horizontal="center" vertical="top" wrapText="1"/>
    </xf>
    <xf numFmtId="0" fontId="40" fillId="0" borderId="5" xfId="2" applyFont="1" applyBorder="1" applyAlignment="1">
      <alignment horizontal="center" vertical="top" wrapText="1"/>
    </xf>
    <xf numFmtId="0" fontId="40" fillId="0" borderId="6" xfId="2" applyFont="1" applyBorder="1" applyAlignment="1">
      <alignment horizontal="center" vertical="top" wrapText="1"/>
    </xf>
    <xf numFmtId="0" fontId="40" fillId="0" borderId="0" xfId="2" applyFont="1" applyAlignment="1">
      <alignment horizontal="center" vertical="top" wrapText="1"/>
    </xf>
    <xf numFmtId="0" fontId="40" fillId="0" borderId="7" xfId="2" applyFont="1" applyBorder="1" applyAlignment="1">
      <alignment horizontal="center" vertical="top" wrapText="1"/>
    </xf>
    <xf numFmtId="0" fontId="40" fillId="0" borderId="2" xfId="2" applyFont="1" applyBorder="1" applyAlignment="1">
      <alignment horizontal="center" vertical="top" wrapText="1"/>
    </xf>
    <xf numFmtId="0" fontId="40" fillId="0" borderId="16" xfId="2" applyFont="1" applyBorder="1" applyAlignment="1">
      <alignment horizontal="center" vertical="top" wrapText="1"/>
    </xf>
    <xf numFmtId="0" fontId="40" fillId="0" borderId="3" xfId="2" applyFont="1" applyBorder="1" applyAlignment="1">
      <alignment horizontal="center" vertical="top" wrapText="1"/>
    </xf>
    <xf numFmtId="0" fontId="35" fillId="0" borderId="4" xfId="2" applyFont="1" applyBorder="1" applyAlignment="1">
      <alignment horizontal="center" vertical="top" wrapText="1"/>
    </xf>
    <xf numFmtId="0" fontId="35" fillId="0" borderId="17" xfId="2" applyFont="1" applyBorder="1" applyAlignment="1">
      <alignment horizontal="center" vertical="top" wrapText="1"/>
    </xf>
    <xf numFmtId="0" fontId="35" fillId="0" borderId="5" xfId="2" applyFont="1" applyBorder="1" applyAlignment="1">
      <alignment horizontal="center" vertical="top" wrapText="1"/>
    </xf>
    <xf numFmtId="0" fontId="35" fillId="0" borderId="8" xfId="2" applyFont="1" applyBorder="1" applyAlignment="1">
      <alignment horizontal="center" vertical="top" wrapText="1"/>
    </xf>
    <xf numFmtId="0" fontId="35" fillId="0" borderId="9" xfId="2" applyFont="1" applyBorder="1" applyAlignment="1">
      <alignment horizontal="center" vertical="top" wrapText="1"/>
    </xf>
    <xf numFmtId="0" fontId="35" fillId="0" borderId="21" xfId="2" applyFont="1" applyBorder="1" applyAlignment="1">
      <alignment horizontal="center" vertical="top" wrapText="1"/>
    </xf>
    <xf numFmtId="0" fontId="35" fillId="0" borderId="22" xfId="2" applyFont="1" applyBorder="1" applyAlignment="1">
      <alignment horizontal="center" vertical="top" wrapText="1"/>
    </xf>
    <xf numFmtId="0" fontId="35" fillId="0" borderId="11" xfId="2" applyFont="1" applyBorder="1" applyAlignment="1">
      <alignment horizontal="center" vertical="top" wrapText="1"/>
    </xf>
    <xf numFmtId="0" fontId="40" fillId="0" borderId="8" xfId="2" applyFont="1" applyBorder="1" applyAlignment="1">
      <alignment horizontal="center" vertical="top" wrapText="1"/>
    </xf>
    <xf numFmtId="0" fontId="40" fillId="0" borderId="20" xfId="2" applyFont="1" applyBorder="1" applyAlignment="1">
      <alignment horizontal="center" vertical="top" wrapText="1"/>
    </xf>
    <xf numFmtId="0" fontId="40" fillId="0" borderId="9" xfId="2" applyFont="1" applyBorder="1" applyAlignment="1">
      <alignment horizontal="center" vertical="top" wrapText="1"/>
    </xf>
    <xf numFmtId="0" fontId="35" fillId="0" borderId="6" xfId="2" applyFont="1" applyBorder="1" applyAlignment="1">
      <alignment horizontal="center" wrapText="1"/>
    </xf>
    <xf numFmtId="0" fontId="35" fillId="0" borderId="6" xfId="2" applyFont="1" applyBorder="1" applyAlignment="1">
      <alignment horizontal="center" vertical="top" wrapText="1"/>
    </xf>
    <xf numFmtId="0" fontId="35" fillId="0" borderId="7" xfId="2" applyFont="1" applyBorder="1" applyAlignment="1">
      <alignment horizontal="center" vertical="top" wrapText="1"/>
    </xf>
    <xf numFmtId="0" fontId="35" fillId="0" borderId="20" xfId="2" applyFont="1" applyBorder="1" applyAlignment="1">
      <alignment horizontal="center" vertical="top" wrapText="1"/>
    </xf>
    <xf numFmtId="0" fontId="35" fillId="0" borderId="0" xfId="2" applyFont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5">
    <cellStyle name="Hyperlink" xfId="4" builtinId="8"/>
    <cellStyle name="Normal" xfId="0" builtinId="0"/>
    <cellStyle name="Normal 2" xfId="2" xr:uid="{397345AA-9AC5-478C-B107-6FE74F27451A}"/>
    <cellStyle name="Normal 3" xfId="3" xr:uid="{3FF54ADB-20AC-4B12-8B13-4F53388DF475}"/>
    <cellStyle name="Percent" xfId="1" builtinId="5"/>
  </cellStyles>
  <dxfs count="74">
    <dxf>
      <fill>
        <patternFill>
          <bgColor indexed="42"/>
        </patternFill>
      </fill>
    </dxf>
    <dxf>
      <fill>
        <patternFill>
          <bgColor indexed="10"/>
        </patternFill>
      </fill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70" formatCode="_-[$€-2]\ * #,##0.000_-;\-[$€-2]\ * #,##0.000_-;_-[$€-2]\ * &quot;-&quot;??_-;_-@_-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26" Type="http://schemas.openxmlformats.org/officeDocument/2006/relationships/image" Target="../media/image32.png"/><Relationship Id="rId39" Type="http://schemas.openxmlformats.org/officeDocument/2006/relationships/image" Target="../media/image45.png"/><Relationship Id="rId21" Type="http://schemas.openxmlformats.org/officeDocument/2006/relationships/image" Target="../media/image27.png"/><Relationship Id="rId34" Type="http://schemas.openxmlformats.org/officeDocument/2006/relationships/image" Target="../media/image40.png"/><Relationship Id="rId42" Type="http://schemas.openxmlformats.org/officeDocument/2006/relationships/image" Target="../media/image48.png"/><Relationship Id="rId7" Type="http://schemas.openxmlformats.org/officeDocument/2006/relationships/image" Target="../media/image13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29" Type="http://schemas.openxmlformats.org/officeDocument/2006/relationships/image" Target="../media/image35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24" Type="http://schemas.openxmlformats.org/officeDocument/2006/relationships/image" Target="../media/image30.png"/><Relationship Id="rId32" Type="http://schemas.openxmlformats.org/officeDocument/2006/relationships/image" Target="../media/image38.png"/><Relationship Id="rId37" Type="http://schemas.openxmlformats.org/officeDocument/2006/relationships/image" Target="../media/image43.png"/><Relationship Id="rId40" Type="http://schemas.openxmlformats.org/officeDocument/2006/relationships/image" Target="../media/image46.png"/><Relationship Id="rId45" Type="http://schemas.openxmlformats.org/officeDocument/2006/relationships/image" Target="../media/image51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23" Type="http://schemas.openxmlformats.org/officeDocument/2006/relationships/image" Target="../media/image29.png"/><Relationship Id="rId28" Type="http://schemas.openxmlformats.org/officeDocument/2006/relationships/image" Target="../media/image34.png"/><Relationship Id="rId36" Type="http://schemas.openxmlformats.org/officeDocument/2006/relationships/image" Target="../media/image42.png"/><Relationship Id="rId10" Type="http://schemas.openxmlformats.org/officeDocument/2006/relationships/image" Target="../media/image16.png"/><Relationship Id="rId19" Type="http://schemas.openxmlformats.org/officeDocument/2006/relationships/image" Target="../media/image25.png"/><Relationship Id="rId31" Type="http://schemas.openxmlformats.org/officeDocument/2006/relationships/image" Target="../media/image37.png"/><Relationship Id="rId44" Type="http://schemas.openxmlformats.org/officeDocument/2006/relationships/image" Target="../media/image50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Relationship Id="rId22" Type="http://schemas.openxmlformats.org/officeDocument/2006/relationships/image" Target="../media/image28.png"/><Relationship Id="rId27" Type="http://schemas.openxmlformats.org/officeDocument/2006/relationships/image" Target="../media/image33.png"/><Relationship Id="rId30" Type="http://schemas.openxmlformats.org/officeDocument/2006/relationships/image" Target="../media/image36.png"/><Relationship Id="rId35" Type="http://schemas.openxmlformats.org/officeDocument/2006/relationships/image" Target="../media/image41.png"/><Relationship Id="rId43" Type="http://schemas.openxmlformats.org/officeDocument/2006/relationships/image" Target="../media/image49.png"/><Relationship Id="rId8" Type="http://schemas.openxmlformats.org/officeDocument/2006/relationships/image" Target="../media/image14.png"/><Relationship Id="rId3" Type="http://schemas.openxmlformats.org/officeDocument/2006/relationships/image" Target="../media/image9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5" Type="http://schemas.openxmlformats.org/officeDocument/2006/relationships/image" Target="../media/image31.png"/><Relationship Id="rId33" Type="http://schemas.openxmlformats.org/officeDocument/2006/relationships/image" Target="../media/image39.png"/><Relationship Id="rId38" Type="http://schemas.openxmlformats.org/officeDocument/2006/relationships/image" Target="../media/image44.png"/><Relationship Id="rId46" Type="http://schemas.openxmlformats.org/officeDocument/2006/relationships/image" Target="../media/image52.png"/><Relationship Id="rId20" Type="http://schemas.openxmlformats.org/officeDocument/2006/relationships/image" Target="../media/image26.png"/><Relationship Id="rId41" Type="http://schemas.openxmlformats.org/officeDocument/2006/relationships/image" Target="../media/image4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11</xdr:col>
      <xdr:colOff>57150</xdr:colOff>
      <xdr:row>60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C536D0-70A2-4824-8254-7BB3AAB31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"/>
          <a:ext cx="5543550" cy="9467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527538</xdr:colOff>
      <xdr:row>117</xdr:row>
      <xdr:rowOff>38100</xdr:rowOff>
    </xdr:from>
    <xdr:to>
      <xdr:col>11</xdr:col>
      <xdr:colOff>184638</xdr:colOff>
      <xdr:row>176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0E75F4-1165-4109-9901-B20B6B7C2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5673" y="18897600"/>
          <a:ext cx="5738446" cy="95103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177</xdr:row>
      <xdr:rowOff>95250</xdr:rowOff>
    </xdr:from>
    <xdr:to>
      <xdr:col>10</xdr:col>
      <xdr:colOff>600075</xdr:colOff>
      <xdr:row>230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9964C4C-557C-4022-97A5-906191ADB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8755975"/>
          <a:ext cx="5543550" cy="850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231</xdr:row>
      <xdr:rowOff>0</xdr:rowOff>
    </xdr:from>
    <xdr:to>
      <xdr:col>11</xdr:col>
      <xdr:colOff>57150</xdr:colOff>
      <xdr:row>269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C4DE60-E10D-40DC-B0A8-39954D3C8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7404675"/>
          <a:ext cx="5543550" cy="6296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473529</xdr:colOff>
      <xdr:row>80</xdr:row>
      <xdr:rowOff>92884</xdr:rowOff>
    </xdr:from>
    <xdr:to>
      <xdr:col>10</xdr:col>
      <xdr:colOff>541564</xdr:colOff>
      <xdr:row>117</xdr:row>
      <xdr:rowOff>11596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EC75B3C-2437-4ADC-B1D1-57F3E7DAD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9572" y="13345058"/>
          <a:ext cx="5882427" cy="604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84718</xdr:colOff>
      <xdr:row>57</xdr:row>
      <xdr:rowOff>159319</xdr:rowOff>
    </xdr:from>
    <xdr:to>
      <xdr:col>11</xdr:col>
      <xdr:colOff>552806</xdr:colOff>
      <xdr:row>79</xdr:row>
      <xdr:rowOff>151159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3FCA60-2E6D-445E-A413-C23872C59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6805" y="9601493"/>
          <a:ext cx="6282479" cy="36361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257175</xdr:colOff>
      <xdr:row>69</xdr:row>
      <xdr:rowOff>152400</xdr:rowOff>
    </xdr:from>
    <xdr:to>
      <xdr:col>10</xdr:col>
      <xdr:colOff>257175</xdr:colOff>
      <xdr:row>79</xdr:row>
      <xdr:rowOff>19050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8AD2E9D2-23B4-4893-8F48-9BF7B9DB3423}"/>
            </a:ext>
          </a:extLst>
        </xdr:cNvPr>
        <xdr:cNvSpPr>
          <a:spLocks noChangeShapeType="1"/>
        </xdr:cNvSpPr>
      </xdr:nvSpPr>
      <xdr:spPr bwMode="auto">
        <a:xfrm>
          <a:off x="6353175" y="11325225"/>
          <a:ext cx="0" cy="148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202691</xdr:colOff>
      <xdr:row>5</xdr:row>
      <xdr:rowOff>58673</xdr:rowOff>
    </xdr:from>
    <xdr:ext cx="1408176" cy="804672"/>
    <xdr:pic>
      <xdr:nvPicPr>
        <xdr:cNvPr id="18" name="image1.png">
          <a:extLst>
            <a:ext uri="{FF2B5EF4-FFF2-40B4-BE49-F238E27FC236}">
              <a16:creationId xmlns:a16="http://schemas.microsoft.com/office/drawing/2014/main" id="{5B533630-8381-404F-AFF7-718667FA1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691" y="1182623"/>
          <a:ext cx="1408176" cy="804672"/>
        </a:xfrm>
        <a:prstGeom prst="rect">
          <a:avLst/>
        </a:prstGeom>
      </xdr:spPr>
    </xdr:pic>
    <xdr:clientData/>
  </xdr:oneCellAnchor>
  <xdr:oneCellAnchor>
    <xdr:from>
      <xdr:col>0</xdr:col>
      <xdr:colOff>228599</xdr:colOff>
      <xdr:row>6</xdr:row>
      <xdr:rowOff>58673</xdr:rowOff>
    </xdr:from>
    <xdr:ext cx="1322831" cy="751332"/>
    <xdr:pic>
      <xdr:nvPicPr>
        <xdr:cNvPr id="19" name="image2.png">
          <a:extLst>
            <a:ext uri="{FF2B5EF4-FFF2-40B4-BE49-F238E27FC236}">
              <a16:creationId xmlns:a16="http://schemas.microsoft.com/office/drawing/2014/main" id="{91E40904-BCB6-4B04-BE10-B37CA6DA9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599" y="2049398"/>
          <a:ext cx="1322831" cy="751332"/>
        </a:xfrm>
        <a:prstGeom prst="rect">
          <a:avLst/>
        </a:prstGeom>
      </xdr:spPr>
    </xdr:pic>
    <xdr:clientData/>
  </xdr:oneCellAnchor>
  <xdr:oneCellAnchor>
    <xdr:from>
      <xdr:col>0</xdr:col>
      <xdr:colOff>275844</xdr:colOff>
      <xdr:row>7</xdr:row>
      <xdr:rowOff>59436</xdr:rowOff>
    </xdr:from>
    <xdr:ext cx="1127760" cy="784860"/>
    <xdr:pic>
      <xdr:nvPicPr>
        <xdr:cNvPr id="20" name="image3.png">
          <a:extLst>
            <a:ext uri="{FF2B5EF4-FFF2-40B4-BE49-F238E27FC236}">
              <a16:creationId xmlns:a16="http://schemas.microsoft.com/office/drawing/2014/main" id="{FD8A3C69-8603-4AB5-90D5-B85EC1038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844" y="2878836"/>
          <a:ext cx="1127760" cy="784860"/>
        </a:xfrm>
        <a:prstGeom prst="rect">
          <a:avLst/>
        </a:prstGeom>
      </xdr:spPr>
    </xdr:pic>
    <xdr:clientData/>
  </xdr:oneCellAnchor>
  <xdr:oneCellAnchor>
    <xdr:from>
      <xdr:col>0</xdr:col>
      <xdr:colOff>284987</xdr:colOff>
      <xdr:row>8</xdr:row>
      <xdr:rowOff>58673</xdr:rowOff>
    </xdr:from>
    <xdr:ext cx="1110995" cy="758952"/>
    <xdr:pic>
      <xdr:nvPicPr>
        <xdr:cNvPr id="21" name="image4.png">
          <a:extLst>
            <a:ext uri="{FF2B5EF4-FFF2-40B4-BE49-F238E27FC236}">
              <a16:creationId xmlns:a16="http://schemas.microsoft.com/office/drawing/2014/main" id="{18EC923D-15C7-426B-AFFD-A5B749B57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7" y="3725798"/>
          <a:ext cx="1110995" cy="758952"/>
        </a:xfrm>
        <a:prstGeom prst="rect">
          <a:avLst/>
        </a:prstGeom>
      </xdr:spPr>
    </xdr:pic>
    <xdr:clientData/>
  </xdr:oneCellAnchor>
  <xdr:oneCellAnchor>
    <xdr:from>
      <xdr:col>0</xdr:col>
      <xdr:colOff>295406</xdr:colOff>
      <xdr:row>9</xdr:row>
      <xdr:rowOff>414131</xdr:rowOff>
    </xdr:from>
    <xdr:ext cx="525780" cy="1394459"/>
    <xdr:pic>
      <xdr:nvPicPr>
        <xdr:cNvPr id="22" name="image5.png">
          <a:extLst>
            <a:ext uri="{FF2B5EF4-FFF2-40B4-BE49-F238E27FC236}">
              <a16:creationId xmlns:a16="http://schemas.microsoft.com/office/drawing/2014/main" id="{0756E7D7-D9CF-40D3-B81A-5633FB0A3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406" y="5151783"/>
          <a:ext cx="525780" cy="1394459"/>
        </a:xfrm>
        <a:prstGeom prst="rect">
          <a:avLst/>
        </a:prstGeom>
      </xdr:spPr>
    </xdr:pic>
    <xdr:clientData/>
  </xdr:oneCellAnchor>
  <xdr:oneCellAnchor>
    <xdr:from>
      <xdr:col>0</xdr:col>
      <xdr:colOff>1030471</xdr:colOff>
      <xdr:row>9</xdr:row>
      <xdr:rowOff>430696</xdr:rowOff>
    </xdr:from>
    <xdr:ext cx="544067" cy="1412748"/>
    <xdr:pic>
      <xdr:nvPicPr>
        <xdr:cNvPr id="23" name="image6.png">
          <a:extLst>
            <a:ext uri="{FF2B5EF4-FFF2-40B4-BE49-F238E27FC236}">
              <a16:creationId xmlns:a16="http://schemas.microsoft.com/office/drawing/2014/main" id="{2352F0A8-0F55-4D9F-B9B8-E9C34451A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0471" y="5168348"/>
          <a:ext cx="544067" cy="1412748"/>
        </a:xfrm>
        <a:prstGeom prst="rect">
          <a:avLst/>
        </a:prstGeom>
      </xdr:spPr>
    </xdr:pic>
    <xdr:clientData/>
  </xdr:oneCellAnchor>
  <xdr:oneCellAnchor>
    <xdr:from>
      <xdr:col>0</xdr:col>
      <xdr:colOff>449579</xdr:colOff>
      <xdr:row>11</xdr:row>
      <xdr:rowOff>142493</xdr:rowOff>
    </xdr:from>
    <xdr:ext cx="781812" cy="632460"/>
    <xdr:pic>
      <xdr:nvPicPr>
        <xdr:cNvPr id="24" name="image7.png">
          <a:extLst>
            <a:ext uri="{FF2B5EF4-FFF2-40B4-BE49-F238E27FC236}">
              <a16:creationId xmlns:a16="http://schemas.microsoft.com/office/drawing/2014/main" id="{8607866B-9364-4456-AEF4-31E1AA4C1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79" y="6467093"/>
          <a:ext cx="781812" cy="632460"/>
        </a:xfrm>
        <a:prstGeom prst="rect">
          <a:avLst/>
        </a:prstGeom>
      </xdr:spPr>
    </xdr:pic>
    <xdr:clientData/>
  </xdr:oneCellAnchor>
  <xdr:oneCellAnchor>
    <xdr:from>
      <xdr:col>0</xdr:col>
      <xdr:colOff>449579</xdr:colOff>
      <xdr:row>12</xdr:row>
      <xdr:rowOff>141732</xdr:rowOff>
    </xdr:from>
    <xdr:ext cx="781812" cy="638556"/>
    <xdr:pic>
      <xdr:nvPicPr>
        <xdr:cNvPr id="25" name="image8.png">
          <a:extLst>
            <a:ext uri="{FF2B5EF4-FFF2-40B4-BE49-F238E27FC236}">
              <a16:creationId xmlns:a16="http://schemas.microsoft.com/office/drawing/2014/main" id="{2DD0D5E5-6B99-4204-9558-C3E310A21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79" y="7295007"/>
          <a:ext cx="781812" cy="638556"/>
        </a:xfrm>
        <a:prstGeom prst="rect">
          <a:avLst/>
        </a:prstGeom>
      </xdr:spPr>
    </xdr:pic>
    <xdr:clientData/>
  </xdr:oneCellAnchor>
  <xdr:oneCellAnchor>
    <xdr:from>
      <xdr:col>0</xdr:col>
      <xdr:colOff>361187</xdr:colOff>
      <xdr:row>13</xdr:row>
      <xdr:rowOff>142494</xdr:rowOff>
    </xdr:from>
    <xdr:ext cx="957072" cy="627887"/>
    <xdr:pic>
      <xdr:nvPicPr>
        <xdr:cNvPr id="42" name="image9.png">
          <a:extLst>
            <a:ext uri="{FF2B5EF4-FFF2-40B4-BE49-F238E27FC236}">
              <a16:creationId xmlns:a16="http://schemas.microsoft.com/office/drawing/2014/main" id="{F05920E3-0631-4F1F-9682-3E0136EF8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187" y="1152144"/>
          <a:ext cx="957072" cy="627887"/>
        </a:xfrm>
        <a:prstGeom prst="rect">
          <a:avLst/>
        </a:prstGeom>
      </xdr:spPr>
    </xdr:pic>
    <xdr:clientData/>
  </xdr:oneCellAnchor>
  <xdr:oneCellAnchor>
    <xdr:from>
      <xdr:col>0</xdr:col>
      <xdr:colOff>109727</xdr:colOff>
      <xdr:row>14</xdr:row>
      <xdr:rowOff>278130</xdr:rowOff>
    </xdr:from>
    <xdr:ext cx="1461516" cy="400811"/>
    <xdr:pic>
      <xdr:nvPicPr>
        <xdr:cNvPr id="43" name="image10.png">
          <a:extLst>
            <a:ext uri="{FF2B5EF4-FFF2-40B4-BE49-F238E27FC236}">
              <a16:creationId xmlns:a16="http://schemas.microsoft.com/office/drawing/2014/main" id="{F98A3F6F-AC8E-4806-846C-C25D80632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7" y="2116455"/>
          <a:ext cx="1461516" cy="400811"/>
        </a:xfrm>
        <a:prstGeom prst="rect">
          <a:avLst/>
        </a:prstGeom>
      </xdr:spPr>
    </xdr:pic>
    <xdr:clientData/>
  </xdr:oneCellAnchor>
  <xdr:oneCellAnchor>
    <xdr:from>
      <xdr:col>0</xdr:col>
      <xdr:colOff>315468</xdr:colOff>
      <xdr:row>15</xdr:row>
      <xdr:rowOff>59436</xdr:rowOff>
    </xdr:from>
    <xdr:ext cx="1048511" cy="624840"/>
    <xdr:pic>
      <xdr:nvPicPr>
        <xdr:cNvPr id="44" name="image11.png">
          <a:extLst>
            <a:ext uri="{FF2B5EF4-FFF2-40B4-BE49-F238E27FC236}">
              <a16:creationId xmlns:a16="http://schemas.microsoft.com/office/drawing/2014/main" id="{99F79ADF-4864-4A15-B9C5-A1487B02B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468" y="2726436"/>
          <a:ext cx="1048511" cy="624840"/>
        </a:xfrm>
        <a:prstGeom prst="rect">
          <a:avLst/>
        </a:prstGeom>
      </xdr:spPr>
    </xdr:pic>
    <xdr:clientData/>
  </xdr:oneCellAnchor>
  <xdr:oneCellAnchor>
    <xdr:from>
      <xdr:col>0</xdr:col>
      <xdr:colOff>329183</xdr:colOff>
      <xdr:row>16</xdr:row>
      <xdr:rowOff>140970</xdr:rowOff>
    </xdr:from>
    <xdr:ext cx="1021080" cy="612647"/>
    <xdr:pic>
      <xdr:nvPicPr>
        <xdr:cNvPr id="45" name="image12.png">
          <a:extLst>
            <a:ext uri="{FF2B5EF4-FFF2-40B4-BE49-F238E27FC236}">
              <a16:creationId xmlns:a16="http://schemas.microsoft.com/office/drawing/2014/main" id="{40AFB7B3-54AF-4DA8-A1A6-3F949F6E7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183" y="3503295"/>
          <a:ext cx="1021080" cy="612647"/>
        </a:xfrm>
        <a:prstGeom prst="rect">
          <a:avLst/>
        </a:prstGeom>
      </xdr:spPr>
    </xdr:pic>
    <xdr:clientData/>
  </xdr:oneCellAnchor>
  <xdr:oneCellAnchor>
    <xdr:from>
      <xdr:col>0</xdr:col>
      <xdr:colOff>344423</xdr:colOff>
      <xdr:row>17</xdr:row>
      <xdr:rowOff>141731</xdr:rowOff>
    </xdr:from>
    <xdr:ext cx="992124" cy="597408"/>
    <xdr:pic>
      <xdr:nvPicPr>
        <xdr:cNvPr id="46" name="image13.png">
          <a:extLst>
            <a:ext uri="{FF2B5EF4-FFF2-40B4-BE49-F238E27FC236}">
              <a16:creationId xmlns:a16="http://schemas.microsoft.com/office/drawing/2014/main" id="{7675F8DA-0B75-4040-AAD6-6F21BC52C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423" y="4332731"/>
          <a:ext cx="992124" cy="597408"/>
        </a:xfrm>
        <a:prstGeom prst="rect">
          <a:avLst/>
        </a:prstGeom>
      </xdr:spPr>
    </xdr:pic>
    <xdr:clientData/>
  </xdr:oneCellAnchor>
  <xdr:oneCellAnchor>
    <xdr:from>
      <xdr:col>0</xdr:col>
      <xdr:colOff>633983</xdr:colOff>
      <xdr:row>18</xdr:row>
      <xdr:rowOff>141732</xdr:rowOff>
    </xdr:from>
    <xdr:ext cx="411480" cy="611123"/>
    <xdr:pic>
      <xdr:nvPicPr>
        <xdr:cNvPr id="47" name="image14.png">
          <a:extLst>
            <a:ext uri="{FF2B5EF4-FFF2-40B4-BE49-F238E27FC236}">
              <a16:creationId xmlns:a16="http://schemas.microsoft.com/office/drawing/2014/main" id="{EFD4D87A-0FEF-4AAF-B239-7D80A786F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983" y="5161407"/>
          <a:ext cx="411480" cy="611123"/>
        </a:xfrm>
        <a:prstGeom prst="rect">
          <a:avLst/>
        </a:prstGeom>
      </xdr:spPr>
    </xdr:pic>
    <xdr:clientData/>
  </xdr:oneCellAnchor>
  <xdr:oneCellAnchor>
    <xdr:from>
      <xdr:col>0</xdr:col>
      <xdr:colOff>640079</xdr:colOff>
      <xdr:row>19</xdr:row>
      <xdr:rowOff>58673</xdr:rowOff>
    </xdr:from>
    <xdr:ext cx="399288" cy="745236"/>
    <xdr:pic>
      <xdr:nvPicPr>
        <xdr:cNvPr id="48" name="image15.png">
          <a:extLst>
            <a:ext uri="{FF2B5EF4-FFF2-40B4-BE49-F238E27FC236}">
              <a16:creationId xmlns:a16="http://schemas.microsoft.com/office/drawing/2014/main" id="{40BA4C4B-A603-4731-9FF0-F0FCBAB79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79" y="5907023"/>
          <a:ext cx="399288" cy="745236"/>
        </a:xfrm>
        <a:prstGeom prst="rect">
          <a:avLst/>
        </a:prstGeom>
      </xdr:spPr>
    </xdr:pic>
    <xdr:clientData/>
  </xdr:oneCellAnchor>
  <xdr:oneCellAnchor>
    <xdr:from>
      <xdr:col>0</xdr:col>
      <xdr:colOff>144779</xdr:colOff>
      <xdr:row>20</xdr:row>
      <xdr:rowOff>141732</xdr:rowOff>
    </xdr:from>
    <xdr:ext cx="1389888" cy="545591"/>
    <xdr:pic>
      <xdr:nvPicPr>
        <xdr:cNvPr id="49" name="image16.png">
          <a:extLst>
            <a:ext uri="{FF2B5EF4-FFF2-40B4-BE49-F238E27FC236}">
              <a16:creationId xmlns:a16="http://schemas.microsoft.com/office/drawing/2014/main" id="{1F2C2A8E-15E2-4D8F-B4B3-F664EA56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79" y="6818757"/>
          <a:ext cx="1389888" cy="545591"/>
        </a:xfrm>
        <a:prstGeom prst="rect">
          <a:avLst/>
        </a:prstGeom>
      </xdr:spPr>
    </xdr:pic>
    <xdr:clientData/>
  </xdr:oneCellAnchor>
  <xdr:oneCellAnchor>
    <xdr:from>
      <xdr:col>0</xdr:col>
      <xdr:colOff>464057</xdr:colOff>
      <xdr:row>21</xdr:row>
      <xdr:rowOff>99060</xdr:rowOff>
    </xdr:from>
    <xdr:ext cx="713232" cy="512063"/>
    <xdr:pic>
      <xdr:nvPicPr>
        <xdr:cNvPr id="50" name="image17.png">
          <a:extLst>
            <a:ext uri="{FF2B5EF4-FFF2-40B4-BE49-F238E27FC236}">
              <a16:creationId xmlns:a16="http://schemas.microsoft.com/office/drawing/2014/main" id="{EF723CBA-4AC3-421B-A526-AB4E040FF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057" y="15548610"/>
          <a:ext cx="713232" cy="512063"/>
        </a:xfrm>
        <a:prstGeom prst="rect">
          <a:avLst/>
        </a:prstGeom>
      </xdr:spPr>
    </xdr:pic>
    <xdr:clientData/>
  </xdr:oneCellAnchor>
  <xdr:oneCellAnchor>
    <xdr:from>
      <xdr:col>0</xdr:col>
      <xdr:colOff>384428</xdr:colOff>
      <xdr:row>22</xdr:row>
      <xdr:rowOff>154686</xdr:rowOff>
    </xdr:from>
    <xdr:ext cx="931164" cy="752855"/>
    <xdr:pic>
      <xdr:nvPicPr>
        <xdr:cNvPr id="51" name="image18.png">
          <a:extLst>
            <a:ext uri="{FF2B5EF4-FFF2-40B4-BE49-F238E27FC236}">
              <a16:creationId xmlns:a16="http://schemas.microsoft.com/office/drawing/2014/main" id="{872A39C4-5FD5-4A6F-9F9F-91CF56C40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428" y="16280511"/>
          <a:ext cx="931164" cy="752855"/>
        </a:xfrm>
        <a:prstGeom prst="rect">
          <a:avLst/>
        </a:prstGeom>
      </xdr:spPr>
    </xdr:pic>
    <xdr:clientData/>
  </xdr:oneCellAnchor>
  <xdr:oneCellAnchor>
    <xdr:from>
      <xdr:col>3</xdr:col>
      <xdr:colOff>523493</xdr:colOff>
      <xdr:row>22</xdr:row>
      <xdr:rowOff>240791</xdr:rowOff>
    </xdr:from>
    <xdr:ext cx="59690" cy="74930"/>
    <xdr:sp macro="" textlink="">
      <xdr:nvSpPr>
        <xdr:cNvPr id="52" name="Shape 20">
          <a:extLst>
            <a:ext uri="{FF2B5EF4-FFF2-40B4-BE49-F238E27FC236}">
              <a16:creationId xmlns:a16="http://schemas.microsoft.com/office/drawing/2014/main" id="{3FD9EB61-64AD-4849-A502-3F836ECE4171}"/>
            </a:ext>
          </a:extLst>
        </xdr:cNvPr>
        <xdr:cNvSpPr/>
      </xdr:nvSpPr>
      <xdr:spPr>
        <a:xfrm>
          <a:off x="5019293" y="1745741"/>
          <a:ext cx="59690" cy="74930"/>
        </a:xfrm>
        <a:custGeom>
          <a:avLst/>
          <a:gdLst/>
          <a:ahLst/>
          <a:cxnLst/>
          <a:rect l="0" t="0" r="0" b="0"/>
          <a:pathLst>
            <a:path w="59690" h="74930">
              <a:moveTo>
                <a:pt x="59436" y="60960"/>
              </a:moveTo>
              <a:lnTo>
                <a:pt x="0" y="32004"/>
              </a:lnTo>
              <a:lnTo>
                <a:pt x="0" y="28956"/>
              </a:lnTo>
              <a:lnTo>
                <a:pt x="59436" y="0"/>
              </a:lnTo>
              <a:lnTo>
                <a:pt x="59436" y="6096"/>
              </a:lnTo>
              <a:lnTo>
                <a:pt x="9144" y="30480"/>
              </a:lnTo>
              <a:lnTo>
                <a:pt x="59436" y="54864"/>
              </a:lnTo>
              <a:lnTo>
                <a:pt x="59436" y="60960"/>
              </a:lnTo>
              <a:close/>
            </a:path>
            <a:path w="59690" h="74930">
              <a:moveTo>
                <a:pt x="59436" y="74676"/>
              </a:moveTo>
              <a:lnTo>
                <a:pt x="0" y="74676"/>
              </a:lnTo>
              <a:lnTo>
                <a:pt x="0" y="68580"/>
              </a:lnTo>
              <a:lnTo>
                <a:pt x="59436" y="68580"/>
              </a:lnTo>
              <a:lnTo>
                <a:pt x="59436" y="7467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669797</xdr:colOff>
      <xdr:row>22</xdr:row>
      <xdr:rowOff>254507</xdr:rowOff>
    </xdr:from>
    <xdr:ext cx="59690" cy="60960"/>
    <xdr:sp macro="" textlink="">
      <xdr:nvSpPr>
        <xdr:cNvPr id="53" name="Shape 21">
          <a:extLst>
            <a:ext uri="{FF2B5EF4-FFF2-40B4-BE49-F238E27FC236}">
              <a16:creationId xmlns:a16="http://schemas.microsoft.com/office/drawing/2014/main" id="{867D5985-D8BE-47DD-B281-F5F95E0AC87F}"/>
            </a:ext>
          </a:extLst>
        </xdr:cNvPr>
        <xdr:cNvSpPr/>
      </xdr:nvSpPr>
      <xdr:spPr>
        <a:xfrm>
          <a:off x="5165597" y="1759457"/>
          <a:ext cx="59690" cy="60960"/>
        </a:xfrm>
        <a:custGeom>
          <a:avLst/>
          <a:gdLst/>
          <a:ahLst/>
          <a:cxnLst/>
          <a:rect l="0" t="0" r="0" b="0"/>
          <a:pathLst>
            <a:path w="59690" h="60960">
              <a:moveTo>
                <a:pt x="59436" y="60959"/>
              </a:moveTo>
              <a:lnTo>
                <a:pt x="0" y="32003"/>
              </a:lnTo>
              <a:lnTo>
                <a:pt x="0" y="28955"/>
              </a:lnTo>
              <a:lnTo>
                <a:pt x="59436" y="0"/>
              </a:lnTo>
              <a:lnTo>
                <a:pt x="59436" y="6095"/>
              </a:lnTo>
              <a:lnTo>
                <a:pt x="10668" y="30479"/>
              </a:lnTo>
              <a:lnTo>
                <a:pt x="59436" y="54863"/>
              </a:lnTo>
              <a:lnTo>
                <a:pt x="59436" y="6095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439674</xdr:colOff>
      <xdr:row>22</xdr:row>
      <xdr:rowOff>559308</xdr:rowOff>
    </xdr:from>
    <xdr:ext cx="59690" cy="74930"/>
    <xdr:sp macro="" textlink="">
      <xdr:nvSpPr>
        <xdr:cNvPr id="54" name="Shape 22">
          <a:extLst>
            <a:ext uri="{FF2B5EF4-FFF2-40B4-BE49-F238E27FC236}">
              <a16:creationId xmlns:a16="http://schemas.microsoft.com/office/drawing/2014/main" id="{496BEB6C-2652-4862-81F9-5AB438F90B9A}"/>
            </a:ext>
          </a:extLst>
        </xdr:cNvPr>
        <xdr:cNvSpPr/>
      </xdr:nvSpPr>
      <xdr:spPr>
        <a:xfrm>
          <a:off x="4935474" y="2064258"/>
          <a:ext cx="59690" cy="74930"/>
        </a:xfrm>
        <a:custGeom>
          <a:avLst/>
          <a:gdLst/>
          <a:ahLst/>
          <a:cxnLst/>
          <a:rect l="0" t="0" r="0" b="0"/>
          <a:pathLst>
            <a:path w="59690" h="74930">
              <a:moveTo>
                <a:pt x="59436" y="60960"/>
              </a:moveTo>
              <a:lnTo>
                <a:pt x="0" y="32004"/>
              </a:lnTo>
              <a:lnTo>
                <a:pt x="0" y="28956"/>
              </a:lnTo>
              <a:lnTo>
                <a:pt x="59436" y="0"/>
              </a:lnTo>
              <a:lnTo>
                <a:pt x="59436" y="7620"/>
              </a:lnTo>
              <a:lnTo>
                <a:pt x="10668" y="30480"/>
              </a:lnTo>
              <a:lnTo>
                <a:pt x="59436" y="54864"/>
              </a:lnTo>
              <a:lnTo>
                <a:pt x="59436" y="60960"/>
              </a:lnTo>
              <a:close/>
            </a:path>
            <a:path w="59690" h="74930">
              <a:moveTo>
                <a:pt x="59436" y="74676"/>
              </a:moveTo>
              <a:lnTo>
                <a:pt x="0" y="74676"/>
              </a:lnTo>
              <a:lnTo>
                <a:pt x="0" y="68580"/>
              </a:lnTo>
              <a:lnTo>
                <a:pt x="59436" y="68580"/>
              </a:lnTo>
              <a:lnTo>
                <a:pt x="59436" y="7467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587502</xdr:colOff>
      <xdr:row>22</xdr:row>
      <xdr:rowOff>573024</xdr:rowOff>
    </xdr:from>
    <xdr:ext cx="59690" cy="60960"/>
    <xdr:sp macro="" textlink="">
      <xdr:nvSpPr>
        <xdr:cNvPr id="55" name="Shape 23">
          <a:extLst>
            <a:ext uri="{FF2B5EF4-FFF2-40B4-BE49-F238E27FC236}">
              <a16:creationId xmlns:a16="http://schemas.microsoft.com/office/drawing/2014/main" id="{AE2AA010-1736-4038-B0CC-C7CA00D2576E}"/>
            </a:ext>
          </a:extLst>
        </xdr:cNvPr>
        <xdr:cNvSpPr/>
      </xdr:nvSpPr>
      <xdr:spPr>
        <a:xfrm>
          <a:off x="5083302" y="2077974"/>
          <a:ext cx="59690" cy="60960"/>
        </a:xfrm>
        <a:custGeom>
          <a:avLst/>
          <a:gdLst/>
          <a:ahLst/>
          <a:cxnLst/>
          <a:rect l="0" t="0" r="0" b="0"/>
          <a:pathLst>
            <a:path w="59690" h="60960">
              <a:moveTo>
                <a:pt x="59436" y="60959"/>
              </a:moveTo>
              <a:lnTo>
                <a:pt x="0" y="32003"/>
              </a:lnTo>
              <a:lnTo>
                <a:pt x="0" y="28955"/>
              </a:lnTo>
              <a:lnTo>
                <a:pt x="59436" y="0"/>
              </a:lnTo>
              <a:lnTo>
                <a:pt x="59436" y="7619"/>
              </a:lnTo>
              <a:lnTo>
                <a:pt x="10668" y="30479"/>
              </a:lnTo>
              <a:lnTo>
                <a:pt x="59436" y="54863"/>
              </a:lnTo>
              <a:lnTo>
                <a:pt x="59436" y="6095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461010</xdr:colOff>
      <xdr:row>23</xdr:row>
      <xdr:rowOff>164211</xdr:rowOff>
    </xdr:from>
    <xdr:ext cx="795527" cy="647700"/>
    <xdr:pic>
      <xdr:nvPicPr>
        <xdr:cNvPr id="56" name="image19.png">
          <a:extLst>
            <a:ext uri="{FF2B5EF4-FFF2-40B4-BE49-F238E27FC236}">
              <a16:creationId xmlns:a16="http://schemas.microsoft.com/office/drawing/2014/main" id="{14CBE90D-1750-4063-986E-9B22BD88A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" y="17309211"/>
          <a:ext cx="795527" cy="647700"/>
        </a:xfrm>
        <a:prstGeom prst="rect">
          <a:avLst/>
        </a:prstGeom>
      </xdr:spPr>
    </xdr:pic>
    <xdr:clientData/>
  </xdr:oneCellAnchor>
  <xdr:oneCellAnchor>
    <xdr:from>
      <xdr:col>3</xdr:col>
      <xdr:colOff>489965</xdr:colOff>
      <xdr:row>23</xdr:row>
      <xdr:rowOff>240791</xdr:rowOff>
    </xdr:from>
    <xdr:ext cx="59690" cy="74930"/>
    <xdr:sp macro="" textlink="">
      <xdr:nvSpPr>
        <xdr:cNvPr id="57" name="Shape 25">
          <a:extLst>
            <a:ext uri="{FF2B5EF4-FFF2-40B4-BE49-F238E27FC236}">
              <a16:creationId xmlns:a16="http://schemas.microsoft.com/office/drawing/2014/main" id="{65A9B711-C63E-4887-8AA1-4048F1209E13}"/>
            </a:ext>
          </a:extLst>
        </xdr:cNvPr>
        <xdr:cNvSpPr/>
      </xdr:nvSpPr>
      <xdr:spPr>
        <a:xfrm>
          <a:off x="4985765" y="2583941"/>
          <a:ext cx="59690" cy="74930"/>
        </a:xfrm>
        <a:custGeom>
          <a:avLst/>
          <a:gdLst/>
          <a:ahLst/>
          <a:cxnLst/>
          <a:rect l="0" t="0" r="0" b="0"/>
          <a:pathLst>
            <a:path w="59690" h="74930">
              <a:moveTo>
                <a:pt x="59436" y="60960"/>
              </a:moveTo>
              <a:lnTo>
                <a:pt x="0" y="32004"/>
              </a:lnTo>
              <a:lnTo>
                <a:pt x="0" y="28956"/>
              </a:lnTo>
              <a:lnTo>
                <a:pt x="59436" y="0"/>
              </a:lnTo>
              <a:lnTo>
                <a:pt x="59436" y="6096"/>
              </a:lnTo>
              <a:lnTo>
                <a:pt x="10668" y="30480"/>
              </a:lnTo>
              <a:lnTo>
                <a:pt x="59436" y="53340"/>
              </a:lnTo>
              <a:lnTo>
                <a:pt x="59436" y="60960"/>
              </a:lnTo>
              <a:close/>
            </a:path>
            <a:path w="59690" h="74930">
              <a:moveTo>
                <a:pt x="59436" y="74676"/>
              </a:moveTo>
              <a:lnTo>
                <a:pt x="0" y="74676"/>
              </a:lnTo>
              <a:lnTo>
                <a:pt x="0" y="68580"/>
              </a:lnTo>
              <a:lnTo>
                <a:pt x="59436" y="68580"/>
              </a:lnTo>
              <a:lnTo>
                <a:pt x="59436" y="7467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637793</xdr:colOff>
      <xdr:row>23</xdr:row>
      <xdr:rowOff>254507</xdr:rowOff>
    </xdr:from>
    <xdr:ext cx="59690" cy="6096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7DFD75F9-757C-4B56-8DF2-DC8A47F071B9}"/>
            </a:ext>
          </a:extLst>
        </xdr:cNvPr>
        <xdr:cNvSpPr/>
      </xdr:nvSpPr>
      <xdr:spPr>
        <a:xfrm>
          <a:off x="5133593" y="2597657"/>
          <a:ext cx="59690" cy="60960"/>
        </a:xfrm>
        <a:custGeom>
          <a:avLst/>
          <a:gdLst/>
          <a:ahLst/>
          <a:cxnLst/>
          <a:rect l="0" t="0" r="0" b="0"/>
          <a:pathLst>
            <a:path w="59690" h="60960">
              <a:moveTo>
                <a:pt x="59436" y="60959"/>
              </a:moveTo>
              <a:lnTo>
                <a:pt x="0" y="32003"/>
              </a:lnTo>
              <a:lnTo>
                <a:pt x="0" y="28955"/>
              </a:lnTo>
              <a:lnTo>
                <a:pt x="59436" y="0"/>
              </a:lnTo>
              <a:lnTo>
                <a:pt x="59436" y="6095"/>
              </a:lnTo>
              <a:lnTo>
                <a:pt x="10668" y="30479"/>
              </a:lnTo>
              <a:lnTo>
                <a:pt x="59436" y="53339"/>
              </a:lnTo>
              <a:lnTo>
                <a:pt x="59436" y="6095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473202</xdr:colOff>
      <xdr:row>23</xdr:row>
      <xdr:rowOff>559308</xdr:rowOff>
    </xdr:from>
    <xdr:ext cx="59690" cy="74930"/>
    <xdr:sp macro="" textlink="">
      <xdr:nvSpPr>
        <xdr:cNvPr id="59" name="Shape 27">
          <a:extLst>
            <a:ext uri="{FF2B5EF4-FFF2-40B4-BE49-F238E27FC236}">
              <a16:creationId xmlns:a16="http://schemas.microsoft.com/office/drawing/2014/main" id="{64878FB9-3CB0-42DE-923E-3FD07BE24457}"/>
            </a:ext>
          </a:extLst>
        </xdr:cNvPr>
        <xdr:cNvSpPr/>
      </xdr:nvSpPr>
      <xdr:spPr>
        <a:xfrm>
          <a:off x="4969002" y="2902458"/>
          <a:ext cx="59690" cy="74930"/>
        </a:xfrm>
        <a:custGeom>
          <a:avLst/>
          <a:gdLst/>
          <a:ahLst/>
          <a:cxnLst/>
          <a:rect l="0" t="0" r="0" b="0"/>
          <a:pathLst>
            <a:path w="59690" h="74930">
              <a:moveTo>
                <a:pt x="59436" y="60960"/>
              </a:moveTo>
              <a:lnTo>
                <a:pt x="0" y="32004"/>
              </a:lnTo>
              <a:lnTo>
                <a:pt x="0" y="28956"/>
              </a:lnTo>
              <a:lnTo>
                <a:pt x="59436" y="0"/>
              </a:lnTo>
              <a:lnTo>
                <a:pt x="59436" y="6096"/>
              </a:lnTo>
              <a:lnTo>
                <a:pt x="9144" y="30480"/>
              </a:lnTo>
              <a:lnTo>
                <a:pt x="59436" y="54864"/>
              </a:lnTo>
              <a:lnTo>
                <a:pt x="59436" y="60960"/>
              </a:lnTo>
              <a:close/>
            </a:path>
            <a:path w="59690" h="74930">
              <a:moveTo>
                <a:pt x="59436" y="74676"/>
              </a:moveTo>
              <a:lnTo>
                <a:pt x="0" y="74676"/>
              </a:lnTo>
              <a:lnTo>
                <a:pt x="0" y="68580"/>
              </a:lnTo>
              <a:lnTo>
                <a:pt x="59436" y="68580"/>
              </a:lnTo>
              <a:lnTo>
                <a:pt x="59436" y="7467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621029</xdr:colOff>
      <xdr:row>23</xdr:row>
      <xdr:rowOff>573024</xdr:rowOff>
    </xdr:from>
    <xdr:ext cx="59690" cy="60960"/>
    <xdr:sp macro="" textlink="">
      <xdr:nvSpPr>
        <xdr:cNvPr id="60" name="Shape 28">
          <a:extLst>
            <a:ext uri="{FF2B5EF4-FFF2-40B4-BE49-F238E27FC236}">
              <a16:creationId xmlns:a16="http://schemas.microsoft.com/office/drawing/2014/main" id="{6394087D-0FCC-41F0-ABF4-A769534EACFF}"/>
            </a:ext>
          </a:extLst>
        </xdr:cNvPr>
        <xdr:cNvSpPr/>
      </xdr:nvSpPr>
      <xdr:spPr>
        <a:xfrm>
          <a:off x="5116829" y="2916174"/>
          <a:ext cx="59690" cy="60960"/>
        </a:xfrm>
        <a:custGeom>
          <a:avLst/>
          <a:gdLst/>
          <a:ahLst/>
          <a:cxnLst/>
          <a:rect l="0" t="0" r="0" b="0"/>
          <a:pathLst>
            <a:path w="59690" h="60960">
              <a:moveTo>
                <a:pt x="59436" y="60959"/>
              </a:moveTo>
              <a:lnTo>
                <a:pt x="0" y="32003"/>
              </a:lnTo>
              <a:lnTo>
                <a:pt x="0" y="28955"/>
              </a:lnTo>
              <a:lnTo>
                <a:pt x="59436" y="0"/>
              </a:lnTo>
              <a:lnTo>
                <a:pt x="59436" y="6095"/>
              </a:lnTo>
              <a:lnTo>
                <a:pt x="9144" y="30479"/>
              </a:lnTo>
              <a:lnTo>
                <a:pt x="59436" y="54863"/>
              </a:lnTo>
              <a:lnTo>
                <a:pt x="59436" y="6095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449579</xdr:colOff>
      <xdr:row>24</xdr:row>
      <xdr:rowOff>155448</xdr:rowOff>
    </xdr:from>
    <xdr:ext cx="781812" cy="638555"/>
    <xdr:pic>
      <xdr:nvPicPr>
        <xdr:cNvPr id="61" name="image20.png">
          <a:extLst>
            <a:ext uri="{FF2B5EF4-FFF2-40B4-BE49-F238E27FC236}">
              <a16:creationId xmlns:a16="http://schemas.microsoft.com/office/drawing/2014/main" id="{9C706092-D738-464D-984A-12147FEA9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79" y="18205323"/>
          <a:ext cx="781812" cy="638555"/>
        </a:xfrm>
        <a:prstGeom prst="rect">
          <a:avLst/>
        </a:prstGeom>
      </xdr:spPr>
    </xdr:pic>
    <xdr:clientData/>
  </xdr:oneCellAnchor>
  <xdr:oneCellAnchor>
    <xdr:from>
      <xdr:col>0</xdr:col>
      <xdr:colOff>210973</xdr:colOff>
      <xdr:row>25</xdr:row>
      <xdr:rowOff>215513</xdr:rowOff>
    </xdr:from>
    <xdr:ext cx="1275588" cy="580644"/>
    <xdr:pic>
      <xdr:nvPicPr>
        <xdr:cNvPr id="62" name="image21.png">
          <a:extLst>
            <a:ext uri="{FF2B5EF4-FFF2-40B4-BE49-F238E27FC236}">
              <a16:creationId xmlns:a16="http://schemas.microsoft.com/office/drawing/2014/main" id="{E0A6D525-EF44-40A4-B7E6-EB19F384F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973" y="20458209"/>
          <a:ext cx="1275588" cy="580644"/>
        </a:xfrm>
        <a:prstGeom prst="rect">
          <a:avLst/>
        </a:prstGeom>
      </xdr:spPr>
    </xdr:pic>
    <xdr:clientData/>
  </xdr:oneCellAnchor>
  <xdr:oneCellAnchor>
    <xdr:from>
      <xdr:col>3</xdr:col>
      <xdr:colOff>489965</xdr:colOff>
      <xdr:row>25</xdr:row>
      <xdr:rowOff>185165</xdr:rowOff>
    </xdr:from>
    <xdr:ext cx="59690" cy="74930"/>
    <xdr:sp macro="" textlink="">
      <xdr:nvSpPr>
        <xdr:cNvPr id="63" name="Shape 31">
          <a:extLst>
            <a:ext uri="{FF2B5EF4-FFF2-40B4-BE49-F238E27FC236}">
              <a16:creationId xmlns:a16="http://schemas.microsoft.com/office/drawing/2014/main" id="{A92CAB59-C0B2-46F6-AA3F-52D29067D157}"/>
            </a:ext>
          </a:extLst>
        </xdr:cNvPr>
        <xdr:cNvSpPr/>
      </xdr:nvSpPr>
      <xdr:spPr>
        <a:xfrm>
          <a:off x="4985765" y="4204715"/>
          <a:ext cx="59690" cy="74930"/>
        </a:xfrm>
        <a:custGeom>
          <a:avLst/>
          <a:gdLst/>
          <a:ahLst/>
          <a:cxnLst/>
          <a:rect l="0" t="0" r="0" b="0"/>
          <a:pathLst>
            <a:path w="59690" h="74930">
              <a:moveTo>
                <a:pt x="59436" y="60960"/>
              </a:moveTo>
              <a:lnTo>
                <a:pt x="0" y="32004"/>
              </a:lnTo>
              <a:lnTo>
                <a:pt x="0" y="28956"/>
              </a:lnTo>
              <a:lnTo>
                <a:pt x="59436" y="0"/>
              </a:lnTo>
              <a:lnTo>
                <a:pt x="59436" y="7620"/>
              </a:lnTo>
              <a:lnTo>
                <a:pt x="10668" y="30480"/>
              </a:lnTo>
              <a:lnTo>
                <a:pt x="59436" y="54864"/>
              </a:lnTo>
              <a:lnTo>
                <a:pt x="59436" y="60960"/>
              </a:lnTo>
              <a:close/>
            </a:path>
            <a:path w="59690" h="74930">
              <a:moveTo>
                <a:pt x="59436" y="74676"/>
              </a:moveTo>
              <a:lnTo>
                <a:pt x="0" y="74676"/>
              </a:lnTo>
              <a:lnTo>
                <a:pt x="0" y="68580"/>
              </a:lnTo>
              <a:lnTo>
                <a:pt x="59436" y="68580"/>
              </a:lnTo>
              <a:lnTo>
                <a:pt x="59436" y="7467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637793</xdr:colOff>
      <xdr:row>25</xdr:row>
      <xdr:rowOff>198881</xdr:rowOff>
    </xdr:from>
    <xdr:ext cx="59690" cy="60960"/>
    <xdr:sp macro="" textlink="">
      <xdr:nvSpPr>
        <xdr:cNvPr id="64" name="Shape 32">
          <a:extLst>
            <a:ext uri="{FF2B5EF4-FFF2-40B4-BE49-F238E27FC236}">
              <a16:creationId xmlns:a16="http://schemas.microsoft.com/office/drawing/2014/main" id="{D53C025C-0576-48FB-83FC-43EB03CE3F6D}"/>
            </a:ext>
          </a:extLst>
        </xdr:cNvPr>
        <xdr:cNvSpPr/>
      </xdr:nvSpPr>
      <xdr:spPr>
        <a:xfrm>
          <a:off x="5133593" y="4218431"/>
          <a:ext cx="59690" cy="60960"/>
        </a:xfrm>
        <a:custGeom>
          <a:avLst/>
          <a:gdLst/>
          <a:ahLst/>
          <a:cxnLst/>
          <a:rect l="0" t="0" r="0" b="0"/>
          <a:pathLst>
            <a:path w="59690" h="60960">
              <a:moveTo>
                <a:pt x="59436" y="60959"/>
              </a:moveTo>
              <a:lnTo>
                <a:pt x="0" y="32003"/>
              </a:lnTo>
              <a:lnTo>
                <a:pt x="0" y="30479"/>
              </a:lnTo>
              <a:lnTo>
                <a:pt x="59436" y="0"/>
              </a:lnTo>
              <a:lnTo>
                <a:pt x="59436" y="7619"/>
              </a:lnTo>
              <a:lnTo>
                <a:pt x="10668" y="30479"/>
              </a:lnTo>
              <a:lnTo>
                <a:pt x="59436" y="54863"/>
              </a:lnTo>
              <a:lnTo>
                <a:pt x="59436" y="6095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473202</xdr:colOff>
      <xdr:row>25</xdr:row>
      <xdr:rowOff>505205</xdr:rowOff>
    </xdr:from>
    <xdr:ext cx="59690" cy="74930"/>
    <xdr:sp macro="" textlink="">
      <xdr:nvSpPr>
        <xdr:cNvPr id="65" name="Shape 33">
          <a:extLst>
            <a:ext uri="{FF2B5EF4-FFF2-40B4-BE49-F238E27FC236}">
              <a16:creationId xmlns:a16="http://schemas.microsoft.com/office/drawing/2014/main" id="{3D285782-C59B-45FE-81D9-7F9E12293ABE}"/>
            </a:ext>
          </a:extLst>
        </xdr:cNvPr>
        <xdr:cNvSpPr/>
      </xdr:nvSpPr>
      <xdr:spPr>
        <a:xfrm>
          <a:off x="4969002" y="4524755"/>
          <a:ext cx="59690" cy="74930"/>
        </a:xfrm>
        <a:custGeom>
          <a:avLst/>
          <a:gdLst/>
          <a:ahLst/>
          <a:cxnLst/>
          <a:rect l="0" t="0" r="0" b="0"/>
          <a:pathLst>
            <a:path w="59690" h="74930">
              <a:moveTo>
                <a:pt x="59436" y="60960"/>
              </a:moveTo>
              <a:lnTo>
                <a:pt x="0" y="32004"/>
              </a:lnTo>
              <a:lnTo>
                <a:pt x="0" y="28956"/>
              </a:lnTo>
              <a:lnTo>
                <a:pt x="59436" y="0"/>
              </a:lnTo>
              <a:lnTo>
                <a:pt x="59436" y="6096"/>
              </a:lnTo>
              <a:lnTo>
                <a:pt x="9144" y="30480"/>
              </a:lnTo>
              <a:lnTo>
                <a:pt x="59436" y="53340"/>
              </a:lnTo>
              <a:lnTo>
                <a:pt x="59436" y="60960"/>
              </a:lnTo>
              <a:close/>
            </a:path>
            <a:path w="59690" h="74930">
              <a:moveTo>
                <a:pt x="59436" y="74676"/>
              </a:moveTo>
              <a:lnTo>
                <a:pt x="0" y="74676"/>
              </a:lnTo>
              <a:lnTo>
                <a:pt x="0" y="68580"/>
              </a:lnTo>
              <a:lnTo>
                <a:pt x="59436" y="68580"/>
              </a:lnTo>
              <a:lnTo>
                <a:pt x="59436" y="7467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621029</xdr:colOff>
      <xdr:row>25</xdr:row>
      <xdr:rowOff>518921</xdr:rowOff>
    </xdr:from>
    <xdr:ext cx="59690" cy="60960"/>
    <xdr:sp macro="" textlink="">
      <xdr:nvSpPr>
        <xdr:cNvPr id="66" name="Shape 34">
          <a:extLst>
            <a:ext uri="{FF2B5EF4-FFF2-40B4-BE49-F238E27FC236}">
              <a16:creationId xmlns:a16="http://schemas.microsoft.com/office/drawing/2014/main" id="{4CFC1B56-600C-4481-B499-4F0A21C4D974}"/>
            </a:ext>
          </a:extLst>
        </xdr:cNvPr>
        <xdr:cNvSpPr/>
      </xdr:nvSpPr>
      <xdr:spPr>
        <a:xfrm>
          <a:off x="5116829" y="4538471"/>
          <a:ext cx="59690" cy="60960"/>
        </a:xfrm>
        <a:custGeom>
          <a:avLst/>
          <a:gdLst/>
          <a:ahLst/>
          <a:cxnLst/>
          <a:rect l="0" t="0" r="0" b="0"/>
          <a:pathLst>
            <a:path w="59690" h="60960">
              <a:moveTo>
                <a:pt x="59436" y="60959"/>
              </a:moveTo>
              <a:lnTo>
                <a:pt x="0" y="32003"/>
              </a:lnTo>
              <a:lnTo>
                <a:pt x="0" y="28955"/>
              </a:lnTo>
              <a:lnTo>
                <a:pt x="59436" y="0"/>
              </a:lnTo>
              <a:lnTo>
                <a:pt x="59436" y="6095"/>
              </a:lnTo>
              <a:lnTo>
                <a:pt x="9144" y="30479"/>
              </a:lnTo>
              <a:lnTo>
                <a:pt x="59436" y="53339"/>
              </a:lnTo>
              <a:lnTo>
                <a:pt x="59436" y="6095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156971</xdr:colOff>
      <xdr:row>26</xdr:row>
      <xdr:rowOff>140970</xdr:rowOff>
    </xdr:from>
    <xdr:ext cx="1365504" cy="608076"/>
    <xdr:pic>
      <xdr:nvPicPr>
        <xdr:cNvPr id="67" name="image22.png">
          <a:extLst>
            <a:ext uri="{FF2B5EF4-FFF2-40B4-BE49-F238E27FC236}">
              <a16:creationId xmlns:a16="http://schemas.microsoft.com/office/drawing/2014/main" id="{E16499B0-9FB0-4020-995D-CE01B71F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971" y="4941570"/>
          <a:ext cx="1365504" cy="608076"/>
        </a:xfrm>
        <a:prstGeom prst="rect">
          <a:avLst/>
        </a:prstGeom>
      </xdr:spPr>
    </xdr:pic>
    <xdr:clientData/>
  </xdr:oneCellAnchor>
  <xdr:oneCellAnchor>
    <xdr:from>
      <xdr:col>0</xdr:col>
      <xdr:colOff>169163</xdr:colOff>
      <xdr:row>27</xdr:row>
      <xdr:rowOff>142494</xdr:rowOff>
    </xdr:from>
    <xdr:ext cx="1342644" cy="591311"/>
    <xdr:pic>
      <xdr:nvPicPr>
        <xdr:cNvPr id="68" name="image23.png">
          <a:extLst>
            <a:ext uri="{FF2B5EF4-FFF2-40B4-BE49-F238E27FC236}">
              <a16:creationId xmlns:a16="http://schemas.microsoft.com/office/drawing/2014/main" id="{595BBD39-0670-4454-80CF-AF33D8476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163" y="5771769"/>
          <a:ext cx="1342644" cy="591311"/>
        </a:xfrm>
        <a:prstGeom prst="rect">
          <a:avLst/>
        </a:prstGeom>
      </xdr:spPr>
    </xdr:pic>
    <xdr:clientData/>
  </xdr:oneCellAnchor>
  <xdr:oneCellAnchor>
    <xdr:from>
      <xdr:col>3</xdr:col>
      <xdr:colOff>523493</xdr:colOff>
      <xdr:row>27</xdr:row>
      <xdr:rowOff>323849</xdr:rowOff>
    </xdr:from>
    <xdr:ext cx="59690" cy="74930"/>
    <xdr:sp macro="" textlink="">
      <xdr:nvSpPr>
        <xdr:cNvPr id="69" name="Shape 37">
          <a:extLst>
            <a:ext uri="{FF2B5EF4-FFF2-40B4-BE49-F238E27FC236}">
              <a16:creationId xmlns:a16="http://schemas.microsoft.com/office/drawing/2014/main" id="{E8CD61D3-1730-4577-93CA-85B02028FFC3}"/>
            </a:ext>
          </a:extLst>
        </xdr:cNvPr>
        <xdr:cNvSpPr/>
      </xdr:nvSpPr>
      <xdr:spPr>
        <a:xfrm>
          <a:off x="5019293" y="5953124"/>
          <a:ext cx="59690" cy="74930"/>
        </a:xfrm>
        <a:custGeom>
          <a:avLst/>
          <a:gdLst/>
          <a:ahLst/>
          <a:cxnLst/>
          <a:rect l="0" t="0" r="0" b="0"/>
          <a:pathLst>
            <a:path w="59690" h="74930">
              <a:moveTo>
                <a:pt x="59436" y="60960"/>
              </a:moveTo>
              <a:lnTo>
                <a:pt x="0" y="32004"/>
              </a:lnTo>
              <a:lnTo>
                <a:pt x="0" y="28956"/>
              </a:lnTo>
              <a:lnTo>
                <a:pt x="59436" y="0"/>
              </a:lnTo>
              <a:lnTo>
                <a:pt x="59436" y="6096"/>
              </a:lnTo>
              <a:lnTo>
                <a:pt x="9144" y="30480"/>
              </a:lnTo>
              <a:lnTo>
                <a:pt x="59436" y="54864"/>
              </a:lnTo>
              <a:lnTo>
                <a:pt x="59436" y="60960"/>
              </a:lnTo>
              <a:close/>
            </a:path>
            <a:path w="59690" h="74930">
              <a:moveTo>
                <a:pt x="59436" y="74676"/>
              </a:moveTo>
              <a:lnTo>
                <a:pt x="0" y="74676"/>
              </a:lnTo>
              <a:lnTo>
                <a:pt x="0" y="68580"/>
              </a:lnTo>
              <a:lnTo>
                <a:pt x="59436" y="68580"/>
              </a:lnTo>
              <a:lnTo>
                <a:pt x="59436" y="7467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669797</xdr:colOff>
      <xdr:row>27</xdr:row>
      <xdr:rowOff>337565</xdr:rowOff>
    </xdr:from>
    <xdr:ext cx="59690" cy="60960"/>
    <xdr:sp macro="" textlink="">
      <xdr:nvSpPr>
        <xdr:cNvPr id="70" name="Shape 38">
          <a:extLst>
            <a:ext uri="{FF2B5EF4-FFF2-40B4-BE49-F238E27FC236}">
              <a16:creationId xmlns:a16="http://schemas.microsoft.com/office/drawing/2014/main" id="{400EAB56-A42B-423A-9B29-11E625353694}"/>
            </a:ext>
          </a:extLst>
        </xdr:cNvPr>
        <xdr:cNvSpPr/>
      </xdr:nvSpPr>
      <xdr:spPr>
        <a:xfrm>
          <a:off x="5165597" y="5966840"/>
          <a:ext cx="59690" cy="60960"/>
        </a:xfrm>
        <a:custGeom>
          <a:avLst/>
          <a:gdLst/>
          <a:ahLst/>
          <a:cxnLst/>
          <a:rect l="0" t="0" r="0" b="0"/>
          <a:pathLst>
            <a:path w="59690" h="60960">
              <a:moveTo>
                <a:pt x="59436" y="60959"/>
              </a:moveTo>
              <a:lnTo>
                <a:pt x="0" y="32003"/>
              </a:lnTo>
              <a:lnTo>
                <a:pt x="0" y="28955"/>
              </a:lnTo>
              <a:lnTo>
                <a:pt x="59436" y="0"/>
              </a:lnTo>
              <a:lnTo>
                <a:pt x="59436" y="6095"/>
              </a:lnTo>
              <a:lnTo>
                <a:pt x="10668" y="30479"/>
              </a:lnTo>
              <a:lnTo>
                <a:pt x="59436" y="53339"/>
              </a:lnTo>
              <a:lnTo>
                <a:pt x="59436" y="6095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439674</xdr:colOff>
      <xdr:row>27</xdr:row>
      <xdr:rowOff>642365</xdr:rowOff>
    </xdr:from>
    <xdr:ext cx="59690" cy="74930"/>
    <xdr:sp macro="" textlink="">
      <xdr:nvSpPr>
        <xdr:cNvPr id="71" name="Shape 39">
          <a:extLst>
            <a:ext uri="{FF2B5EF4-FFF2-40B4-BE49-F238E27FC236}">
              <a16:creationId xmlns:a16="http://schemas.microsoft.com/office/drawing/2014/main" id="{18F04F89-1935-47B3-9FEF-CBDE784CFC50}"/>
            </a:ext>
          </a:extLst>
        </xdr:cNvPr>
        <xdr:cNvSpPr/>
      </xdr:nvSpPr>
      <xdr:spPr>
        <a:xfrm>
          <a:off x="4935474" y="6271640"/>
          <a:ext cx="59690" cy="74930"/>
        </a:xfrm>
        <a:custGeom>
          <a:avLst/>
          <a:gdLst/>
          <a:ahLst/>
          <a:cxnLst/>
          <a:rect l="0" t="0" r="0" b="0"/>
          <a:pathLst>
            <a:path w="59690" h="74930">
              <a:moveTo>
                <a:pt x="59436" y="60960"/>
              </a:moveTo>
              <a:lnTo>
                <a:pt x="0" y="32004"/>
              </a:lnTo>
              <a:lnTo>
                <a:pt x="0" y="28956"/>
              </a:lnTo>
              <a:lnTo>
                <a:pt x="59436" y="0"/>
              </a:lnTo>
              <a:lnTo>
                <a:pt x="59436" y="6096"/>
              </a:lnTo>
              <a:lnTo>
                <a:pt x="10668" y="30480"/>
              </a:lnTo>
              <a:lnTo>
                <a:pt x="59436" y="54864"/>
              </a:lnTo>
              <a:lnTo>
                <a:pt x="59436" y="60960"/>
              </a:lnTo>
              <a:close/>
            </a:path>
            <a:path w="59690" h="74930">
              <a:moveTo>
                <a:pt x="59436" y="74676"/>
              </a:moveTo>
              <a:lnTo>
                <a:pt x="0" y="74676"/>
              </a:lnTo>
              <a:lnTo>
                <a:pt x="0" y="68580"/>
              </a:lnTo>
              <a:lnTo>
                <a:pt x="59436" y="68580"/>
              </a:lnTo>
              <a:lnTo>
                <a:pt x="59436" y="7467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587502</xdr:colOff>
      <xdr:row>27</xdr:row>
      <xdr:rowOff>656081</xdr:rowOff>
    </xdr:from>
    <xdr:ext cx="59690" cy="60960"/>
    <xdr:sp macro="" textlink="">
      <xdr:nvSpPr>
        <xdr:cNvPr id="72" name="Shape 40">
          <a:extLst>
            <a:ext uri="{FF2B5EF4-FFF2-40B4-BE49-F238E27FC236}">
              <a16:creationId xmlns:a16="http://schemas.microsoft.com/office/drawing/2014/main" id="{E88D623C-44D2-495A-85D9-75D63D36C166}"/>
            </a:ext>
          </a:extLst>
        </xdr:cNvPr>
        <xdr:cNvSpPr/>
      </xdr:nvSpPr>
      <xdr:spPr>
        <a:xfrm>
          <a:off x="5083302" y="6285356"/>
          <a:ext cx="59690" cy="60960"/>
        </a:xfrm>
        <a:custGeom>
          <a:avLst/>
          <a:gdLst/>
          <a:ahLst/>
          <a:cxnLst/>
          <a:rect l="0" t="0" r="0" b="0"/>
          <a:pathLst>
            <a:path w="59690" h="60960">
              <a:moveTo>
                <a:pt x="59436" y="60959"/>
              </a:moveTo>
              <a:lnTo>
                <a:pt x="0" y="32003"/>
              </a:lnTo>
              <a:lnTo>
                <a:pt x="0" y="28955"/>
              </a:lnTo>
              <a:lnTo>
                <a:pt x="59436" y="0"/>
              </a:lnTo>
              <a:lnTo>
                <a:pt x="59436" y="6095"/>
              </a:lnTo>
              <a:lnTo>
                <a:pt x="10668" y="30479"/>
              </a:lnTo>
              <a:lnTo>
                <a:pt x="59436" y="54863"/>
              </a:lnTo>
              <a:lnTo>
                <a:pt x="59436" y="6095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188976</xdr:colOff>
      <xdr:row>28</xdr:row>
      <xdr:rowOff>142493</xdr:rowOff>
    </xdr:from>
    <xdr:ext cx="1303019" cy="585215"/>
    <xdr:pic>
      <xdr:nvPicPr>
        <xdr:cNvPr id="73" name="image24.png">
          <a:extLst>
            <a:ext uri="{FF2B5EF4-FFF2-40B4-BE49-F238E27FC236}">
              <a16:creationId xmlns:a16="http://schemas.microsoft.com/office/drawing/2014/main" id="{37B43DBE-7D32-4C77-9805-908F56E8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976" y="6686168"/>
          <a:ext cx="1303019" cy="585215"/>
        </a:xfrm>
        <a:prstGeom prst="rect">
          <a:avLst/>
        </a:prstGeom>
      </xdr:spPr>
    </xdr:pic>
    <xdr:clientData/>
  </xdr:oneCellAnchor>
  <xdr:oneCellAnchor>
    <xdr:from>
      <xdr:col>0</xdr:col>
      <xdr:colOff>260603</xdr:colOff>
      <xdr:row>29</xdr:row>
      <xdr:rowOff>201549</xdr:rowOff>
    </xdr:from>
    <xdr:ext cx="1158240" cy="687323"/>
    <xdr:pic>
      <xdr:nvPicPr>
        <xdr:cNvPr id="74" name="image25.png">
          <a:extLst>
            <a:ext uri="{FF2B5EF4-FFF2-40B4-BE49-F238E27FC236}">
              <a16:creationId xmlns:a16="http://schemas.microsoft.com/office/drawing/2014/main" id="{123702F9-D3C8-443B-88AE-25EF57172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603" y="22623399"/>
          <a:ext cx="1158240" cy="687323"/>
        </a:xfrm>
        <a:prstGeom prst="rect">
          <a:avLst/>
        </a:prstGeom>
      </xdr:spPr>
    </xdr:pic>
    <xdr:clientData/>
  </xdr:oneCellAnchor>
  <xdr:oneCellAnchor>
    <xdr:from>
      <xdr:col>3</xdr:col>
      <xdr:colOff>523493</xdr:colOff>
      <xdr:row>29</xdr:row>
      <xdr:rowOff>186689</xdr:rowOff>
    </xdr:from>
    <xdr:ext cx="59690" cy="74930"/>
    <xdr:sp macro="" textlink="">
      <xdr:nvSpPr>
        <xdr:cNvPr id="75" name="Shape 43">
          <a:extLst>
            <a:ext uri="{FF2B5EF4-FFF2-40B4-BE49-F238E27FC236}">
              <a16:creationId xmlns:a16="http://schemas.microsoft.com/office/drawing/2014/main" id="{239FD08C-48A8-4D70-BA5B-4835E48A82F9}"/>
            </a:ext>
          </a:extLst>
        </xdr:cNvPr>
        <xdr:cNvSpPr/>
      </xdr:nvSpPr>
      <xdr:spPr>
        <a:xfrm>
          <a:off x="5019293" y="996314"/>
          <a:ext cx="59690" cy="74930"/>
        </a:xfrm>
        <a:custGeom>
          <a:avLst/>
          <a:gdLst/>
          <a:ahLst/>
          <a:cxnLst/>
          <a:rect l="0" t="0" r="0" b="0"/>
          <a:pathLst>
            <a:path w="59690" h="74930">
              <a:moveTo>
                <a:pt x="59436" y="60960"/>
              </a:moveTo>
              <a:lnTo>
                <a:pt x="0" y="32004"/>
              </a:lnTo>
              <a:lnTo>
                <a:pt x="0" y="28956"/>
              </a:lnTo>
              <a:lnTo>
                <a:pt x="59436" y="0"/>
              </a:lnTo>
              <a:lnTo>
                <a:pt x="59436" y="6096"/>
              </a:lnTo>
              <a:lnTo>
                <a:pt x="9144" y="30480"/>
              </a:lnTo>
              <a:lnTo>
                <a:pt x="59436" y="53340"/>
              </a:lnTo>
              <a:lnTo>
                <a:pt x="59436" y="60960"/>
              </a:lnTo>
              <a:close/>
            </a:path>
            <a:path w="59690" h="74930">
              <a:moveTo>
                <a:pt x="59436" y="74676"/>
              </a:moveTo>
              <a:lnTo>
                <a:pt x="0" y="74676"/>
              </a:lnTo>
              <a:lnTo>
                <a:pt x="0" y="68580"/>
              </a:lnTo>
              <a:lnTo>
                <a:pt x="59436" y="68580"/>
              </a:lnTo>
              <a:lnTo>
                <a:pt x="59436" y="7467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669797</xdr:colOff>
      <xdr:row>29</xdr:row>
      <xdr:rowOff>200406</xdr:rowOff>
    </xdr:from>
    <xdr:ext cx="59690" cy="60960"/>
    <xdr:sp macro="" textlink="">
      <xdr:nvSpPr>
        <xdr:cNvPr id="76" name="Shape 44">
          <a:extLst>
            <a:ext uri="{FF2B5EF4-FFF2-40B4-BE49-F238E27FC236}">
              <a16:creationId xmlns:a16="http://schemas.microsoft.com/office/drawing/2014/main" id="{E126CDD3-1F1E-42A3-8F1D-895F65A6608A}"/>
            </a:ext>
          </a:extLst>
        </xdr:cNvPr>
        <xdr:cNvSpPr/>
      </xdr:nvSpPr>
      <xdr:spPr>
        <a:xfrm>
          <a:off x="5165597" y="1010031"/>
          <a:ext cx="59690" cy="60960"/>
        </a:xfrm>
        <a:custGeom>
          <a:avLst/>
          <a:gdLst/>
          <a:ahLst/>
          <a:cxnLst/>
          <a:rect l="0" t="0" r="0" b="0"/>
          <a:pathLst>
            <a:path w="59690" h="60960">
              <a:moveTo>
                <a:pt x="59436" y="60959"/>
              </a:moveTo>
              <a:lnTo>
                <a:pt x="0" y="32003"/>
              </a:lnTo>
              <a:lnTo>
                <a:pt x="0" y="28955"/>
              </a:lnTo>
              <a:lnTo>
                <a:pt x="59436" y="0"/>
              </a:lnTo>
              <a:lnTo>
                <a:pt x="59436" y="6095"/>
              </a:lnTo>
              <a:lnTo>
                <a:pt x="10668" y="30479"/>
              </a:lnTo>
              <a:lnTo>
                <a:pt x="59436" y="53339"/>
              </a:lnTo>
              <a:lnTo>
                <a:pt x="59436" y="6095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439674</xdr:colOff>
      <xdr:row>29</xdr:row>
      <xdr:rowOff>503681</xdr:rowOff>
    </xdr:from>
    <xdr:ext cx="59690" cy="74930"/>
    <xdr:sp macro="" textlink="">
      <xdr:nvSpPr>
        <xdr:cNvPr id="77" name="Shape 45">
          <a:extLst>
            <a:ext uri="{FF2B5EF4-FFF2-40B4-BE49-F238E27FC236}">
              <a16:creationId xmlns:a16="http://schemas.microsoft.com/office/drawing/2014/main" id="{3FB3581A-4B5A-4127-A2AA-FE8CBCCE8823}"/>
            </a:ext>
          </a:extLst>
        </xdr:cNvPr>
        <xdr:cNvSpPr/>
      </xdr:nvSpPr>
      <xdr:spPr>
        <a:xfrm>
          <a:off x="4935474" y="1313306"/>
          <a:ext cx="59690" cy="74930"/>
        </a:xfrm>
        <a:custGeom>
          <a:avLst/>
          <a:gdLst/>
          <a:ahLst/>
          <a:cxnLst/>
          <a:rect l="0" t="0" r="0" b="0"/>
          <a:pathLst>
            <a:path w="59690" h="74930">
              <a:moveTo>
                <a:pt x="59436" y="60960"/>
              </a:moveTo>
              <a:lnTo>
                <a:pt x="0" y="32004"/>
              </a:lnTo>
              <a:lnTo>
                <a:pt x="0" y="28956"/>
              </a:lnTo>
              <a:lnTo>
                <a:pt x="59436" y="0"/>
              </a:lnTo>
              <a:lnTo>
                <a:pt x="59436" y="7620"/>
              </a:lnTo>
              <a:lnTo>
                <a:pt x="10668" y="30480"/>
              </a:lnTo>
              <a:lnTo>
                <a:pt x="59436" y="54864"/>
              </a:lnTo>
              <a:lnTo>
                <a:pt x="59436" y="60960"/>
              </a:lnTo>
              <a:close/>
            </a:path>
            <a:path w="59690" h="74930">
              <a:moveTo>
                <a:pt x="59436" y="74676"/>
              </a:moveTo>
              <a:lnTo>
                <a:pt x="0" y="74676"/>
              </a:lnTo>
              <a:lnTo>
                <a:pt x="0" y="68580"/>
              </a:lnTo>
              <a:lnTo>
                <a:pt x="59436" y="68580"/>
              </a:lnTo>
              <a:lnTo>
                <a:pt x="59436" y="7467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587502</xdr:colOff>
      <xdr:row>29</xdr:row>
      <xdr:rowOff>517397</xdr:rowOff>
    </xdr:from>
    <xdr:ext cx="59690" cy="60960"/>
    <xdr:sp macro="" textlink="">
      <xdr:nvSpPr>
        <xdr:cNvPr id="78" name="Shape 46">
          <a:extLst>
            <a:ext uri="{FF2B5EF4-FFF2-40B4-BE49-F238E27FC236}">
              <a16:creationId xmlns:a16="http://schemas.microsoft.com/office/drawing/2014/main" id="{20F18299-707E-48BE-B98E-F8460A61AEC4}"/>
            </a:ext>
          </a:extLst>
        </xdr:cNvPr>
        <xdr:cNvSpPr/>
      </xdr:nvSpPr>
      <xdr:spPr>
        <a:xfrm>
          <a:off x="5083302" y="1327022"/>
          <a:ext cx="59690" cy="60960"/>
        </a:xfrm>
        <a:custGeom>
          <a:avLst/>
          <a:gdLst/>
          <a:ahLst/>
          <a:cxnLst/>
          <a:rect l="0" t="0" r="0" b="0"/>
          <a:pathLst>
            <a:path w="59690" h="60960">
              <a:moveTo>
                <a:pt x="59436" y="60959"/>
              </a:moveTo>
              <a:lnTo>
                <a:pt x="0" y="32003"/>
              </a:lnTo>
              <a:lnTo>
                <a:pt x="0" y="30479"/>
              </a:lnTo>
              <a:lnTo>
                <a:pt x="59436" y="0"/>
              </a:lnTo>
              <a:lnTo>
                <a:pt x="59436" y="7619"/>
              </a:lnTo>
              <a:lnTo>
                <a:pt x="10668" y="30479"/>
              </a:lnTo>
              <a:lnTo>
                <a:pt x="59436" y="54863"/>
              </a:lnTo>
              <a:lnTo>
                <a:pt x="59436" y="6095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302514</xdr:colOff>
      <xdr:row>30</xdr:row>
      <xdr:rowOff>156971</xdr:rowOff>
    </xdr:from>
    <xdr:ext cx="381000" cy="946404"/>
    <xdr:pic>
      <xdr:nvPicPr>
        <xdr:cNvPr id="79" name="image26.png">
          <a:extLst>
            <a:ext uri="{FF2B5EF4-FFF2-40B4-BE49-F238E27FC236}">
              <a16:creationId xmlns:a16="http://schemas.microsoft.com/office/drawing/2014/main" id="{BBCEB72A-1521-407F-9DCF-0F0956EF5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514" y="23550371"/>
          <a:ext cx="381000" cy="946404"/>
        </a:xfrm>
        <a:prstGeom prst="rect">
          <a:avLst/>
        </a:prstGeom>
      </xdr:spPr>
    </xdr:pic>
    <xdr:clientData/>
  </xdr:oneCellAnchor>
  <xdr:oneCellAnchor>
    <xdr:from>
      <xdr:col>0</xdr:col>
      <xdr:colOff>1004315</xdr:colOff>
      <xdr:row>30</xdr:row>
      <xdr:rowOff>137921</xdr:rowOff>
    </xdr:from>
    <xdr:ext cx="382524" cy="946404"/>
    <xdr:pic>
      <xdr:nvPicPr>
        <xdr:cNvPr id="80" name="image27.png">
          <a:extLst>
            <a:ext uri="{FF2B5EF4-FFF2-40B4-BE49-F238E27FC236}">
              <a16:creationId xmlns:a16="http://schemas.microsoft.com/office/drawing/2014/main" id="{1592A305-5A05-4380-8F0B-5477D234E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315" y="23531321"/>
          <a:ext cx="382524" cy="946404"/>
        </a:xfrm>
        <a:prstGeom prst="rect">
          <a:avLst/>
        </a:prstGeom>
      </xdr:spPr>
    </xdr:pic>
    <xdr:clientData/>
  </xdr:oneCellAnchor>
  <xdr:oneCellAnchor>
    <xdr:from>
      <xdr:col>0</xdr:col>
      <xdr:colOff>478536</xdr:colOff>
      <xdr:row>31</xdr:row>
      <xdr:rowOff>60198</xdr:rowOff>
    </xdr:from>
    <xdr:ext cx="723900" cy="748284"/>
    <xdr:pic>
      <xdr:nvPicPr>
        <xdr:cNvPr id="81" name="image28.png">
          <a:extLst>
            <a:ext uri="{FF2B5EF4-FFF2-40B4-BE49-F238E27FC236}">
              <a16:creationId xmlns:a16="http://schemas.microsoft.com/office/drawing/2014/main" id="{1385D8F7-D57E-4737-9729-207823670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" y="2603373"/>
          <a:ext cx="723900" cy="748284"/>
        </a:xfrm>
        <a:prstGeom prst="rect">
          <a:avLst/>
        </a:prstGeom>
      </xdr:spPr>
    </xdr:pic>
    <xdr:clientData/>
  </xdr:oneCellAnchor>
  <xdr:oneCellAnchor>
    <xdr:from>
      <xdr:col>0</xdr:col>
      <xdr:colOff>120396</xdr:colOff>
      <xdr:row>32</xdr:row>
      <xdr:rowOff>141732</xdr:rowOff>
    </xdr:from>
    <xdr:ext cx="1440180" cy="563880"/>
    <xdr:pic>
      <xdr:nvPicPr>
        <xdr:cNvPr id="82" name="image29.png">
          <a:extLst>
            <a:ext uri="{FF2B5EF4-FFF2-40B4-BE49-F238E27FC236}">
              <a16:creationId xmlns:a16="http://schemas.microsoft.com/office/drawing/2014/main" id="{D1569124-F2B7-466A-AF80-B84DB393B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" y="3513582"/>
          <a:ext cx="1440180" cy="563880"/>
        </a:xfrm>
        <a:prstGeom prst="rect">
          <a:avLst/>
        </a:prstGeom>
      </xdr:spPr>
    </xdr:pic>
    <xdr:clientData/>
  </xdr:oneCellAnchor>
  <xdr:oneCellAnchor>
    <xdr:from>
      <xdr:col>0</xdr:col>
      <xdr:colOff>144779</xdr:colOff>
      <xdr:row>33</xdr:row>
      <xdr:rowOff>141731</xdr:rowOff>
    </xdr:from>
    <xdr:ext cx="1389888" cy="544067"/>
    <xdr:pic>
      <xdr:nvPicPr>
        <xdr:cNvPr id="83" name="image30.png">
          <a:extLst>
            <a:ext uri="{FF2B5EF4-FFF2-40B4-BE49-F238E27FC236}">
              <a16:creationId xmlns:a16="http://schemas.microsoft.com/office/drawing/2014/main" id="{5E7E32FA-0151-4EAB-88BB-20DF21CB5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79" y="4342256"/>
          <a:ext cx="1389888" cy="544067"/>
        </a:xfrm>
        <a:prstGeom prst="rect">
          <a:avLst/>
        </a:prstGeom>
      </xdr:spPr>
    </xdr:pic>
    <xdr:clientData/>
  </xdr:oneCellAnchor>
  <xdr:oneCellAnchor>
    <xdr:from>
      <xdr:col>0</xdr:col>
      <xdr:colOff>295589</xdr:colOff>
      <xdr:row>34</xdr:row>
      <xdr:rowOff>165817</xdr:rowOff>
    </xdr:from>
    <xdr:ext cx="505968" cy="1400556"/>
    <xdr:pic>
      <xdr:nvPicPr>
        <xdr:cNvPr id="84" name="image31.png">
          <a:extLst>
            <a:ext uri="{FF2B5EF4-FFF2-40B4-BE49-F238E27FC236}">
              <a16:creationId xmlns:a16="http://schemas.microsoft.com/office/drawing/2014/main" id="{044AF68E-5904-4AD6-B027-797204DE0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589" y="27009752"/>
          <a:ext cx="505968" cy="1400556"/>
        </a:xfrm>
        <a:prstGeom prst="rect">
          <a:avLst/>
        </a:prstGeom>
      </xdr:spPr>
    </xdr:pic>
    <xdr:clientData/>
  </xdr:oneCellAnchor>
  <xdr:oneCellAnchor>
    <xdr:from>
      <xdr:col>0</xdr:col>
      <xdr:colOff>1007628</xdr:colOff>
      <xdr:row>34</xdr:row>
      <xdr:rowOff>161442</xdr:rowOff>
    </xdr:from>
    <xdr:ext cx="438912" cy="1389887"/>
    <xdr:pic>
      <xdr:nvPicPr>
        <xdr:cNvPr id="85" name="image32.png">
          <a:extLst>
            <a:ext uri="{FF2B5EF4-FFF2-40B4-BE49-F238E27FC236}">
              <a16:creationId xmlns:a16="http://schemas.microsoft.com/office/drawing/2014/main" id="{71C54754-3454-42B1-A5DD-672A05A9A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628" y="27005377"/>
          <a:ext cx="438912" cy="1389887"/>
        </a:xfrm>
        <a:prstGeom prst="rect">
          <a:avLst/>
        </a:prstGeom>
      </xdr:spPr>
    </xdr:pic>
    <xdr:clientData/>
  </xdr:oneCellAnchor>
  <xdr:oneCellAnchor>
    <xdr:from>
      <xdr:col>0</xdr:col>
      <xdr:colOff>64007</xdr:colOff>
      <xdr:row>37</xdr:row>
      <xdr:rowOff>173867</xdr:rowOff>
    </xdr:from>
    <xdr:ext cx="1551431" cy="748284"/>
    <xdr:pic>
      <xdr:nvPicPr>
        <xdr:cNvPr id="86" name="image33.png">
          <a:extLst>
            <a:ext uri="{FF2B5EF4-FFF2-40B4-BE49-F238E27FC236}">
              <a16:creationId xmlns:a16="http://schemas.microsoft.com/office/drawing/2014/main" id="{0CB11B52-B990-46ED-833D-9AF8BC239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7" y="30562758"/>
          <a:ext cx="1551431" cy="748284"/>
        </a:xfrm>
        <a:prstGeom prst="rect">
          <a:avLst/>
        </a:prstGeom>
      </xdr:spPr>
    </xdr:pic>
    <xdr:clientData/>
  </xdr:oneCellAnchor>
  <xdr:oneCellAnchor>
    <xdr:from>
      <xdr:col>3</xdr:col>
      <xdr:colOff>489965</xdr:colOff>
      <xdr:row>37</xdr:row>
      <xdr:rowOff>323087</xdr:rowOff>
    </xdr:from>
    <xdr:ext cx="59690" cy="74930"/>
    <xdr:sp macro="" textlink="">
      <xdr:nvSpPr>
        <xdr:cNvPr id="87" name="Shape 55">
          <a:extLst>
            <a:ext uri="{FF2B5EF4-FFF2-40B4-BE49-F238E27FC236}">
              <a16:creationId xmlns:a16="http://schemas.microsoft.com/office/drawing/2014/main" id="{61E43EA3-6097-4DA3-9AEE-5319E8D697D8}"/>
            </a:ext>
          </a:extLst>
        </xdr:cNvPr>
        <xdr:cNvSpPr/>
      </xdr:nvSpPr>
      <xdr:spPr>
        <a:xfrm>
          <a:off x="4985765" y="6895337"/>
          <a:ext cx="59690" cy="74930"/>
        </a:xfrm>
        <a:custGeom>
          <a:avLst/>
          <a:gdLst/>
          <a:ahLst/>
          <a:cxnLst/>
          <a:rect l="0" t="0" r="0" b="0"/>
          <a:pathLst>
            <a:path w="59690" h="74930">
              <a:moveTo>
                <a:pt x="59436" y="60960"/>
              </a:moveTo>
              <a:lnTo>
                <a:pt x="0" y="32004"/>
              </a:lnTo>
              <a:lnTo>
                <a:pt x="0" y="28956"/>
              </a:lnTo>
              <a:lnTo>
                <a:pt x="59436" y="0"/>
              </a:lnTo>
              <a:lnTo>
                <a:pt x="59436" y="6096"/>
              </a:lnTo>
              <a:lnTo>
                <a:pt x="10668" y="30480"/>
              </a:lnTo>
              <a:lnTo>
                <a:pt x="59436" y="54864"/>
              </a:lnTo>
              <a:lnTo>
                <a:pt x="59436" y="60960"/>
              </a:lnTo>
              <a:close/>
            </a:path>
            <a:path w="59690" h="74930">
              <a:moveTo>
                <a:pt x="59436" y="74676"/>
              </a:moveTo>
              <a:lnTo>
                <a:pt x="0" y="74676"/>
              </a:lnTo>
              <a:lnTo>
                <a:pt x="0" y="68580"/>
              </a:lnTo>
              <a:lnTo>
                <a:pt x="59436" y="68580"/>
              </a:lnTo>
              <a:lnTo>
                <a:pt x="59436" y="7467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637793</xdr:colOff>
      <xdr:row>37</xdr:row>
      <xdr:rowOff>336803</xdr:rowOff>
    </xdr:from>
    <xdr:ext cx="59690" cy="60960"/>
    <xdr:sp macro="" textlink="">
      <xdr:nvSpPr>
        <xdr:cNvPr id="88" name="Shape 56">
          <a:extLst>
            <a:ext uri="{FF2B5EF4-FFF2-40B4-BE49-F238E27FC236}">
              <a16:creationId xmlns:a16="http://schemas.microsoft.com/office/drawing/2014/main" id="{32D90D54-B298-4D8A-9834-DE330D9904D2}"/>
            </a:ext>
          </a:extLst>
        </xdr:cNvPr>
        <xdr:cNvSpPr/>
      </xdr:nvSpPr>
      <xdr:spPr>
        <a:xfrm>
          <a:off x="5133593" y="6909053"/>
          <a:ext cx="59690" cy="60960"/>
        </a:xfrm>
        <a:custGeom>
          <a:avLst/>
          <a:gdLst/>
          <a:ahLst/>
          <a:cxnLst/>
          <a:rect l="0" t="0" r="0" b="0"/>
          <a:pathLst>
            <a:path w="59690" h="60960">
              <a:moveTo>
                <a:pt x="59436" y="60959"/>
              </a:moveTo>
              <a:lnTo>
                <a:pt x="0" y="32003"/>
              </a:lnTo>
              <a:lnTo>
                <a:pt x="0" y="28955"/>
              </a:lnTo>
              <a:lnTo>
                <a:pt x="59436" y="0"/>
              </a:lnTo>
              <a:lnTo>
                <a:pt x="59436" y="6095"/>
              </a:lnTo>
              <a:lnTo>
                <a:pt x="10668" y="30479"/>
              </a:lnTo>
              <a:lnTo>
                <a:pt x="59436" y="54863"/>
              </a:lnTo>
              <a:lnTo>
                <a:pt x="59436" y="6095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473202</xdr:colOff>
      <xdr:row>37</xdr:row>
      <xdr:rowOff>641603</xdr:rowOff>
    </xdr:from>
    <xdr:ext cx="59690" cy="74930"/>
    <xdr:sp macro="" textlink="">
      <xdr:nvSpPr>
        <xdr:cNvPr id="89" name="Shape 57">
          <a:extLst>
            <a:ext uri="{FF2B5EF4-FFF2-40B4-BE49-F238E27FC236}">
              <a16:creationId xmlns:a16="http://schemas.microsoft.com/office/drawing/2014/main" id="{783DE142-FEB5-4EAA-9DCC-3097492D591B}"/>
            </a:ext>
          </a:extLst>
        </xdr:cNvPr>
        <xdr:cNvSpPr/>
      </xdr:nvSpPr>
      <xdr:spPr>
        <a:xfrm>
          <a:off x="4969002" y="7213853"/>
          <a:ext cx="59690" cy="74930"/>
        </a:xfrm>
        <a:custGeom>
          <a:avLst/>
          <a:gdLst/>
          <a:ahLst/>
          <a:cxnLst/>
          <a:rect l="0" t="0" r="0" b="0"/>
          <a:pathLst>
            <a:path w="59690" h="74930">
              <a:moveTo>
                <a:pt x="59436" y="60960"/>
              </a:moveTo>
              <a:lnTo>
                <a:pt x="0" y="32004"/>
              </a:lnTo>
              <a:lnTo>
                <a:pt x="0" y="28956"/>
              </a:lnTo>
              <a:lnTo>
                <a:pt x="59436" y="0"/>
              </a:lnTo>
              <a:lnTo>
                <a:pt x="59436" y="7620"/>
              </a:lnTo>
              <a:lnTo>
                <a:pt x="9144" y="30480"/>
              </a:lnTo>
              <a:lnTo>
                <a:pt x="59436" y="54864"/>
              </a:lnTo>
              <a:lnTo>
                <a:pt x="59436" y="60960"/>
              </a:lnTo>
              <a:close/>
            </a:path>
            <a:path w="59690" h="74930">
              <a:moveTo>
                <a:pt x="59436" y="74676"/>
              </a:moveTo>
              <a:lnTo>
                <a:pt x="0" y="74676"/>
              </a:lnTo>
              <a:lnTo>
                <a:pt x="0" y="68580"/>
              </a:lnTo>
              <a:lnTo>
                <a:pt x="59436" y="68580"/>
              </a:lnTo>
              <a:lnTo>
                <a:pt x="59436" y="74676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3</xdr:col>
      <xdr:colOff>621029</xdr:colOff>
      <xdr:row>37</xdr:row>
      <xdr:rowOff>655320</xdr:rowOff>
    </xdr:from>
    <xdr:ext cx="59690" cy="60960"/>
    <xdr:sp macro="" textlink="">
      <xdr:nvSpPr>
        <xdr:cNvPr id="90" name="Shape 58">
          <a:extLst>
            <a:ext uri="{FF2B5EF4-FFF2-40B4-BE49-F238E27FC236}">
              <a16:creationId xmlns:a16="http://schemas.microsoft.com/office/drawing/2014/main" id="{8B122D06-A4D4-4C8D-8440-6F0E277CF5AE}"/>
            </a:ext>
          </a:extLst>
        </xdr:cNvPr>
        <xdr:cNvSpPr/>
      </xdr:nvSpPr>
      <xdr:spPr>
        <a:xfrm>
          <a:off x="5116829" y="7227570"/>
          <a:ext cx="59690" cy="60960"/>
        </a:xfrm>
        <a:custGeom>
          <a:avLst/>
          <a:gdLst/>
          <a:ahLst/>
          <a:cxnLst/>
          <a:rect l="0" t="0" r="0" b="0"/>
          <a:pathLst>
            <a:path w="59690" h="60960">
              <a:moveTo>
                <a:pt x="59436" y="60959"/>
              </a:moveTo>
              <a:lnTo>
                <a:pt x="0" y="32003"/>
              </a:lnTo>
              <a:lnTo>
                <a:pt x="0" y="28955"/>
              </a:lnTo>
              <a:lnTo>
                <a:pt x="59436" y="0"/>
              </a:lnTo>
              <a:lnTo>
                <a:pt x="59436" y="7619"/>
              </a:lnTo>
              <a:lnTo>
                <a:pt x="9144" y="30479"/>
              </a:lnTo>
              <a:lnTo>
                <a:pt x="59436" y="54863"/>
              </a:lnTo>
              <a:lnTo>
                <a:pt x="59436" y="60959"/>
              </a:lnTo>
              <a:close/>
            </a:path>
          </a:pathLst>
        </a:custGeom>
        <a:solidFill>
          <a:srgbClr val="000000">
            <a:alpha val="50000"/>
          </a:srgbClr>
        </a:solidFill>
      </xdr:spPr>
    </xdr:sp>
    <xdr:clientData/>
  </xdr:oneCellAnchor>
  <xdr:oneCellAnchor>
    <xdr:from>
      <xdr:col>0</xdr:col>
      <xdr:colOff>161544</xdr:colOff>
      <xdr:row>38</xdr:row>
      <xdr:rowOff>113537</xdr:rowOff>
    </xdr:from>
    <xdr:ext cx="1356360" cy="659892"/>
    <xdr:pic>
      <xdr:nvPicPr>
        <xdr:cNvPr id="91" name="image34.png">
          <a:extLst>
            <a:ext uri="{FF2B5EF4-FFF2-40B4-BE49-F238E27FC236}">
              <a16:creationId xmlns:a16="http://schemas.microsoft.com/office/drawing/2014/main" id="{E35C514E-E3D0-41AD-BD99-3DC582AFB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544" y="1123187"/>
          <a:ext cx="1356360" cy="659892"/>
        </a:xfrm>
        <a:prstGeom prst="rect">
          <a:avLst/>
        </a:prstGeom>
      </xdr:spPr>
    </xdr:pic>
    <xdr:clientData/>
  </xdr:oneCellAnchor>
  <xdr:oneCellAnchor>
    <xdr:from>
      <xdr:col>0</xdr:col>
      <xdr:colOff>175259</xdr:colOff>
      <xdr:row>39</xdr:row>
      <xdr:rowOff>140969</xdr:rowOff>
    </xdr:from>
    <xdr:ext cx="1328928" cy="633984"/>
    <xdr:pic>
      <xdr:nvPicPr>
        <xdr:cNvPr id="92" name="image35.png">
          <a:extLst>
            <a:ext uri="{FF2B5EF4-FFF2-40B4-BE49-F238E27FC236}">
              <a16:creationId xmlns:a16="http://schemas.microsoft.com/office/drawing/2014/main" id="{DF82604C-0DDA-42E6-A488-DC65E7552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59" y="1979294"/>
          <a:ext cx="1328928" cy="633984"/>
        </a:xfrm>
        <a:prstGeom prst="rect">
          <a:avLst/>
        </a:prstGeom>
      </xdr:spPr>
    </xdr:pic>
    <xdr:clientData/>
  </xdr:oneCellAnchor>
  <xdr:oneCellAnchor>
    <xdr:from>
      <xdr:col>0</xdr:col>
      <xdr:colOff>385638</xdr:colOff>
      <xdr:row>40</xdr:row>
      <xdr:rowOff>216275</xdr:rowOff>
    </xdr:from>
    <xdr:ext cx="1010411" cy="569975"/>
    <xdr:pic>
      <xdr:nvPicPr>
        <xdr:cNvPr id="93" name="image36.png">
          <a:extLst>
            <a:ext uri="{FF2B5EF4-FFF2-40B4-BE49-F238E27FC236}">
              <a16:creationId xmlns:a16="http://schemas.microsoft.com/office/drawing/2014/main" id="{11122C24-E962-4377-AEDA-006D18780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638" y="33371558"/>
          <a:ext cx="1010411" cy="569975"/>
        </a:xfrm>
        <a:prstGeom prst="rect">
          <a:avLst/>
        </a:prstGeom>
      </xdr:spPr>
    </xdr:pic>
    <xdr:clientData/>
  </xdr:oneCellAnchor>
  <xdr:oneCellAnchor>
    <xdr:from>
      <xdr:col>0</xdr:col>
      <xdr:colOff>451103</xdr:colOff>
      <xdr:row>41</xdr:row>
      <xdr:rowOff>140969</xdr:rowOff>
    </xdr:from>
    <xdr:ext cx="778764" cy="624839"/>
    <xdr:pic>
      <xdr:nvPicPr>
        <xdr:cNvPr id="94" name="image37.png">
          <a:extLst>
            <a:ext uri="{FF2B5EF4-FFF2-40B4-BE49-F238E27FC236}">
              <a16:creationId xmlns:a16="http://schemas.microsoft.com/office/drawing/2014/main" id="{EF91B625-9677-433B-86A9-1EC4E7481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103" y="3522344"/>
          <a:ext cx="778764" cy="624839"/>
        </a:xfrm>
        <a:prstGeom prst="rect">
          <a:avLst/>
        </a:prstGeom>
      </xdr:spPr>
    </xdr:pic>
    <xdr:clientData/>
  </xdr:oneCellAnchor>
  <xdr:oneCellAnchor>
    <xdr:from>
      <xdr:col>0</xdr:col>
      <xdr:colOff>573023</xdr:colOff>
      <xdr:row>42</xdr:row>
      <xdr:rowOff>60197</xdr:rowOff>
    </xdr:from>
    <xdr:ext cx="533400" cy="742188"/>
    <xdr:pic>
      <xdr:nvPicPr>
        <xdr:cNvPr id="95" name="image38.png">
          <a:extLst>
            <a:ext uri="{FF2B5EF4-FFF2-40B4-BE49-F238E27FC236}">
              <a16:creationId xmlns:a16="http://schemas.microsoft.com/office/drawing/2014/main" id="{3A0634E9-F1E0-49DB-8604-D1FF5BB7D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3023" y="4270247"/>
          <a:ext cx="533400" cy="742188"/>
        </a:xfrm>
        <a:prstGeom prst="rect">
          <a:avLst/>
        </a:prstGeom>
      </xdr:spPr>
    </xdr:pic>
    <xdr:clientData/>
  </xdr:oneCellAnchor>
  <xdr:oneCellAnchor>
    <xdr:from>
      <xdr:col>0</xdr:col>
      <xdr:colOff>455012</xdr:colOff>
      <xdr:row>43</xdr:row>
      <xdr:rowOff>63229</xdr:rowOff>
    </xdr:from>
    <xdr:ext cx="752856" cy="723900"/>
    <xdr:pic>
      <xdr:nvPicPr>
        <xdr:cNvPr id="96" name="image39.png">
          <a:extLst>
            <a:ext uri="{FF2B5EF4-FFF2-40B4-BE49-F238E27FC236}">
              <a16:creationId xmlns:a16="http://schemas.microsoft.com/office/drawing/2014/main" id="{D234710E-8AE4-400E-BE41-2BEC0441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012" y="35951772"/>
          <a:ext cx="752856" cy="723900"/>
        </a:xfrm>
        <a:prstGeom prst="rect">
          <a:avLst/>
        </a:prstGeom>
      </xdr:spPr>
    </xdr:pic>
    <xdr:clientData/>
  </xdr:oneCellAnchor>
  <xdr:oneCellAnchor>
    <xdr:from>
      <xdr:col>0</xdr:col>
      <xdr:colOff>454152</xdr:colOff>
      <xdr:row>43</xdr:row>
      <xdr:rowOff>1119758</xdr:rowOff>
    </xdr:from>
    <xdr:ext cx="772667" cy="582167"/>
    <xdr:pic>
      <xdr:nvPicPr>
        <xdr:cNvPr id="97" name="image40.png">
          <a:extLst>
            <a:ext uri="{FF2B5EF4-FFF2-40B4-BE49-F238E27FC236}">
              <a16:creationId xmlns:a16="http://schemas.microsoft.com/office/drawing/2014/main" id="{E2AD1006-B595-4F88-94FC-66CF1CC86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152" y="35390708"/>
          <a:ext cx="772667" cy="582167"/>
        </a:xfrm>
        <a:prstGeom prst="rect">
          <a:avLst/>
        </a:prstGeom>
      </xdr:spPr>
    </xdr:pic>
    <xdr:clientData/>
  </xdr:oneCellAnchor>
  <xdr:oneCellAnchor>
    <xdr:from>
      <xdr:col>0</xdr:col>
      <xdr:colOff>470816</xdr:colOff>
      <xdr:row>44</xdr:row>
      <xdr:rowOff>247799</xdr:rowOff>
    </xdr:from>
    <xdr:ext cx="716280" cy="682752"/>
    <xdr:pic>
      <xdr:nvPicPr>
        <xdr:cNvPr id="98" name="image41.png">
          <a:extLst>
            <a:ext uri="{FF2B5EF4-FFF2-40B4-BE49-F238E27FC236}">
              <a16:creationId xmlns:a16="http://schemas.microsoft.com/office/drawing/2014/main" id="{7F0BBD16-35A2-4213-9840-7EACA4E0A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816" y="37933669"/>
          <a:ext cx="716280" cy="682752"/>
        </a:xfrm>
        <a:prstGeom prst="rect">
          <a:avLst/>
        </a:prstGeom>
      </xdr:spPr>
    </xdr:pic>
    <xdr:clientData/>
  </xdr:oneCellAnchor>
  <xdr:oneCellAnchor>
    <xdr:from>
      <xdr:col>0</xdr:col>
      <xdr:colOff>470915</xdr:colOff>
      <xdr:row>45</xdr:row>
      <xdr:rowOff>141500</xdr:rowOff>
    </xdr:from>
    <xdr:ext cx="737616" cy="705612"/>
    <xdr:pic>
      <xdr:nvPicPr>
        <xdr:cNvPr id="99" name="image42.png">
          <a:extLst>
            <a:ext uri="{FF2B5EF4-FFF2-40B4-BE49-F238E27FC236}">
              <a16:creationId xmlns:a16="http://schemas.microsoft.com/office/drawing/2014/main" id="{99F0CF53-8241-4088-8282-83E4AC619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0915" y="38945522"/>
          <a:ext cx="737616" cy="705612"/>
        </a:xfrm>
        <a:prstGeom prst="rect">
          <a:avLst/>
        </a:prstGeom>
      </xdr:spPr>
    </xdr:pic>
    <xdr:clientData/>
  </xdr:oneCellAnchor>
  <xdr:oneCellAnchor>
    <xdr:from>
      <xdr:col>0</xdr:col>
      <xdr:colOff>626364</xdr:colOff>
      <xdr:row>46</xdr:row>
      <xdr:rowOff>58674</xdr:rowOff>
    </xdr:from>
    <xdr:ext cx="426719" cy="774192"/>
    <xdr:pic>
      <xdr:nvPicPr>
        <xdr:cNvPr id="100" name="image43.png">
          <a:extLst>
            <a:ext uri="{FF2B5EF4-FFF2-40B4-BE49-F238E27FC236}">
              <a16:creationId xmlns:a16="http://schemas.microsoft.com/office/drawing/2014/main" id="{EB33D2B8-D0FE-46C1-AE91-8C40211BF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364" y="1696974"/>
          <a:ext cx="426719" cy="774192"/>
        </a:xfrm>
        <a:prstGeom prst="rect">
          <a:avLst/>
        </a:prstGeom>
      </xdr:spPr>
    </xdr:pic>
    <xdr:clientData/>
  </xdr:oneCellAnchor>
  <xdr:oneCellAnchor>
    <xdr:from>
      <xdr:col>0</xdr:col>
      <xdr:colOff>673607</xdr:colOff>
      <xdr:row>47</xdr:row>
      <xdr:rowOff>58674</xdr:rowOff>
    </xdr:from>
    <xdr:ext cx="333756" cy="894587"/>
    <xdr:pic>
      <xdr:nvPicPr>
        <xdr:cNvPr id="101" name="image44.png">
          <a:extLst>
            <a:ext uri="{FF2B5EF4-FFF2-40B4-BE49-F238E27FC236}">
              <a16:creationId xmlns:a16="http://schemas.microsoft.com/office/drawing/2014/main" id="{B35F907E-AF69-46E7-A05B-E357162A2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7" y="2535174"/>
          <a:ext cx="333756" cy="894587"/>
        </a:xfrm>
        <a:prstGeom prst="rect">
          <a:avLst/>
        </a:prstGeom>
      </xdr:spPr>
    </xdr:pic>
    <xdr:clientData/>
  </xdr:oneCellAnchor>
  <xdr:oneCellAnchor>
    <xdr:from>
      <xdr:col>0</xdr:col>
      <xdr:colOff>250316</xdr:colOff>
      <xdr:row>48</xdr:row>
      <xdr:rowOff>166496</xdr:rowOff>
    </xdr:from>
    <xdr:ext cx="1200911" cy="524256"/>
    <xdr:pic>
      <xdr:nvPicPr>
        <xdr:cNvPr id="102" name="image45.png">
          <a:extLst>
            <a:ext uri="{FF2B5EF4-FFF2-40B4-BE49-F238E27FC236}">
              <a16:creationId xmlns:a16="http://schemas.microsoft.com/office/drawing/2014/main" id="{2DD32D1D-931C-4DCB-912D-641BE8372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16" y="40219121"/>
          <a:ext cx="1200911" cy="524256"/>
        </a:xfrm>
        <a:prstGeom prst="rect">
          <a:avLst/>
        </a:prstGeom>
      </xdr:spPr>
    </xdr:pic>
    <xdr:clientData/>
  </xdr:oneCellAnchor>
  <xdr:oneCellAnchor>
    <xdr:from>
      <xdr:col>0</xdr:col>
      <xdr:colOff>240791</xdr:colOff>
      <xdr:row>49</xdr:row>
      <xdr:rowOff>278129</xdr:rowOff>
    </xdr:from>
    <xdr:ext cx="1200911" cy="208788"/>
    <xdr:pic>
      <xdr:nvPicPr>
        <xdr:cNvPr id="103" name="image46.png">
          <a:extLst>
            <a:ext uri="{FF2B5EF4-FFF2-40B4-BE49-F238E27FC236}">
              <a16:creationId xmlns:a16="http://schemas.microsoft.com/office/drawing/2014/main" id="{4DB808EA-F323-49E6-9FB0-CC229517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791" y="4335779"/>
          <a:ext cx="1200911" cy="2087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457200</xdr:colOff>
      <xdr:row>410</xdr:row>
      <xdr:rowOff>114300</xdr:rowOff>
    </xdr:from>
    <xdr:ext cx="8466260" cy="5642463"/>
    <xdr:pic>
      <xdr:nvPicPr>
        <xdr:cNvPr id="2" name="Imagem 1">
          <a:extLst>
            <a:ext uri="{FF2B5EF4-FFF2-40B4-BE49-F238E27FC236}">
              <a16:creationId xmlns:a16="http://schemas.microsoft.com/office/drawing/2014/main" id="{A90F47F9-6A92-44D8-972D-34067641C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0" y="63436500"/>
          <a:ext cx="8466260" cy="56424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lnas\geral\Documents%20and%20Settings\isabel.santos\Desktop\DARDICO\PROJECTO\2.%20C&#193;LCULOS\FCalc_Projectos_BT_Rev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a\Desktop\Rafael\Calculos%20el&#233;tricos%20Cascavel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stantinos%20Expans&#227;o\9%20-%20Calculos%20El&#233;tricos%20+\1%20-Calculos%20Eletricos%20Fabo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dros Iz"/>
      <sheetName val="Quadro 52H"/>
      <sheetName val="Fact. correcção"/>
      <sheetName val="Cábulas"/>
      <sheetName val="Tabela"/>
      <sheetName val="Icc 2"/>
      <sheetName val="Cargas"/>
      <sheetName val="Cargas 2"/>
      <sheetName val="F. de Cálculo"/>
    </sheetNames>
    <sheetDataSet>
      <sheetData sheetId="0"/>
      <sheetData sheetId="1"/>
      <sheetData sheetId="2"/>
      <sheetData sheetId="3"/>
      <sheetData sheetId="4">
        <row r="6">
          <cell r="Q6" t="str">
            <v>Secção</v>
          </cell>
          <cell r="R6">
            <v>1.5</v>
          </cell>
          <cell r="S6">
            <v>2.5</v>
          </cell>
          <cell r="T6">
            <v>4</v>
          </cell>
          <cell r="U6">
            <v>6</v>
          </cell>
          <cell r="V6">
            <v>10</v>
          </cell>
          <cell r="W6">
            <v>16</v>
          </cell>
          <cell r="X6">
            <v>25</v>
          </cell>
          <cell r="Y6">
            <v>35</v>
          </cell>
          <cell r="Z6">
            <v>50</v>
          </cell>
          <cell r="AA6">
            <v>70</v>
          </cell>
          <cell r="AB6">
            <v>95</v>
          </cell>
          <cell r="AC6">
            <v>120</v>
          </cell>
          <cell r="AD6">
            <v>150</v>
          </cell>
          <cell r="AE6">
            <v>185</v>
          </cell>
          <cell r="AF6">
            <v>240</v>
          </cell>
          <cell r="AG6">
            <v>300</v>
          </cell>
        </row>
        <row r="7">
          <cell r="A7" t="str">
            <v>VAV; V1AV; VV</v>
          </cell>
          <cell r="Q7" t="str">
            <v>Monofásico</v>
          </cell>
          <cell r="R7">
            <v>32</v>
          </cell>
          <cell r="S7">
            <v>42</v>
          </cell>
          <cell r="T7">
            <v>54</v>
          </cell>
          <cell r="U7">
            <v>67</v>
          </cell>
          <cell r="V7">
            <v>90</v>
          </cell>
          <cell r="W7">
            <v>116</v>
          </cell>
          <cell r="X7">
            <v>148</v>
          </cell>
          <cell r="Y7">
            <v>178</v>
          </cell>
          <cell r="Z7">
            <v>211</v>
          </cell>
          <cell r="AA7">
            <v>261</v>
          </cell>
          <cell r="AB7">
            <v>308</v>
          </cell>
          <cell r="AC7">
            <v>351</v>
          </cell>
          <cell r="AD7">
            <v>397</v>
          </cell>
          <cell r="AE7">
            <v>445</v>
          </cell>
          <cell r="AF7">
            <v>514</v>
          </cell>
          <cell r="AG7">
            <v>581</v>
          </cell>
        </row>
        <row r="8">
          <cell r="Q8" t="str">
            <v>Trifásico</v>
          </cell>
          <cell r="R8">
            <v>26</v>
          </cell>
          <cell r="S8">
            <v>34</v>
          </cell>
          <cell r="T8">
            <v>44</v>
          </cell>
          <cell r="U8">
            <v>56</v>
          </cell>
          <cell r="V8">
            <v>74</v>
          </cell>
          <cell r="W8">
            <v>96</v>
          </cell>
          <cell r="X8">
            <v>123</v>
          </cell>
          <cell r="Y8">
            <v>147</v>
          </cell>
          <cell r="Z8">
            <v>174</v>
          </cell>
          <cell r="AA8">
            <v>216</v>
          </cell>
          <cell r="AB8">
            <v>256</v>
          </cell>
          <cell r="AC8">
            <v>290</v>
          </cell>
          <cell r="AD8">
            <v>328</v>
          </cell>
          <cell r="AE8">
            <v>367</v>
          </cell>
          <cell r="AF8">
            <v>424</v>
          </cell>
          <cell r="AG8">
            <v>480</v>
          </cell>
        </row>
        <row r="9">
          <cell r="A9" t="str">
            <v>LVAV; LV1AV; LVV</v>
          </cell>
          <cell r="Q9" t="str">
            <v>Monofásico</v>
          </cell>
          <cell r="V9">
            <v>68</v>
          </cell>
          <cell r="W9">
            <v>88</v>
          </cell>
          <cell r="X9">
            <v>114</v>
          </cell>
          <cell r="Y9">
            <v>137</v>
          </cell>
          <cell r="Z9">
            <v>161</v>
          </cell>
          <cell r="AA9">
            <v>200</v>
          </cell>
          <cell r="AB9">
            <v>237</v>
          </cell>
          <cell r="AC9">
            <v>270</v>
          </cell>
          <cell r="AD9">
            <v>304</v>
          </cell>
          <cell r="AE9">
            <v>343</v>
          </cell>
          <cell r="AF9">
            <v>396</v>
          </cell>
          <cell r="AG9">
            <v>447</v>
          </cell>
        </row>
        <row r="10">
          <cell r="Q10" t="str">
            <v>Trifásico</v>
          </cell>
          <cell r="V10">
            <v>57</v>
          </cell>
          <cell r="W10">
            <v>74</v>
          </cell>
          <cell r="X10">
            <v>94</v>
          </cell>
          <cell r="Y10">
            <v>114</v>
          </cell>
          <cell r="Z10">
            <v>134</v>
          </cell>
          <cell r="AA10">
            <v>167</v>
          </cell>
          <cell r="AB10">
            <v>197</v>
          </cell>
          <cell r="AC10">
            <v>224</v>
          </cell>
          <cell r="AD10">
            <v>254</v>
          </cell>
          <cell r="AE10">
            <v>285</v>
          </cell>
          <cell r="AF10">
            <v>328</v>
          </cell>
          <cell r="AG10">
            <v>371</v>
          </cell>
        </row>
        <row r="11">
          <cell r="A11" t="str">
            <v>XAV; X1AV; XV</v>
          </cell>
          <cell r="Q11" t="str">
            <v>Monofásico</v>
          </cell>
          <cell r="R11">
            <v>37</v>
          </cell>
          <cell r="S11">
            <v>48</v>
          </cell>
          <cell r="T11">
            <v>63</v>
          </cell>
          <cell r="U11">
            <v>80</v>
          </cell>
          <cell r="V11">
            <v>104</v>
          </cell>
          <cell r="W11">
            <v>136</v>
          </cell>
          <cell r="X11">
            <v>173</v>
          </cell>
          <cell r="Y11">
            <v>208</v>
          </cell>
          <cell r="Z11">
            <v>247</v>
          </cell>
          <cell r="AA11">
            <v>304</v>
          </cell>
          <cell r="AB11">
            <v>360</v>
          </cell>
          <cell r="AC11">
            <v>410</v>
          </cell>
          <cell r="AD11">
            <v>463</v>
          </cell>
          <cell r="AE11">
            <v>518</v>
          </cell>
          <cell r="AF11">
            <v>598</v>
          </cell>
          <cell r="AG11">
            <v>677</v>
          </cell>
        </row>
        <row r="12">
          <cell r="Q12" t="str">
            <v>Trifásico</v>
          </cell>
          <cell r="R12">
            <v>31</v>
          </cell>
          <cell r="S12">
            <v>41</v>
          </cell>
          <cell r="T12">
            <v>53</v>
          </cell>
          <cell r="U12">
            <v>66</v>
          </cell>
          <cell r="V12">
            <v>87</v>
          </cell>
          <cell r="W12">
            <v>113</v>
          </cell>
          <cell r="X12">
            <v>144</v>
          </cell>
          <cell r="Y12">
            <v>174</v>
          </cell>
          <cell r="Z12">
            <v>206</v>
          </cell>
          <cell r="AA12">
            <v>254</v>
          </cell>
          <cell r="AB12">
            <v>301</v>
          </cell>
          <cell r="AC12">
            <v>343</v>
          </cell>
          <cell r="AD12">
            <v>387</v>
          </cell>
          <cell r="AE12">
            <v>434</v>
          </cell>
          <cell r="AF12">
            <v>501</v>
          </cell>
          <cell r="AG12">
            <v>565</v>
          </cell>
        </row>
        <row r="13">
          <cell r="A13" t="str">
            <v>LXAV; LX1AV; LXV</v>
          </cell>
          <cell r="Q13" t="str">
            <v>Monofásico</v>
          </cell>
          <cell r="V13">
            <v>80</v>
          </cell>
          <cell r="W13">
            <v>104</v>
          </cell>
          <cell r="X13">
            <v>133</v>
          </cell>
          <cell r="Y13">
            <v>160</v>
          </cell>
          <cell r="Z13">
            <v>188</v>
          </cell>
          <cell r="AA13">
            <v>233</v>
          </cell>
          <cell r="AB13">
            <v>275</v>
          </cell>
          <cell r="AC13">
            <v>314</v>
          </cell>
          <cell r="AD13">
            <v>359</v>
          </cell>
          <cell r="AE13">
            <v>398</v>
          </cell>
          <cell r="AF13">
            <v>458</v>
          </cell>
          <cell r="AG13">
            <v>520</v>
          </cell>
        </row>
        <row r="14">
          <cell r="Q14" t="str">
            <v>Trifásico</v>
          </cell>
          <cell r="V14">
            <v>67</v>
          </cell>
          <cell r="W14">
            <v>87</v>
          </cell>
          <cell r="X14">
            <v>111</v>
          </cell>
          <cell r="Y14">
            <v>134</v>
          </cell>
          <cell r="Z14">
            <v>160</v>
          </cell>
          <cell r="AA14">
            <v>197</v>
          </cell>
          <cell r="AB14">
            <v>234</v>
          </cell>
          <cell r="AC14">
            <v>266</v>
          </cell>
          <cell r="AD14">
            <v>300</v>
          </cell>
          <cell r="AE14">
            <v>337</v>
          </cell>
          <cell r="AF14">
            <v>288</v>
          </cell>
          <cell r="AG14">
            <v>400</v>
          </cell>
        </row>
        <row r="19">
          <cell r="P19">
            <v>1</v>
          </cell>
          <cell r="Q19">
            <v>1</v>
          </cell>
        </row>
        <row r="20">
          <cell r="P20">
            <v>2</v>
          </cell>
          <cell r="Q20">
            <v>1</v>
          </cell>
        </row>
        <row r="21">
          <cell r="P21">
            <v>3</v>
          </cell>
          <cell r="Q21">
            <v>1</v>
          </cell>
        </row>
        <row r="22">
          <cell r="P22">
            <v>4</v>
          </cell>
          <cell r="Q22">
            <v>1</v>
          </cell>
        </row>
        <row r="23">
          <cell r="P23">
            <v>5</v>
          </cell>
          <cell r="Q23">
            <v>0.75</v>
          </cell>
        </row>
        <row r="24">
          <cell r="P24">
            <v>10</v>
          </cell>
          <cell r="Q24">
            <v>0.56000000000000005</v>
          </cell>
        </row>
        <row r="25">
          <cell r="P25">
            <v>15</v>
          </cell>
          <cell r="Q25">
            <v>0.48</v>
          </cell>
        </row>
        <row r="26">
          <cell r="P26">
            <v>20</v>
          </cell>
          <cell r="Q26">
            <v>0.43</v>
          </cell>
        </row>
        <row r="27">
          <cell r="P27">
            <v>25</v>
          </cell>
          <cell r="Q27">
            <v>0.4</v>
          </cell>
        </row>
        <row r="28">
          <cell r="P28">
            <v>30</v>
          </cell>
          <cell r="Q28">
            <v>0.38</v>
          </cell>
        </row>
        <row r="29">
          <cell r="P29">
            <v>35</v>
          </cell>
          <cell r="Q29">
            <v>0.37</v>
          </cell>
        </row>
        <row r="30">
          <cell r="P30">
            <v>40</v>
          </cell>
          <cell r="Q30">
            <v>0.36</v>
          </cell>
        </row>
        <row r="31">
          <cell r="P31">
            <v>50</v>
          </cell>
          <cell r="Q31">
            <v>0.34</v>
          </cell>
        </row>
        <row r="77">
          <cell r="P77">
            <v>10</v>
          </cell>
          <cell r="Q77">
            <v>1.45</v>
          </cell>
          <cell r="R77">
            <v>14.5</v>
          </cell>
        </row>
        <row r="78">
          <cell r="P78">
            <v>16</v>
          </cell>
          <cell r="Q78">
            <v>1.45</v>
          </cell>
          <cell r="R78">
            <v>23.2</v>
          </cell>
        </row>
        <row r="79">
          <cell r="P79">
            <v>20</v>
          </cell>
          <cell r="Q79">
            <v>1.45</v>
          </cell>
          <cell r="R79">
            <v>29</v>
          </cell>
        </row>
        <row r="80">
          <cell r="P80">
            <v>25</v>
          </cell>
          <cell r="Q80">
            <v>1.45</v>
          </cell>
          <cell r="R80">
            <v>36.25</v>
          </cell>
        </row>
        <row r="81">
          <cell r="P81">
            <v>32</v>
          </cell>
          <cell r="Q81">
            <v>1.45</v>
          </cell>
          <cell r="R81">
            <v>46.4</v>
          </cell>
        </row>
        <row r="82">
          <cell r="P82">
            <v>40</v>
          </cell>
          <cell r="Q82">
            <v>1.45</v>
          </cell>
          <cell r="R82">
            <v>58</v>
          </cell>
        </row>
        <row r="83">
          <cell r="P83">
            <v>50</v>
          </cell>
          <cell r="Q83">
            <v>1.45</v>
          </cell>
          <cell r="R83">
            <v>72.5</v>
          </cell>
        </row>
        <row r="84">
          <cell r="P84">
            <v>63</v>
          </cell>
          <cell r="Q84">
            <v>1.45</v>
          </cell>
          <cell r="R84">
            <v>91.35</v>
          </cell>
        </row>
        <row r="85">
          <cell r="P85">
            <v>80</v>
          </cell>
          <cell r="Q85">
            <v>1.45</v>
          </cell>
          <cell r="R85">
            <v>116</v>
          </cell>
        </row>
        <row r="86">
          <cell r="P86">
            <v>100</v>
          </cell>
          <cell r="Q86">
            <v>1.45</v>
          </cell>
          <cell r="R86">
            <v>145</v>
          </cell>
        </row>
        <row r="87">
          <cell r="P87">
            <v>125</v>
          </cell>
          <cell r="Q87">
            <v>1.45</v>
          </cell>
          <cell r="R87">
            <v>181.25</v>
          </cell>
        </row>
        <row r="88">
          <cell r="P88">
            <v>160</v>
          </cell>
          <cell r="Q88">
            <v>1.3</v>
          </cell>
          <cell r="R88">
            <v>208</v>
          </cell>
        </row>
        <row r="89">
          <cell r="P89">
            <v>200</v>
          </cell>
          <cell r="Q89">
            <v>1.3</v>
          </cell>
          <cell r="R89">
            <v>260</v>
          </cell>
        </row>
        <row r="90">
          <cell r="P90">
            <v>250</v>
          </cell>
          <cell r="Q90">
            <v>1.3</v>
          </cell>
          <cell r="R90">
            <v>325</v>
          </cell>
        </row>
        <row r="91">
          <cell r="P91">
            <v>315</v>
          </cell>
          <cell r="Q91">
            <v>1.3</v>
          </cell>
          <cell r="R91">
            <v>409.5</v>
          </cell>
        </row>
        <row r="92">
          <cell r="P92">
            <v>400</v>
          </cell>
          <cell r="Q92">
            <v>1.3</v>
          </cell>
          <cell r="R92">
            <v>520</v>
          </cell>
        </row>
        <row r="93">
          <cell r="P93">
            <v>500</v>
          </cell>
          <cell r="Q93">
            <v>1.3</v>
          </cell>
          <cell r="R93">
            <v>650</v>
          </cell>
        </row>
        <row r="94">
          <cell r="P94">
            <v>630</v>
          </cell>
          <cell r="Q94">
            <v>1.3</v>
          </cell>
          <cell r="R94">
            <v>819</v>
          </cell>
        </row>
        <row r="95">
          <cell r="P95">
            <v>800</v>
          </cell>
          <cell r="Q95">
            <v>1.3</v>
          </cell>
          <cell r="R95">
            <v>1040</v>
          </cell>
        </row>
        <row r="96">
          <cell r="P96">
            <v>1000</v>
          </cell>
          <cell r="Q96">
            <v>1.3</v>
          </cell>
          <cell r="R96">
            <v>1300</v>
          </cell>
        </row>
        <row r="97">
          <cell r="P97">
            <v>1250</v>
          </cell>
          <cell r="Q97">
            <v>1.3</v>
          </cell>
          <cell r="R97">
            <v>1625</v>
          </cell>
        </row>
        <row r="98">
          <cell r="P98">
            <v>1600</v>
          </cell>
          <cell r="Q98">
            <v>1.3</v>
          </cell>
          <cell r="R98">
            <v>2080</v>
          </cell>
        </row>
        <row r="99">
          <cell r="P99">
            <v>2000</v>
          </cell>
          <cell r="Q99">
            <v>1.3</v>
          </cell>
          <cell r="R99">
            <v>2600</v>
          </cell>
        </row>
      </sheetData>
      <sheetData sheetId="5">
        <row r="9">
          <cell r="B9">
            <v>1.5</v>
          </cell>
          <cell r="C9">
            <v>12.1</v>
          </cell>
          <cell r="D9">
            <v>1000</v>
          </cell>
          <cell r="E9">
            <v>12.1</v>
          </cell>
          <cell r="F9">
            <v>12.1</v>
          </cell>
        </row>
        <row r="10">
          <cell r="B10">
            <v>2.5</v>
          </cell>
          <cell r="C10">
            <v>7.41</v>
          </cell>
          <cell r="D10">
            <v>1000</v>
          </cell>
          <cell r="E10">
            <v>7.41</v>
          </cell>
          <cell r="F10">
            <v>7.41</v>
          </cell>
        </row>
        <row r="11">
          <cell r="B11">
            <v>4</v>
          </cell>
          <cell r="C11">
            <v>4.6100000000000003</v>
          </cell>
          <cell r="D11">
            <v>1000</v>
          </cell>
          <cell r="E11">
            <v>4.6100000000000003</v>
          </cell>
          <cell r="F11">
            <v>4.6100000000000003</v>
          </cell>
        </row>
        <row r="12">
          <cell r="B12">
            <v>6</v>
          </cell>
          <cell r="C12">
            <v>3.08</v>
          </cell>
          <cell r="D12">
            <v>1000</v>
          </cell>
          <cell r="E12">
            <v>3.08</v>
          </cell>
          <cell r="F12">
            <v>3.08</v>
          </cell>
        </row>
        <row r="13">
          <cell r="B13">
            <v>10</v>
          </cell>
          <cell r="C13">
            <v>1.83</v>
          </cell>
          <cell r="D13">
            <v>1000</v>
          </cell>
          <cell r="E13">
            <v>1.83</v>
          </cell>
          <cell r="F13">
            <v>1.83</v>
          </cell>
        </row>
        <row r="14">
          <cell r="B14">
            <v>16</v>
          </cell>
          <cell r="C14">
            <v>1.1499999999999999</v>
          </cell>
          <cell r="D14">
            <v>1000</v>
          </cell>
          <cell r="E14">
            <v>1.1499999999999999</v>
          </cell>
          <cell r="F14">
            <v>1.1499999999999999</v>
          </cell>
        </row>
        <row r="15">
          <cell r="B15">
            <v>25</v>
          </cell>
          <cell r="C15">
            <v>0.72699999999999998</v>
          </cell>
          <cell r="D15">
            <v>1000</v>
          </cell>
          <cell r="E15">
            <v>0.72699999999999998</v>
          </cell>
          <cell r="F15">
            <v>0.72699999999999998</v>
          </cell>
        </row>
        <row r="16">
          <cell r="B16">
            <v>35</v>
          </cell>
          <cell r="C16">
            <v>0.52400000000000002</v>
          </cell>
          <cell r="D16">
            <v>1000</v>
          </cell>
          <cell r="E16">
            <v>0.52400000000000002</v>
          </cell>
          <cell r="F16">
            <v>0.52400000000000002</v>
          </cell>
        </row>
        <row r="17">
          <cell r="B17">
            <v>50</v>
          </cell>
          <cell r="C17">
            <v>0.38700000000000001</v>
          </cell>
          <cell r="D17">
            <v>1000</v>
          </cell>
          <cell r="E17">
            <v>0.38700000000000001</v>
          </cell>
          <cell r="F17">
            <v>0.38700000000000001</v>
          </cell>
        </row>
        <row r="18">
          <cell r="B18">
            <v>70</v>
          </cell>
          <cell r="C18">
            <v>0.26800000000000002</v>
          </cell>
          <cell r="D18">
            <v>1000</v>
          </cell>
          <cell r="E18">
            <v>0.26800000000000002</v>
          </cell>
          <cell r="F18">
            <v>0.26800000000000002</v>
          </cell>
        </row>
        <row r="19">
          <cell r="B19">
            <v>95</v>
          </cell>
          <cell r="C19">
            <v>0.193</v>
          </cell>
          <cell r="D19">
            <v>1000</v>
          </cell>
          <cell r="E19">
            <v>0.193</v>
          </cell>
          <cell r="F19">
            <v>0.193</v>
          </cell>
        </row>
        <row r="20">
          <cell r="B20">
            <v>120</v>
          </cell>
          <cell r="C20">
            <v>0.153</v>
          </cell>
          <cell r="D20">
            <v>1000</v>
          </cell>
          <cell r="E20">
            <v>0.153</v>
          </cell>
          <cell r="F20">
            <v>0.153</v>
          </cell>
        </row>
        <row r="21">
          <cell r="B21">
            <v>150</v>
          </cell>
          <cell r="C21">
            <v>0.124</v>
          </cell>
          <cell r="D21">
            <v>1000</v>
          </cell>
          <cell r="E21">
            <v>0.124</v>
          </cell>
          <cell r="F21">
            <v>0.124</v>
          </cell>
        </row>
        <row r="22">
          <cell r="B22">
            <v>185</v>
          </cell>
          <cell r="C22">
            <v>9.9099999999999994E-2</v>
          </cell>
          <cell r="D22">
            <v>1000</v>
          </cell>
          <cell r="E22">
            <v>9.9099999999999994E-2</v>
          </cell>
          <cell r="F22">
            <v>9.9099999999999994E-2</v>
          </cell>
        </row>
        <row r="23">
          <cell r="B23">
            <v>240</v>
          </cell>
          <cell r="C23">
            <v>7.5399999999999995E-2</v>
          </cell>
          <cell r="D23">
            <v>1000</v>
          </cell>
          <cell r="E23">
            <v>7.5399999999999995E-2</v>
          </cell>
          <cell r="F23">
            <v>7.5399999999999995E-2</v>
          </cell>
        </row>
        <row r="29">
          <cell r="C29">
            <v>0</v>
          </cell>
          <cell r="D29">
            <v>1000</v>
          </cell>
          <cell r="E29">
            <v>0</v>
          </cell>
          <cell r="F29">
            <v>0</v>
          </cell>
        </row>
        <row r="30">
          <cell r="B30">
            <v>2.5</v>
          </cell>
          <cell r="C30">
            <v>0</v>
          </cell>
          <cell r="D30">
            <v>1000</v>
          </cell>
          <cell r="E30">
            <v>0</v>
          </cell>
          <cell r="F30">
            <v>0</v>
          </cell>
        </row>
        <row r="31">
          <cell r="B31">
            <v>4</v>
          </cell>
          <cell r="C31">
            <v>7.41</v>
          </cell>
          <cell r="D31">
            <v>1000</v>
          </cell>
          <cell r="E31">
            <v>7.41</v>
          </cell>
          <cell r="F31">
            <v>7.7064000000000004</v>
          </cell>
        </row>
        <row r="32">
          <cell r="B32">
            <v>6</v>
          </cell>
          <cell r="C32">
            <v>4.6100000000000003</v>
          </cell>
          <cell r="D32">
            <v>1000</v>
          </cell>
          <cell r="E32">
            <v>4.6100000000000003</v>
          </cell>
          <cell r="F32">
            <v>4.7944000000000004</v>
          </cell>
        </row>
        <row r="33">
          <cell r="B33">
            <v>10</v>
          </cell>
          <cell r="C33">
            <v>3.08</v>
          </cell>
          <cell r="D33">
            <v>1000</v>
          </cell>
          <cell r="E33">
            <v>3.08</v>
          </cell>
          <cell r="F33">
            <v>3.2032000000000003</v>
          </cell>
        </row>
        <row r="34">
          <cell r="B34">
            <v>16</v>
          </cell>
          <cell r="C34">
            <v>1.91</v>
          </cell>
          <cell r="D34">
            <v>1000</v>
          </cell>
          <cell r="E34">
            <v>1.91</v>
          </cell>
          <cell r="F34">
            <v>1.9863999999999999</v>
          </cell>
        </row>
        <row r="35">
          <cell r="B35">
            <v>25</v>
          </cell>
          <cell r="C35">
            <v>1.2</v>
          </cell>
          <cell r="D35">
            <v>1000</v>
          </cell>
          <cell r="E35">
            <v>1.2</v>
          </cell>
          <cell r="F35">
            <v>1.248</v>
          </cell>
        </row>
        <row r="36">
          <cell r="B36">
            <v>35</v>
          </cell>
          <cell r="C36">
            <v>0.86799999999999999</v>
          </cell>
          <cell r="D36">
            <v>1000</v>
          </cell>
          <cell r="E36">
            <v>0.86799999999999999</v>
          </cell>
          <cell r="F36">
            <v>0.90272000000000008</v>
          </cell>
        </row>
        <row r="37">
          <cell r="B37">
            <v>50</v>
          </cell>
          <cell r="C37">
            <v>0.64100000000000001</v>
          </cell>
          <cell r="D37">
            <v>1000</v>
          </cell>
          <cell r="E37">
            <v>0.64100000000000001</v>
          </cell>
          <cell r="F37">
            <v>0.66664000000000001</v>
          </cell>
        </row>
        <row r="38">
          <cell r="B38">
            <v>70</v>
          </cell>
          <cell r="C38">
            <v>0.443</v>
          </cell>
          <cell r="D38">
            <v>1000</v>
          </cell>
          <cell r="E38">
            <v>0.443</v>
          </cell>
          <cell r="F38">
            <v>0.46072000000000002</v>
          </cell>
        </row>
        <row r="39">
          <cell r="B39">
            <v>95</v>
          </cell>
          <cell r="C39">
            <v>0.32</v>
          </cell>
          <cell r="D39">
            <v>1000</v>
          </cell>
          <cell r="E39">
            <v>0.32</v>
          </cell>
          <cell r="F39">
            <v>0.33280000000000004</v>
          </cell>
        </row>
        <row r="40">
          <cell r="B40">
            <v>120</v>
          </cell>
          <cell r="C40">
            <v>0.253</v>
          </cell>
          <cell r="D40">
            <v>1000</v>
          </cell>
          <cell r="E40">
            <v>0.253</v>
          </cell>
          <cell r="F40">
            <v>0.26312000000000002</v>
          </cell>
        </row>
        <row r="41">
          <cell r="B41">
            <v>150</v>
          </cell>
          <cell r="C41">
            <v>0.20599999999999999</v>
          </cell>
          <cell r="D41">
            <v>1000</v>
          </cell>
          <cell r="E41">
            <v>0.20599999999999999</v>
          </cell>
          <cell r="F41">
            <v>0.21423999999999999</v>
          </cell>
        </row>
        <row r="42">
          <cell r="B42">
            <v>185</v>
          </cell>
          <cell r="C42">
            <v>0.16400000000000001</v>
          </cell>
          <cell r="D42">
            <v>1000</v>
          </cell>
          <cell r="E42">
            <v>0.16400000000000001</v>
          </cell>
          <cell r="F42">
            <v>0.17056000000000002</v>
          </cell>
        </row>
        <row r="43">
          <cell r="B43">
            <v>240</v>
          </cell>
          <cell r="C43">
            <v>0.125</v>
          </cell>
          <cell r="D43">
            <v>1000</v>
          </cell>
          <cell r="E43">
            <v>0.125</v>
          </cell>
          <cell r="F43">
            <v>0.13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de DC"/>
      <sheetName val="Rede AC"/>
      <sheetName val="F.C"/>
      <sheetName val="Q 52H"/>
      <sheetName val="EQUIP."/>
      <sheetName val="Base_cabos"/>
      <sheetName val="Base_prot"/>
      <sheetName val="Cábulas"/>
      <sheetName val="NP 661"/>
      <sheetName val="NP 2361"/>
      <sheetName val="Folha11"/>
      <sheetName val="Resumo Q. Cabos"/>
    </sheetNames>
    <sheetDataSet>
      <sheetData sheetId="0"/>
      <sheetData sheetId="1"/>
      <sheetData sheetId="2"/>
      <sheetData sheetId="3">
        <row r="2">
          <cell r="C2">
            <v>1</v>
          </cell>
        </row>
        <row r="3">
          <cell r="C3">
            <v>2</v>
          </cell>
        </row>
        <row r="4">
          <cell r="C4">
            <v>3</v>
          </cell>
        </row>
        <row r="5">
          <cell r="C5" t="str">
            <v>3A</v>
          </cell>
        </row>
        <row r="6">
          <cell r="C6">
            <v>4</v>
          </cell>
        </row>
        <row r="7">
          <cell r="C7" t="str">
            <v>4A</v>
          </cell>
        </row>
        <row r="8">
          <cell r="C8">
            <v>5</v>
          </cell>
        </row>
        <row r="9">
          <cell r="C9" t="str">
            <v>5A</v>
          </cell>
        </row>
        <row r="10">
          <cell r="C10">
            <v>11</v>
          </cell>
        </row>
        <row r="11">
          <cell r="C11" t="str">
            <v>11A</v>
          </cell>
        </row>
        <row r="12">
          <cell r="C12">
            <v>12</v>
          </cell>
        </row>
        <row r="13">
          <cell r="C13">
            <v>13</v>
          </cell>
        </row>
        <row r="14">
          <cell r="C14">
            <v>14</v>
          </cell>
        </row>
        <row r="15">
          <cell r="C15">
            <v>15</v>
          </cell>
        </row>
        <row r="16">
          <cell r="C16">
            <v>16</v>
          </cell>
        </row>
        <row r="17">
          <cell r="C17">
            <v>17</v>
          </cell>
        </row>
        <row r="18">
          <cell r="C18">
            <v>18</v>
          </cell>
        </row>
        <row r="19">
          <cell r="C19">
            <v>21</v>
          </cell>
        </row>
        <row r="20">
          <cell r="C20">
            <v>22</v>
          </cell>
        </row>
        <row r="21">
          <cell r="C21" t="str">
            <v>22A</v>
          </cell>
        </row>
        <row r="22">
          <cell r="C22">
            <v>23</v>
          </cell>
        </row>
        <row r="23">
          <cell r="C23" t="str">
            <v>23A</v>
          </cell>
        </row>
        <row r="24">
          <cell r="C24">
            <v>24</v>
          </cell>
        </row>
        <row r="25">
          <cell r="C25" t="str">
            <v>24A</v>
          </cell>
        </row>
        <row r="26">
          <cell r="C26">
            <v>25</v>
          </cell>
        </row>
        <row r="27">
          <cell r="C27">
            <v>31</v>
          </cell>
        </row>
        <row r="28">
          <cell r="C28">
            <v>32</v>
          </cell>
        </row>
        <row r="29">
          <cell r="C29">
            <v>33</v>
          </cell>
        </row>
        <row r="30">
          <cell r="C30" t="str">
            <v>33A</v>
          </cell>
        </row>
        <row r="31">
          <cell r="C31">
            <v>34</v>
          </cell>
        </row>
        <row r="32">
          <cell r="C32" t="str">
            <v>34A</v>
          </cell>
        </row>
        <row r="33">
          <cell r="C33">
            <v>41</v>
          </cell>
        </row>
        <row r="34">
          <cell r="C34">
            <v>42</v>
          </cell>
        </row>
        <row r="35">
          <cell r="C35">
            <v>43</v>
          </cell>
        </row>
        <row r="36">
          <cell r="C36">
            <v>51</v>
          </cell>
        </row>
        <row r="37">
          <cell r="C37">
            <v>52</v>
          </cell>
        </row>
        <row r="38">
          <cell r="C38">
            <v>53</v>
          </cell>
        </row>
        <row r="39">
          <cell r="C39">
            <v>61</v>
          </cell>
        </row>
        <row r="40">
          <cell r="C40">
            <v>62</v>
          </cell>
        </row>
        <row r="41">
          <cell r="C41">
            <v>63</v>
          </cell>
        </row>
        <row r="42">
          <cell r="C42">
            <v>71</v>
          </cell>
        </row>
        <row r="43">
          <cell r="C43">
            <v>72</v>
          </cell>
        </row>
        <row r="44">
          <cell r="C44">
            <v>73</v>
          </cell>
        </row>
        <row r="45">
          <cell r="C45">
            <v>74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de DC"/>
      <sheetName val="Rede AC"/>
      <sheetName val="IZ"/>
      <sheetName val="F.C"/>
      <sheetName val="Q 52H"/>
      <sheetName val="EQUIP."/>
      <sheetName val="Base_cabos"/>
      <sheetName val="Base_prot"/>
      <sheetName val="Cábulas"/>
      <sheetName val="NP 661"/>
      <sheetName val="NP 2361"/>
      <sheetName val="Folha11"/>
      <sheetName val="Resumo Q. Cabos"/>
    </sheetNames>
    <sheetDataSet>
      <sheetData sheetId="0"/>
      <sheetData sheetId="1"/>
      <sheetData sheetId="2"/>
      <sheetData sheetId="3"/>
      <sheetData sheetId="4">
        <row r="2">
          <cell r="C2">
            <v>1</v>
          </cell>
        </row>
        <row r="3">
          <cell r="C3">
            <v>2</v>
          </cell>
        </row>
        <row r="4">
          <cell r="C4">
            <v>3</v>
          </cell>
        </row>
        <row r="5">
          <cell r="C5" t="str">
            <v>3A</v>
          </cell>
        </row>
        <row r="6">
          <cell r="C6">
            <v>4</v>
          </cell>
        </row>
        <row r="7">
          <cell r="C7" t="str">
            <v>4A</v>
          </cell>
        </row>
        <row r="8">
          <cell r="C8">
            <v>5</v>
          </cell>
        </row>
        <row r="9">
          <cell r="C9" t="str">
            <v>5A</v>
          </cell>
        </row>
        <row r="10">
          <cell r="C10">
            <v>11</v>
          </cell>
        </row>
        <row r="11">
          <cell r="C11" t="str">
            <v>11A</v>
          </cell>
        </row>
        <row r="12">
          <cell r="C12">
            <v>12</v>
          </cell>
        </row>
        <row r="13">
          <cell r="C13">
            <v>13</v>
          </cell>
        </row>
        <row r="14">
          <cell r="C14">
            <v>14</v>
          </cell>
        </row>
        <row r="15">
          <cell r="C15">
            <v>15</v>
          </cell>
        </row>
        <row r="16">
          <cell r="C16">
            <v>16</v>
          </cell>
        </row>
        <row r="17">
          <cell r="C17">
            <v>17</v>
          </cell>
        </row>
        <row r="18">
          <cell r="C18">
            <v>18</v>
          </cell>
        </row>
        <row r="19">
          <cell r="C19">
            <v>21</v>
          </cell>
        </row>
        <row r="20">
          <cell r="C20">
            <v>22</v>
          </cell>
        </row>
        <row r="21">
          <cell r="C21" t="str">
            <v>22A</v>
          </cell>
        </row>
        <row r="22">
          <cell r="C22">
            <v>23</v>
          </cell>
        </row>
        <row r="23">
          <cell r="C23" t="str">
            <v>23A</v>
          </cell>
        </row>
        <row r="24">
          <cell r="C24">
            <v>24</v>
          </cell>
        </row>
        <row r="25">
          <cell r="C25" t="str">
            <v>24A</v>
          </cell>
        </row>
        <row r="26">
          <cell r="C26">
            <v>25</v>
          </cell>
        </row>
        <row r="27">
          <cell r="C27">
            <v>31</v>
          </cell>
        </row>
        <row r="28">
          <cell r="C28">
            <v>32</v>
          </cell>
        </row>
        <row r="29">
          <cell r="C29">
            <v>33</v>
          </cell>
        </row>
        <row r="30">
          <cell r="C30" t="str">
            <v>33A</v>
          </cell>
        </row>
        <row r="31">
          <cell r="C31">
            <v>34</v>
          </cell>
        </row>
        <row r="32">
          <cell r="C32" t="str">
            <v>34A</v>
          </cell>
        </row>
        <row r="33">
          <cell r="C33">
            <v>41</v>
          </cell>
        </row>
        <row r="34">
          <cell r="C34">
            <v>42</v>
          </cell>
        </row>
        <row r="35">
          <cell r="C35">
            <v>43</v>
          </cell>
        </row>
        <row r="36">
          <cell r="C36">
            <v>51</v>
          </cell>
        </row>
        <row r="37">
          <cell r="C37">
            <v>52</v>
          </cell>
        </row>
        <row r="38">
          <cell r="C38">
            <v>53</v>
          </cell>
        </row>
        <row r="39">
          <cell r="C39">
            <v>61</v>
          </cell>
        </row>
        <row r="40">
          <cell r="C40">
            <v>62</v>
          </cell>
        </row>
        <row r="41">
          <cell r="C41">
            <v>63</v>
          </cell>
        </row>
        <row r="42">
          <cell r="C42">
            <v>71</v>
          </cell>
        </row>
        <row r="43">
          <cell r="C43">
            <v>72</v>
          </cell>
        </row>
        <row r="44">
          <cell r="C44">
            <v>73</v>
          </cell>
        </row>
        <row r="45">
          <cell r="C45">
            <v>74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33469-2E04-479D-8CD4-503D7457C865}" name="Table1" displayName="Table1" ref="N1:R59" totalsRowShown="0" headerRowDxfId="73" dataDxfId="72" headerRowCellStyle="Normal 2" dataCellStyle="Normal 2">
  <autoFilter ref="N1:R59" xr:uid="{35133469-2E04-479D-8CD4-503D7457C865}"/>
  <sortState xmlns:xlrd2="http://schemas.microsoft.com/office/spreadsheetml/2017/richdata2" ref="N2:R26">
    <sortCondition ref="O1:O26"/>
  </sortState>
  <tableColumns count="5">
    <tableColumn id="1" xr3:uid="{837697DB-42DC-4E39-BC4B-06390A64C716}" name="Cabo" dataDxfId="71" dataCellStyle="Normal 2"/>
    <tableColumn id="2" xr3:uid="{4D7D1D10-5063-4BAA-8321-0652F2608558}" name="Material" dataDxfId="70" dataCellStyle="Normal 2"/>
    <tableColumn id="3" xr3:uid="{49355D61-382F-42ED-A7A6-4E9C3784F9D0}" name="Isolamento" dataDxfId="69" dataCellStyle="Normal 2"/>
    <tableColumn id="4" xr3:uid="{BB04BD5F-3D4B-44B7-A2A4-713EC01BCACF}" name="Mono/Multi" dataDxfId="68" dataCellStyle="Normal 2"/>
    <tableColumn id="5" xr3:uid="{FD37C65C-480B-41BC-AD0B-79B703A9072F}" name="Preço €" dataDxfId="67" dataCellStyle="Normal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CD2B13-AFCA-4256-8800-8187F4CF3300}" name="Table44" displayName="Table44" ref="X1:X5" totalsRowShown="0" headerRowDxfId="66" dataDxfId="65">
  <autoFilter ref="X1:X5" xr:uid="{A8CD2B13-AFCA-4256-8800-8187F4CF3300}"/>
  <tableColumns count="1">
    <tableColumn id="1" xr3:uid="{2DEE5FB8-8261-4750-B7A5-B308B2D95E55}" name="Marcas" dataDxfId="6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1E1838-79D0-4692-83C1-7D8E8F1D7380}" name="Table59" displayName="Table59" ref="Z1:Z5" totalsRowShown="0">
  <autoFilter ref="Z1:Z5" xr:uid="{A21E1838-79D0-4692-83C1-7D8E8F1D7380}"/>
  <tableColumns count="1">
    <tableColumn id="1" xr3:uid="{93CB3294-6A76-4D7C-AFEB-04841E7DB16C}" name="Modelos Rise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E741841-0EDF-418B-9BB9-3E9717FA728A}" name="Table610" displayName="Table610" ref="AB1:AB4" totalsRowShown="0">
  <autoFilter ref="AB1:AB4" xr:uid="{EE741841-0EDF-418B-9BB9-3E9717FA728A}"/>
  <tableColumns count="1">
    <tableColumn id="1" xr3:uid="{75D2436D-56DD-4019-AFF6-524C998C4F7A}" name="Modelos ZNShi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609F85D-329C-433D-82E3-64D31D335679}" name="Table711" displayName="Table711" ref="AD1:AD4" totalsRowShown="0">
  <autoFilter ref="AD1:AD4" xr:uid="{9609F85D-329C-433D-82E3-64D31D335679}"/>
  <tableColumns count="1">
    <tableColumn id="1" xr3:uid="{68898729-8B37-409A-820E-9CA21A882FF8}" name="Modelos JA Sola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E982003-482B-4EDF-9772-C90E0728DC7F}" name="Table71112" displayName="Table71112" ref="AF1:AF4" totalsRowShown="0">
  <autoFilter ref="AF1:AF4" xr:uid="{0E982003-482B-4EDF-9772-C90E0728DC7F}"/>
  <tableColumns count="1">
    <tableColumn id="1" xr3:uid="{BFCF5684-A5C5-4B0D-888F-DBB60F1582A1}" name="ModelosQCel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F762EC-0D10-431C-8133-A46EC75FD222}" name="Table2" displayName="Table2" ref="A1:BG14" totalsRowShown="0" headerRowDxfId="63" dataDxfId="62" tableBorderDxfId="61">
  <autoFilter ref="A1:BG14" xr:uid="{F6F762EC-0D10-431C-8133-A46EC75FD222}"/>
  <tableColumns count="59">
    <tableColumn id="1" xr3:uid="{798BDF1E-9171-4C7F-9AC5-B5A3065647E1}" name="Caracteristicas" dataDxfId="60"/>
    <tableColumn id="19" xr3:uid="{02012341-54E8-4860-9A1C-31CBF7176636}" name="SUN2000-5KTL-L1" dataDxfId="59"/>
    <tableColumn id="12" xr3:uid="{7D3C4A8E-757B-4E73-97F5-BAF3049DA740}" name="SUN2000-6KTL-L1" dataDxfId="58"/>
    <tableColumn id="2" xr3:uid="{BE1F5716-50F3-4B42-9B94-3232727A943F}" name="SUN2000-10K-MAP0" dataDxfId="57"/>
    <tableColumn id="20" xr3:uid="{5DC64C83-8D3F-44AC-8FAA-0CA4536E4186}" name="SUN2000-12K-MAP0" dataDxfId="56"/>
    <tableColumn id="11" xr3:uid="{9EC50ADE-77A1-4F98-B66A-597ED49E5FFB}" name=" SUN2000-3KTL-M1 HC" dataDxfId="55"/>
    <tableColumn id="22" xr3:uid="{EE376EE2-CC91-4487-BAAF-36509B690583}" name=" SUN2000-4KTL-M1 HC" dataDxfId="54"/>
    <tableColumn id="23" xr3:uid="{3A2EB3DB-FE5D-4626-890C-1709438A516D}" name=" SUN2000-5KTL-M1 HC" dataDxfId="53"/>
    <tableColumn id="24" xr3:uid="{38892529-BAAB-442D-8017-909B7759CF21}" name="SUN2000-6KTL-M1 HC" dataDxfId="52"/>
    <tableColumn id="25" xr3:uid="{9DEA53EB-F9F4-4DA3-AFD3-3249C67349EC}" name="SUN2000-8KTL-M1 HC" dataDxfId="51"/>
    <tableColumn id="26" xr3:uid="{BA6CCF00-1457-4FB4-8F10-05C0C987CCCF}" name="SUN2000-10KT-M1 HC" dataDxfId="50"/>
    <tableColumn id="3" xr3:uid="{6BF62232-52BF-4548-AE64-CD788A19BFAC}" name="SUN2000-12K-MB0" dataDxfId="49"/>
    <tableColumn id="13" xr3:uid="{85ADB85A-E6E5-45E0-B750-FB6EFAAF8BAB}" name="SUN2000-15K-MB0" dataDxfId="48"/>
    <tableColumn id="16" xr3:uid="{2DCAEEAC-D6CE-4717-8436-C697A5F39FA4}" name="SUN2000-17KTL-MB0" dataDxfId="47"/>
    <tableColumn id="18" xr3:uid="{A670176A-7455-4650-871D-AA0FA5DB1E4E}" name="SUN2000-20K-MB0" dataDxfId="46"/>
    <tableColumn id="17" xr3:uid="{4DC29DFD-98D3-4CBA-97C8-4EB1BE21850A}" name="SUN2000-25K-MB0" dataDxfId="45"/>
    <tableColumn id="5" xr3:uid="{6489506E-4C0E-4C22-972A-826F5D780873}" name="SUN2000-30KTL-M3" dataDxfId="44"/>
    <tableColumn id="6" xr3:uid="{2AC71A47-A165-450C-81FC-FB23EBE715F4}" name="SUN2000-36KTL-M3" dataDxfId="43"/>
    <tableColumn id="7" xr3:uid="{DA3AE17B-B6EF-499D-A8D8-49AC91B522EC}" name="SUN2000-40KTL-M3" dataDxfId="42"/>
    <tableColumn id="8" xr3:uid="{13446A26-F501-4E09-A749-295BFFCDC4B6}" name="SUN2000-50KTL-M3" dataDxfId="41"/>
    <tableColumn id="10" xr3:uid="{A68CDC5D-C91F-4870-8FB3-0F89E02D2A35}" name="SUN2000-100KTL-M2" dataDxfId="40"/>
    <tableColumn id="27" xr3:uid="{B5A4DE61-113A-4D10-A73F-DCA0A46E9081}" name="SUN2000-115KTL-M2" dataDxfId="39"/>
    <tableColumn id="21" xr3:uid="{2E6BE948-E8A4-4A3A-ADCA-4842322383AD}" name="SUN2000-150K-MG0" dataDxfId="38"/>
    <tableColumn id="28" xr3:uid="{B382F477-6038-4E15-8AD0-090605D76FF3}" name="SigenStor EC 5.0 TP" dataDxfId="37"/>
    <tableColumn id="29" xr3:uid="{859B5E73-79C9-408A-B161-7456D3D28E03}" name="SigenStor EC 6.0 TP " dataDxfId="36"/>
    <tableColumn id="30" xr3:uid="{1E916CF8-8C83-41EC-8909-3464971649CA}" name="SigenStor EC 8.0 TP " dataDxfId="35"/>
    <tableColumn id="32" xr3:uid="{EC434FBD-7A44-4FEA-A102-ADD547C84A17}" name="SigenStor EC 10.0 TP " dataDxfId="34"/>
    <tableColumn id="33" xr3:uid="{5F54BD7E-89B8-4993-9437-72EBCB20F186}" name="SigenStor EC 12.0 TP" dataDxfId="33"/>
    <tableColumn id="34" xr3:uid="{4CC8E98F-B34E-4C31-8CC0-0F7277F94427}" name="SigenStor EC 15.0 TP" dataDxfId="32"/>
    <tableColumn id="35" xr3:uid="{398E3990-22AB-4AAE-AC16-F774874B852B}" name="SigenStor EC 17.0 TP" dataDxfId="31"/>
    <tableColumn id="36" xr3:uid="{B2EAD79F-8DF6-4455-871A-AC63B1B7471E}" name="SigenStor EC 20.0 TP" dataDxfId="30"/>
    <tableColumn id="37" xr3:uid="{99D5FC11-309A-492B-8A11-7DFC0B5BA385}" name="SigenStor EC 25.0 TP" dataDxfId="29"/>
    <tableColumn id="38" xr3:uid="{94AC1DBB-EC1A-45A6-803B-34FCCB6C3643}" name="SigenStor EC 30.0 TP " dataDxfId="28"/>
    <tableColumn id="39" xr3:uid="{A7F33393-A823-48D3-9362-E5E63F50B88F}" name="PV 50 M1-HYA" dataDxfId="27"/>
    <tableColumn id="40" xr3:uid="{515503FC-8CE0-493D-9A80-F98F60922187}" name="PV 60-M1-HYA" dataDxfId="26"/>
    <tableColumn id="41" xr3:uid="{71A42440-A7D2-43CC-AC34-85330138253B}" name="PV 80 M1-HYA" dataDxfId="25"/>
    <tableColumn id="42" xr3:uid="{91F54FD0-1FB6-46B5-B8E7-526D1D0BFD61}" name="PV 100 M1-HYA" dataDxfId="24"/>
    <tableColumn id="43" xr3:uid="{E172F15A-CD9A-4C2A-80B5-8969ED47582B}" name="PV 110-M1-HYA" dataDxfId="23"/>
    <tableColumn id="44" xr3:uid="{A31F3F33-41D9-4938-BC21-F34D24FDC1E6}" name="PV 125-M1-HYA" dataDxfId="22"/>
    <tableColumn id="45" xr3:uid="{2CC5DAD9-3DDE-4BFC-A4CA-787540BF2FA4}" name="PV 50 M1" dataDxfId="21"/>
    <tableColumn id="46" xr3:uid="{A218E8B3-704C-4648-B53B-B7A6BB6A48E9}" name="PV 60 M1" dataDxfId="20"/>
    <tableColumn id="47" xr3:uid="{B3168F3E-9E28-4146-8659-AF9E8B130DAB}" name="PV 80 M1" dataDxfId="19"/>
    <tableColumn id="48" xr3:uid="{3B995EE0-5835-443B-8A44-A25EA6692335}" name="PV 100 M1" dataDxfId="18"/>
    <tableColumn id="49" xr3:uid="{652792FE-27D3-4124-99F3-FEDF85DACCBB}" name="PV 110 M1" dataDxfId="17"/>
    <tableColumn id="50" xr3:uid="{60C474F9-1C87-435F-A8B1-C8A45346EF50}" name="PV 125 M1" dataDxfId="16"/>
    <tableColumn id="51" xr3:uid="{A771A5AD-CEB8-4F1A-876A-1DE9EF17CFA9}" name="PV 50 M1-HYB" dataDxfId="15"/>
    <tableColumn id="52" xr3:uid="{633D0F16-8F49-4902-A4CE-FD7FD1584B63}" name="PV 60-M1-HYB" dataDxfId="14"/>
    <tableColumn id="53" xr3:uid="{72934491-2816-4426-8ECF-B8E544D65862}" name="PV 80 M1-HYB" dataDxfId="13"/>
    <tableColumn id="54" xr3:uid="{CFEC95B4-B55F-4FD2-8DFF-2EAAE05C3E12}" name="PV 100 M1-HYB" dataDxfId="12"/>
    <tableColumn id="55" xr3:uid="{7E2B20EE-CDDF-40C6-9A8B-4C029BC86719}" name="PV 110-M1-HYB" dataDxfId="11"/>
    <tableColumn id="56" xr3:uid="{1BDB0A71-0320-4122-90B8-0106019C9288}" name="PV 125-M1-HYB" dataDxfId="10"/>
    <tableColumn id="62" xr3:uid="{62E935FE-82B0-4683-A01D-D3F63F1CD33F}" name="SigenStor EC 3.0 SP" dataDxfId="9"/>
    <tableColumn id="63" xr3:uid="{D1EEC848-F451-4A3A-89CF-8E2B5E1EBB7E}" name="SigenStor EC 3.6 SP" dataDxfId="8"/>
    <tableColumn id="64" xr3:uid="{EC92AC73-B5A4-453B-A36B-0EBDFF97348A}" name="SigenStor EC 4.0 SP" dataDxfId="7"/>
    <tableColumn id="57" xr3:uid="{49134A5A-B41C-4F06-BC8A-76F40FFE1C46}" name="SigenStor EC 5.0 SP" dataDxfId="6"/>
    <tableColumn id="58" xr3:uid="{2EF94408-DBB0-4043-8F12-F765DC4D3BC9}" name="SigenStor EC 6.0 SP" dataDxfId="5"/>
    <tableColumn id="59" xr3:uid="{75BC2131-8931-4F2F-9ED1-D893DAF45859}" name="SigenStor EC 8.0 SP" dataDxfId="4"/>
    <tableColumn id="60" xr3:uid="{797C0A69-59C7-4A92-BCEA-25FE906589FC}" name="SigenStor EC 10.0 SP" dataDxfId="3"/>
    <tableColumn id="61" xr3:uid="{EF8A4A8E-4292-47A9-9371-AC89F88D5AAD}" name="SigenStor EC 12.0 S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D2212E-75E4-4231-BA4A-6C184122A0D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d708dc1-5dad-422f-8e42-e70dbe5cc32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ranco@sofi.p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duarte.batista@solcor.pt" TargetMode="External"/><Relationship Id="rId2" Type="http://schemas.openxmlformats.org/officeDocument/2006/relationships/hyperlink" Target="mailto:ricardo.louro@solcor.pt" TargetMode="External"/><Relationship Id="rId1" Type="http://schemas.openxmlformats.org/officeDocument/2006/relationships/hyperlink" Target="mailto:rui.bernardes@redeforte.pt" TargetMode="Externa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80"/>
  <sheetViews>
    <sheetView zoomScale="70" zoomScaleNormal="70" workbookViewId="0">
      <selection activeCell="D18" sqref="D18"/>
    </sheetView>
  </sheetViews>
  <sheetFormatPr defaultRowHeight="14.5"/>
  <cols>
    <col min="2" max="2" width="42.54296875" style="2" bestFit="1" customWidth="1"/>
    <col min="3" max="3" width="75.54296875" style="13" bestFit="1" customWidth="1"/>
    <col min="5" max="5" width="19.1796875" bestFit="1" customWidth="1"/>
    <col min="6" max="6" width="36.453125" customWidth="1"/>
    <col min="7" max="7" width="23.1796875" style="12" customWidth="1"/>
    <col min="11" max="18" width="10" customWidth="1"/>
    <col min="20" max="20" width="9.1796875" customWidth="1"/>
  </cols>
  <sheetData>
    <row r="1" spans="2:7" ht="15" thickBot="1">
      <c r="D1" s="7"/>
    </row>
    <row r="2" spans="2:7" ht="17.25" customHeight="1" thickBot="1">
      <c r="B2" s="6" t="s">
        <v>0</v>
      </c>
      <c r="C2" s="32" t="s">
        <v>1</v>
      </c>
    </row>
    <row r="3" spans="2:7" ht="17.25" customHeight="1" thickBot="1">
      <c r="B3" s="6" t="s">
        <v>2</v>
      </c>
      <c r="C3" s="32">
        <f>IF(C2="Rui Bárbaro Bernardes",39000,IF(C2="João Duarte Marques Serrasqueiro",17762,IF(C2="João Sinfrónio",16733,IF(C2="Ricardo Miguel Modesto Louro",31306,IF(C2="Duarte Miguel Saraiva Batista",30250,0)))))</f>
        <v>31306</v>
      </c>
    </row>
    <row r="4" spans="2:7" ht="17.25" customHeight="1" thickBot="1">
      <c r="B4" s="6" t="s">
        <v>3</v>
      </c>
      <c r="C4" s="254">
        <v>46235</v>
      </c>
    </row>
    <row r="5" spans="2:7" ht="17.25" customHeight="1" thickBot="1"/>
    <row r="6" spans="2:7" ht="17.25" customHeight="1" thickBot="1">
      <c r="B6" s="25" t="s">
        <v>4</v>
      </c>
      <c r="F6" s="2"/>
      <c r="G6" s="2"/>
    </row>
    <row r="7" spans="2:7" ht="17.25" customHeight="1">
      <c r="B7" s="3" t="s">
        <v>5</v>
      </c>
      <c r="C7" s="56" t="s">
        <v>697</v>
      </c>
    </row>
    <row r="8" spans="2:7">
      <c r="B8" s="5" t="s">
        <v>6</v>
      </c>
      <c r="C8" s="57" t="s">
        <v>698</v>
      </c>
      <c r="D8" t="s">
        <v>7</v>
      </c>
    </row>
    <row r="9" spans="2:7">
      <c r="B9" s="5" t="s">
        <v>8</v>
      </c>
      <c r="C9" s="57" t="s">
        <v>699</v>
      </c>
    </row>
    <row r="10" spans="2:7">
      <c r="B10" s="5" t="s">
        <v>9</v>
      </c>
      <c r="C10" s="61">
        <v>912101956</v>
      </c>
    </row>
    <row r="11" spans="2:7">
      <c r="B11" s="5" t="s">
        <v>10</v>
      </c>
      <c r="C11" s="62" t="s">
        <v>700</v>
      </c>
    </row>
    <row r="12" spans="2:7">
      <c r="B12" s="5" t="s">
        <v>11</v>
      </c>
      <c r="C12" s="63"/>
    </row>
    <row r="13" spans="2:7">
      <c r="B13" s="5" t="s">
        <v>12</v>
      </c>
      <c r="C13" s="57"/>
    </row>
    <row r="14" spans="2:7">
      <c r="B14" s="5" t="s">
        <v>13</v>
      </c>
      <c r="C14" s="57"/>
    </row>
    <row r="15" spans="2:7">
      <c r="B15" s="5" t="s">
        <v>14</v>
      </c>
      <c r="C15" s="57"/>
    </row>
    <row r="16" spans="2:7" ht="15" thickBot="1">
      <c r="B16" s="4" t="s">
        <v>15</v>
      </c>
      <c r="C16" s="58"/>
    </row>
    <row r="17" spans="2:7" ht="17.25" customHeight="1" thickBot="1">
      <c r="C17" s="2"/>
    </row>
    <row r="18" spans="2:7" ht="17.25" customHeight="1" thickBot="1">
      <c r="B18" s="25" t="s">
        <v>16</v>
      </c>
      <c r="C18" s="2"/>
    </row>
    <row r="19" spans="2:7" ht="17.25" customHeight="1">
      <c r="B19" s="3" t="s">
        <v>17</v>
      </c>
      <c r="C19" s="33"/>
    </row>
    <row r="20" spans="2:7" ht="17.25" customHeight="1">
      <c r="B20" s="5" t="s">
        <v>18</v>
      </c>
      <c r="C20" s="68">
        <v>50</v>
      </c>
    </row>
    <row r="21" spans="2:7" ht="17.25" customHeight="1">
      <c r="B21" s="5" t="s">
        <v>19</v>
      </c>
      <c r="C21" s="68">
        <v>34</v>
      </c>
    </row>
    <row r="22" spans="2:7" ht="17.25" customHeight="1">
      <c r="B22" s="5" t="s">
        <v>20</v>
      </c>
      <c r="C22" s="34"/>
    </row>
    <row r="23" spans="2:7" ht="17.25" customHeight="1">
      <c r="B23" s="5" t="s">
        <v>21</v>
      </c>
      <c r="C23" s="34">
        <v>34</v>
      </c>
    </row>
    <row r="24" spans="2:7" ht="17.25" customHeight="1">
      <c r="B24" s="5" t="s">
        <v>22</v>
      </c>
      <c r="C24" s="68">
        <v>34</v>
      </c>
      <c r="E24" s="52"/>
    </row>
    <row r="25" spans="2:7" ht="17.25" customHeight="1">
      <c r="B25" s="5" t="s">
        <v>23</v>
      </c>
      <c r="C25" s="34">
        <v>34</v>
      </c>
    </row>
    <row r="26" spans="2:7" ht="17.25" customHeight="1">
      <c r="B26" s="5" t="s">
        <v>24</v>
      </c>
      <c r="C26" s="34"/>
    </row>
    <row r="27" spans="2:7" ht="17.25" customHeight="1" thickBot="1">
      <c r="B27" s="4" t="s">
        <v>25</v>
      </c>
      <c r="C27" s="35" t="s">
        <v>639</v>
      </c>
    </row>
    <row r="28" spans="2:7" ht="17.25" customHeight="1" thickBot="1"/>
    <row r="29" spans="2:7" ht="17.25" customHeight="1" thickBot="1">
      <c r="B29" s="1" t="s">
        <v>26</v>
      </c>
      <c r="F29" s="25" t="s">
        <v>27</v>
      </c>
    </row>
    <row r="30" spans="2:7" ht="17.25" customHeight="1">
      <c r="B30" s="3" t="s">
        <v>28</v>
      </c>
      <c r="C30" s="26" t="s">
        <v>511</v>
      </c>
      <c r="F30" s="9" t="s">
        <v>30</v>
      </c>
      <c r="G30" s="49">
        <v>0.03</v>
      </c>
    </row>
    <row r="31" spans="2:7" ht="17.25" customHeight="1">
      <c r="B31" s="5" t="s">
        <v>31</v>
      </c>
      <c r="C31" s="23" t="s">
        <v>521</v>
      </c>
      <c r="F31" s="10" t="s">
        <v>33</v>
      </c>
      <c r="G31" s="21"/>
    </row>
    <row r="32" spans="2:7" ht="17.25" customHeight="1" thickBot="1">
      <c r="B32" s="5" t="s">
        <v>34</v>
      </c>
      <c r="C32" s="64">
        <f>VLOOKUP(B32,'Paineís (Não Alterar)'!$A$3:$J$14,MATCH('Dados (ALTERAR)'!$C$31,'Paineís (Não Alterar)'!$A$2:$J$2,0),FALSE)</f>
        <v>585</v>
      </c>
      <c r="D32" s="31"/>
      <c r="F32" s="11" t="s">
        <v>35</v>
      </c>
      <c r="G32" s="22">
        <v>6</v>
      </c>
    </row>
    <row r="33" spans="2:7" ht="17.25" customHeight="1">
      <c r="B33" s="5" t="s">
        <v>36</v>
      </c>
      <c r="C33" s="64">
        <f>VLOOKUP(B33,'Paineís (Não Alterar)'!$A$3:$J$14,MATCH('Dados (ALTERAR)'!$C$31,'Paineís (Não Alterar)'!$A$2:$J$2,0),FALSE)</f>
        <v>144</v>
      </c>
      <c r="D33" s="31"/>
    </row>
    <row r="34" spans="2:7" ht="17.25" customHeight="1">
      <c r="B34" s="5" t="s">
        <v>37</v>
      </c>
      <c r="C34" s="64">
        <f>VLOOKUP(B34,'Paineís (Não Alterar)'!$A$3:$J$14,MATCH('Dados (ALTERAR)'!$C$31,'Paineís (Não Alterar)'!$A$2:$J$2,0),FALSE)</f>
        <v>44</v>
      </c>
      <c r="D34" s="29"/>
    </row>
    <row r="35" spans="2:7" ht="17.25" customHeight="1">
      <c r="B35" s="5" t="s">
        <v>38</v>
      </c>
      <c r="C35" s="64">
        <f>VLOOKUP(B35,'Paineís (Não Alterar)'!$A$3:$J$14,MATCH('Dados (ALTERAR)'!$C$31,'Paineís (Não Alterar)'!$A$2:$J$2,0),FALSE)</f>
        <v>13.32</v>
      </c>
      <c r="D35" s="29"/>
    </row>
    <row r="36" spans="2:7" ht="17.25" customHeight="1">
      <c r="B36" s="5" t="s">
        <v>39</v>
      </c>
      <c r="C36" s="64">
        <f>VLOOKUP(B36,'Paineís (Não Alterar)'!$A$3:$J$14,MATCH('Dados (ALTERAR)'!$C$31,'Paineís (Não Alterar)'!$A$2:$J$2,0),FALSE)</f>
        <v>52.37</v>
      </c>
      <c r="D36" s="29"/>
    </row>
    <row r="37" spans="2:7" ht="17.25" customHeight="1">
      <c r="B37" s="5" t="s">
        <v>40</v>
      </c>
      <c r="C37" s="64">
        <f>VLOOKUP(B37,'Paineís (Não Alterar)'!$A$3:$J$14,MATCH('Dados (ALTERAR)'!$C$31,'Paineís (Não Alterar)'!$A$2:$J$2,0),FALSE)</f>
        <v>14.18</v>
      </c>
      <c r="D37" s="29"/>
    </row>
    <row r="38" spans="2:7" ht="17.25" customHeight="1">
      <c r="B38" s="5" t="s">
        <v>41</v>
      </c>
      <c r="C38" s="64">
        <f>VLOOKUP(B38,'Paineís (Não Alterar)'!$A$3:$J$14,MATCH('Dados (ALTERAR)'!$C$31,'Paineís (Não Alterar)'!$A$2:$J$2,0),FALSE)</f>
        <v>-0.25</v>
      </c>
      <c r="D38" s="29"/>
    </row>
    <row r="39" spans="2:7" ht="17.25" customHeight="1">
      <c r="B39" s="5" t="s">
        <v>42</v>
      </c>
      <c r="C39" s="64">
        <f>VLOOKUP(B39,'Paineís (Não Alterar)'!$A$3:$J$14,MATCH('Dados (ALTERAR)'!$C$31,'Paineís (Não Alterar)'!$A$2:$J$2,0),FALSE)</f>
        <v>4.5999999999999999E-2</v>
      </c>
      <c r="D39" s="29"/>
    </row>
    <row r="40" spans="2:7" ht="17.25" customHeight="1">
      <c r="B40" s="5" t="s">
        <v>43</v>
      </c>
      <c r="C40" s="64">
        <f>VLOOKUP(B40,'Paineís (Não Alterar)'!$A$3:$J$14,MATCH('Dados (ALTERAR)'!$C$31,'Paineís (Não Alterar)'!$A$2:$J$2,0),FALSE)</f>
        <v>-0.28999999999999998</v>
      </c>
      <c r="D40" s="29"/>
    </row>
    <row r="41" spans="2:7" ht="17.25" customHeight="1">
      <c r="B41" s="5" t="s">
        <v>44</v>
      </c>
      <c r="C41" s="64">
        <f>VLOOKUP(B41,'Paineís (Não Alterar)'!$A$3:$J$14,MATCH('Dados (ALTERAR)'!$C$31,'Paineís (Não Alterar)'!$A$2:$J$2,0),FALSE)</f>
        <v>-40</v>
      </c>
      <c r="D41" s="31"/>
    </row>
    <row r="42" spans="2:7" ht="17.25" customHeight="1">
      <c r="B42" s="5" t="s">
        <v>45</v>
      </c>
      <c r="C42" s="64">
        <f>VLOOKUP(B42,'Paineís (Não Alterar)'!$A$3:$J$14,MATCH('Dados (ALTERAR)'!$C$31,'Paineís (Não Alterar)'!$A$2:$J$2,0),FALSE)</f>
        <v>22.7</v>
      </c>
      <c r="D42" s="31"/>
    </row>
    <row r="43" spans="2:7" ht="17.25" customHeight="1" thickBot="1">
      <c r="B43" s="4" t="s">
        <v>46</v>
      </c>
      <c r="C43" s="213">
        <f>VLOOKUP(B43,'Paineís (Não Alterar)'!$A$3:$J$14,MATCH('Dados (ALTERAR)'!$C$31,'Paineís (Não Alterar)'!$A$2:$J$2,0),FALSE)</f>
        <v>89.4</v>
      </c>
      <c r="D43" s="31"/>
    </row>
    <row r="44" spans="2:7" ht="17.25" customHeight="1" thickBot="1">
      <c r="G44"/>
    </row>
    <row r="45" spans="2:7" ht="17.25" customHeight="1" thickBot="1">
      <c r="B45" s="1" t="s">
        <v>47</v>
      </c>
      <c r="F45" s="1" t="s">
        <v>48</v>
      </c>
    </row>
    <row r="46" spans="2:7" ht="18" customHeight="1">
      <c r="B46" s="3" t="s">
        <v>28</v>
      </c>
      <c r="C46" s="26" t="s">
        <v>49</v>
      </c>
      <c r="F46" s="9" t="s">
        <v>50</v>
      </c>
      <c r="G46" s="36">
        <v>2</v>
      </c>
    </row>
    <row r="47" spans="2:7" s="8" customFormat="1" ht="23.25" customHeight="1">
      <c r="B47" s="5" t="s">
        <v>31</v>
      </c>
      <c r="C47" s="23" t="s">
        <v>688</v>
      </c>
      <c r="F47" s="47" t="s">
        <v>52</v>
      </c>
      <c r="G47" s="48"/>
    </row>
    <row r="48" spans="2:7" ht="18" customHeight="1">
      <c r="B48" s="5" t="s">
        <v>53</v>
      </c>
      <c r="C48" s="53">
        <f>VLOOKUP($B48,'INVERSORES (NÃO ALTERAR)'!$A$2:$BG$14,MATCH($C$47,'INVERSORES (NÃO ALTERAR)'!$A$1:$BG$1,0),FALSE)</f>
        <v>8.8000000000000007</v>
      </c>
      <c r="F48" s="10" t="s">
        <v>54</v>
      </c>
      <c r="G48" s="37">
        <v>2</v>
      </c>
    </row>
    <row r="49" spans="2:7" ht="18" customHeight="1" thickBot="1">
      <c r="B49" s="5" t="s">
        <v>55</v>
      </c>
      <c r="C49" s="53">
        <f>VLOOKUP($B49,'INVERSORES (NÃO ALTERAR)'!$A$2:$BG$14,MATCH($C$47,'INVERSORES (NÃO ALTERAR)'!$A$1:$BG$1,0),FALSE)</f>
        <v>8</v>
      </c>
      <c r="F49" s="11" t="s">
        <v>56</v>
      </c>
      <c r="G49" s="38">
        <f>C35*G48</f>
        <v>26.64</v>
      </c>
    </row>
    <row r="50" spans="2:7" ht="18" customHeight="1">
      <c r="B50" s="5" t="s">
        <v>57</v>
      </c>
      <c r="C50" s="53">
        <f>VLOOKUP($B50,'INVERSORES (NÃO ALTERAR)'!$A$2:$BG$14,MATCH($C$47,'INVERSORES (NÃO ALTERAR)'!$A$1:$BG$1,0),FALSE)</f>
        <v>3</v>
      </c>
    </row>
    <row r="51" spans="2:7" ht="18" customHeight="1">
      <c r="B51" s="5" t="s">
        <v>58</v>
      </c>
      <c r="C51" s="53">
        <f>VLOOKUP($B51,'INVERSORES (NÃO ALTERAR)'!$A$2:$BG$14,MATCH($C$47,'INVERSORES (NÃO ALTERAR)'!$A$1:$BG$1,0),FALSE)</f>
        <v>1</v>
      </c>
    </row>
    <row r="52" spans="2:7" ht="18" customHeight="1">
      <c r="B52" s="5" t="s">
        <v>59</v>
      </c>
      <c r="C52" s="53">
        <f>VLOOKUP($B52,'INVERSORES (NÃO ALTERAR)'!$A$2:$BG$14,MATCH($C$47,'INVERSORES (NÃO ALTERAR)'!$A$1:$BG$1,0),FALSE)</f>
        <v>16</v>
      </c>
      <c r="G52"/>
    </row>
    <row r="53" spans="2:7" ht="18" customHeight="1">
      <c r="B53" s="5" t="s">
        <v>60</v>
      </c>
      <c r="C53" s="53">
        <f>VLOOKUP($B53,'INVERSORES (NÃO ALTERAR)'!$A$2:$BG$14,MATCH($C$47,'INVERSORES (NÃO ALTERAR)'!$A$1:$BG$1,0),FALSE)</f>
        <v>20</v>
      </c>
      <c r="G53" s="46"/>
    </row>
    <row r="54" spans="2:7" ht="18" customHeight="1">
      <c r="B54" s="5" t="s">
        <v>61</v>
      </c>
      <c r="C54" s="53">
        <f>VLOOKUP($B54,'INVERSORES (NÃO ALTERAR)'!$A$2:$BG$14,MATCH($C$47,'INVERSORES (NÃO ALTERAR)'!$A$1:$BG$1,0),FALSE)</f>
        <v>350</v>
      </c>
      <c r="G54" s="46"/>
    </row>
    <row r="55" spans="2:7" ht="18" customHeight="1">
      <c r="B55" s="5" t="s">
        <v>62</v>
      </c>
      <c r="C55" s="53">
        <f>VLOOKUP($B55,'INVERSORES (NÃO ALTERAR)'!$A$2:$BG$14,MATCH($C$47,'INVERSORES (NÃO ALTERAR)'!$A$1:$BG$1,0),FALSE)</f>
        <v>600</v>
      </c>
    </row>
    <row r="56" spans="2:7" ht="18" customHeight="1">
      <c r="B56" s="5" t="s">
        <v>63</v>
      </c>
      <c r="C56" s="53">
        <f>VLOOKUP($B56,'INVERSORES (NÃO ALTERAR)'!$A$2:$BG$14,MATCH($C$47,'INVERSORES (NÃO ALTERAR)'!$A$1:$BG$1,0),FALSE)</f>
        <v>100</v>
      </c>
    </row>
    <row r="57" spans="2:7" ht="18" customHeight="1">
      <c r="B57" s="5" t="s">
        <v>64</v>
      </c>
      <c r="C57" s="53">
        <f>VLOOKUP($B57,'INVERSORES (NÃO ALTERAR)'!$A$2:$BG$14,MATCH($C$47,'INVERSORES (NÃO ALTERAR)'!$A$1:$BG$1,0),FALSE)</f>
        <v>50</v>
      </c>
    </row>
    <row r="58" spans="2:7" ht="18" customHeight="1">
      <c r="B58" s="5" t="s">
        <v>65</v>
      </c>
      <c r="C58" s="53">
        <f>VLOOKUP($B58,'INVERSORES (NÃO ALTERAR)'!$A$2:$BG$14,MATCH($C$47,'INVERSORES (NÃO ALTERAR)'!$A$1:$BG$1,0),FALSE)</f>
        <v>550</v>
      </c>
      <c r="G58"/>
    </row>
    <row r="59" spans="2:7" ht="18" customHeight="1">
      <c r="B59" s="5" t="s">
        <v>66</v>
      </c>
      <c r="C59" s="53">
        <f>VLOOKUP($B59,'INVERSORES (NÃO ALTERAR)'!$A$2:$BG$14,MATCH($C$47,'INVERSORES (NÃO ALTERAR)'!$A$1:$BG$1,0),FALSE)</f>
        <v>36.4</v>
      </c>
      <c r="G59"/>
    </row>
    <row r="60" spans="2:7" ht="18" customHeight="1">
      <c r="B60" s="5" t="s">
        <v>67</v>
      </c>
      <c r="C60" s="53">
        <f>VLOOKUP($B60,'INVERSORES (NÃO ALTERAR)'!$A$2:$BG$14,MATCH($C$47,'INVERSORES (NÃO ALTERAR)'!$A$1:$BG$1,0),FALSE)</f>
        <v>40</v>
      </c>
      <c r="G60"/>
    </row>
    <row r="61" spans="2:7" ht="18" customHeight="1" thickBot="1">
      <c r="B61" s="4" t="s">
        <v>68</v>
      </c>
      <c r="C61" s="54">
        <v>98</v>
      </c>
      <c r="G61"/>
    </row>
    <row r="62" spans="2:7" ht="18" customHeight="1" thickBot="1">
      <c r="G62"/>
    </row>
    <row r="63" spans="2:7" ht="15" thickBot="1">
      <c r="B63" s="1" t="s">
        <v>69</v>
      </c>
      <c r="G63"/>
    </row>
    <row r="64" spans="2:7" ht="18.75" customHeight="1">
      <c r="B64" s="3" t="s">
        <v>28</v>
      </c>
      <c r="C64" s="26" t="s">
        <v>49</v>
      </c>
      <c r="G64"/>
    </row>
    <row r="65" spans="2:7" ht="18.75" customHeight="1">
      <c r="B65" s="5" t="s">
        <v>31</v>
      </c>
      <c r="C65" s="23" t="s">
        <v>688</v>
      </c>
      <c r="G65"/>
    </row>
    <row r="66" spans="2:7" ht="18.75" customHeight="1">
      <c r="B66" s="5" t="s">
        <v>53</v>
      </c>
      <c r="C66" s="53">
        <f>VLOOKUP($B66,'INVERSORES (NÃO ALTERAR)'!$A$2:$BG$14,MATCH($C$47,'INVERSORES (NÃO ALTERAR)'!$A$1:$BG$1,0),FALSE)</f>
        <v>8.8000000000000007</v>
      </c>
      <c r="G66"/>
    </row>
    <row r="67" spans="2:7" ht="18.75" customHeight="1">
      <c r="B67" s="5" t="s">
        <v>55</v>
      </c>
      <c r="C67" s="53">
        <f>VLOOKUP($B67,'INVERSORES (NÃO ALTERAR)'!$A$2:$BG$14,MATCH($C$47,'INVERSORES (NÃO ALTERAR)'!$A$1:$BG$1,0),FALSE)</f>
        <v>8</v>
      </c>
      <c r="G67"/>
    </row>
    <row r="68" spans="2:7" ht="18" customHeight="1">
      <c r="B68" s="5" t="s">
        <v>57</v>
      </c>
      <c r="C68" s="53">
        <f>VLOOKUP($B68,'INVERSORES (NÃO ALTERAR)'!$A$2:$BG$14,MATCH($C$47,'INVERSORES (NÃO ALTERAR)'!$A$1:$BG$1,0),FALSE)</f>
        <v>3</v>
      </c>
      <c r="G68"/>
    </row>
    <row r="69" spans="2:7" ht="20.25" customHeight="1">
      <c r="B69" s="5" t="s">
        <v>58</v>
      </c>
      <c r="C69" s="53">
        <f>VLOOKUP($B69,'INVERSORES (NÃO ALTERAR)'!$A$2:$BG$14,MATCH($C$47,'INVERSORES (NÃO ALTERAR)'!$A$1:$BG$1,0),FALSE)</f>
        <v>1</v>
      </c>
      <c r="G69"/>
    </row>
    <row r="70" spans="2:7" ht="18" customHeight="1">
      <c r="B70" s="5" t="s">
        <v>59</v>
      </c>
      <c r="C70" s="53">
        <f>VLOOKUP($B70,'INVERSORES (NÃO ALTERAR)'!$A$2:$BG$14,MATCH($C$47,'INVERSORES (NÃO ALTERAR)'!$A$1:$BG$1,0),FALSE)</f>
        <v>16</v>
      </c>
      <c r="F70" s="12"/>
      <c r="G70"/>
    </row>
    <row r="71" spans="2:7" ht="18" customHeight="1">
      <c r="B71" s="5" t="s">
        <v>60</v>
      </c>
      <c r="C71" s="53">
        <f>VLOOKUP($B71,'INVERSORES (NÃO ALTERAR)'!$A$2:$BG$14,MATCH($C$47,'INVERSORES (NÃO ALTERAR)'!$A$1:$BG$1,0),FALSE)</f>
        <v>20</v>
      </c>
      <c r="G71"/>
    </row>
    <row r="72" spans="2:7" ht="18" customHeight="1">
      <c r="B72" s="5" t="s">
        <v>61</v>
      </c>
      <c r="C72" s="53">
        <f>VLOOKUP($B72,'INVERSORES (NÃO ALTERAR)'!$A$2:$BG$14,MATCH($C$47,'INVERSORES (NÃO ALTERAR)'!$A$1:$BG$1,0),FALSE)</f>
        <v>350</v>
      </c>
      <c r="G72"/>
    </row>
    <row r="73" spans="2:7" ht="17.25" customHeight="1">
      <c r="B73" s="5" t="s">
        <v>62</v>
      </c>
      <c r="C73" s="53">
        <f>VLOOKUP($B73,'INVERSORES (NÃO ALTERAR)'!$A$2:$BG$14,MATCH($C$47,'INVERSORES (NÃO ALTERAR)'!$A$1:$BG$1,0),FALSE)</f>
        <v>600</v>
      </c>
      <c r="G73"/>
    </row>
    <row r="74" spans="2:7">
      <c r="B74" s="5" t="s">
        <v>63</v>
      </c>
      <c r="C74" s="53">
        <f>VLOOKUP($B74,'INVERSORES (NÃO ALTERAR)'!$A$2:$BG$14,MATCH($C$47,'INVERSORES (NÃO ALTERAR)'!$A$1:$BG$1,0),FALSE)</f>
        <v>100</v>
      </c>
      <c r="G74"/>
    </row>
    <row r="75" spans="2:7">
      <c r="B75" s="5" t="s">
        <v>64</v>
      </c>
      <c r="C75" s="53">
        <f>VLOOKUP($B75,'INVERSORES (NÃO ALTERAR)'!$A$2:$BG$14,MATCH($C$47,'INVERSORES (NÃO ALTERAR)'!$A$1:$BG$1,0),FALSE)</f>
        <v>50</v>
      </c>
    </row>
    <row r="76" spans="2:7" ht="18" customHeight="1">
      <c r="B76" s="5" t="s">
        <v>65</v>
      </c>
      <c r="C76" s="53">
        <f>VLOOKUP($B76,'INVERSORES (NÃO ALTERAR)'!$A$2:$BG$14,MATCH($C$47,'INVERSORES (NÃO ALTERAR)'!$A$1:$BG$1,0),FALSE)</f>
        <v>550</v>
      </c>
    </row>
    <row r="77" spans="2:7" ht="18" customHeight="1">
      <c r="B77" s="5" t="s">
        <v>66</v>
      </c>
      <c r="C77" s="53">
        <f>VLOOKUP($B77,'INVERSORES (NÃO ALTERAR)'!$A$2:$BG$14,MATCH($C$47,'INVERSORES (NÃO ALTERAR)'!$A$1:$BG$1,0),FALSE)</f>
        <v>36.4</v>
      </c>
    </row>
    <row r="78" spans="2:7" ht="18" customHeight="1">
      <c r="B78" s="5" t="s">
        <v>67</v>
      </c>
      <c r="C78" s="53">
        <f>VLOOKUP($B78,'INVERSORES (NÃO ALTERAR)'!$A$2:$BG$14,MATCH($C$47,'INVERSORES (NÃO ALTERAR)'!$A$1:$BG$1,0),FALSE)</f>
        <v>40</v>
      </c>
    </row>
    <row r="79" spans="2:7" ht="18" customHeight="1" thickBot="1">
      <c r="B79" s="4" t="s">
        <v>68</v>
      </c>
      <c r="C79" s="54">
        <v>98</v>
      </c>
    </row>
    <row r="80" spans="2:7" ht="18" customHeight="1"/>
  </sheetData>
  <phoneticPr fontId="5" type="noConversion"/>
  <dataValidations count="4">
    <dataValidation type="list" allowBlank="1" showInputMessage="1" showErrorMessage="1" sqref="C26" xr:uid="{A64EC49E-1740-492E-84FE-C2C1C1B2DF44}">
      <formula1>"telhado, terreno"</formula1>
    </dataValidation>
    <dataValidation type="list" allowBlank="1" showInputMessage="1" showErrorMessage="1" sqref="C22" xr:uid="{54A2ACFF-E14B-4264-B491-9D2F1700ABBD}">
      <formula1>"Sim, Não"</formula1>
    </dataValidation>
    <dataValidation type="list" allowBlank="1" showInputMessage="1" showErrorMessage="1" sqref="C27" xr:uid="{12F0D658-4B98-4B1B-8E8E-7EDBD11DCBC1}">
      <formula1>"Quadro Geral de Baixa Tensão,Quadro de Entrada,Quadro Parcial"</formula1>
    </dataValidation>
    <dataValidation type="list" allowBlank="1" showInputMessage="1" showErrorMessage="1" sqref="C46 C64" xr:uid="{7A428283-378B-4391-810D-B3937ED0E7D9}">
      <formula1>"Huawei, Sigenergy"</formula1>
    </dataValidation>
  </dataValidations>
  <hyperlinks>
    <hyperlink ref="C11" r:id="rId1" xr:uid="{C724382A-47FE-4031-B2C4-53AFF756ABBE}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2BDE03C-382C-4234-8719-DFCCBDE3725A}">
          <x14:formula1>
            <xm:f>'Paineís (Não Alterar)'!$B$2:$M$2</xm:f>
          </x14:formula1>
          <xm:sqref>C31</xm:sqref>
        </x14:dataValidation>
        <x14:dataValidation type="list" allowBlank="1" showInputMessage="1" showErrorMessage="1" xr:uid="{70BA2C97-28A5-4283-96FE-86752C618582}">
          <x14:formula1>
            <xm:f>'Paineís (Não Alterar)'!$X$2:$X$5</xm:f>
          </x14:formula1>
          <xm:sqref>C30</xm:sqref>
        </x14:dataValidation>
        <x14:dataValidation type="list" allowBlank="1" showInputMessage="1" showErrorMessage="1" xr:uid="{44D86B24-8DE1-4295-8F6B-E14C5E48C399}">
          <x14:formula1>
            <xm:f>'Técnico responsável'!$B$1:$E$1</xm:f>
          </x14:formula1>
          <xm:sqref>C2</xm:sqref>
        </x14:dataValidation>
        <x14:dataValidation type="list" allowBlank="1" showInputMessage="1" showErrorMessage="1" xr:uid="{DF85D7B6-6CB0-435C-84EB-CC5CB0668CA5}">
          <x14:formula1>
            <xm:f>'INVERSORES (NÃO ALTERAR)'!$B$1:$BG$1</xm:f>
          </x14:formula1>
          <xm:sqref>C65 C47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FC2B-7203-49D7-BA63-3D29692C2F33}">
  <dimension ref="A5:BZ60"/>
  <sheetViews>
    <sheetView tabSelected="1" topLeftCell="BN5" zoomScale="85" zoomScaleNormal="85" workbookViewId="0">
      <selection activeCell="BV14" sqref="BV14"/>
    </sheetView>
  </sheetViews>
  <sheetFormatPr defaultRowHeight="14.5"/>
  <cols>
    <col min="1" max="1" width="17.1796875" bestFit="1" customWidth="1"/>
    <col min="2" max="2" width="20" customWidth="1"/>
    <col min="3" max="3" width="12.453125" customWidth="1"/>
    <col min="4" max="4" width="15.453125" bestFit="1" customWidth="1"/>
    <col min="12" max="12" width="16.36328125" customWidth="1"/>
    <col min="14" max="14" width="14.453125" bestFit="1" customWidth="1"/>
    <col min="17" max="17" width="36" bestFit="1" customWidth="1"/>
    <col min="18" max="18" width="13.453125" bestFit="1" customWidth="1"/>
    <col min="20" max="20" width="11.453125" bestFit="1" customWidth="1"/>
    <col min="55" max="55" width="9.453125" customWidth="1"/>
    <col min="61" max="61" width="25.54296875" bestFit="1" customWidth="1"/>
    <col min="62" max="62" width="24" bestFit="1" customWidth="1"/>
    <col min="63" max="63" width="22.1796875" bestFit="1" customWidth="1"/>
    <col min="66" max="66" width="25.1796875" bestFit="1" customWidth="1"/>
    <col min="72" max="72" width="10" bestFit="1" customWidth="1"/>
    <col min="73" max="73" width="11.81640625" bestFit="1" customWidth="1"/>
    <col min="74" max="74" width="19.54296875" bestFit="1" customWidth="1"/>
    <col min="75" max="75" width="12.1796875" bestFit="1" customWidth="1"/>
    <col min="76" max="77" width="11" bestFit="1" customWidth="1"/>
    <col min="78" max="78" width="11.81640625" bestFit="1" customWidth="1"/>
    <col min="81" max="81" width="78.54296875" bestFit="1" customWidth="1"/>
    <col min="84" max="84" width="78.54296875" bestFit="1" customWidth="1"/>
  </cols>
  <sheetData>
    <row r="5" spans="1:78">
      <c r="A5" s="354"/>
      <c r="B5" s="354"/>
      <c r="BK5" s="148" t="s">
        <v>70</v>
      </c>
      <c r="BL5" s="148">
        <v>2.9000000000000001E-2</v>
      </c>
    </row>
    <row r="6" spans="1:78" ht="15" thickBot="1">
      <c r="BK6" s="148" t="s">
        <v>71</v>
      </c>
      <c r="BL6" s="148">
        <v>1.7999999999999999E-2</v>
      </c>
    </row>
    <row r="7" spans="1:78" ht="16.5" customHeight="1" thickBot="1">
      <c r="A7" s="326" t="s">
        <v>72</v>
      </c>
      <c r="B7" s="329" t="s">
        <v>73</v>
      </c>
      <c r="C7" s="326" t="s">
        <v>74</v>
      </c>
      <c r="D7" s="332" t="s">
        <v>75</v>
      </c>
      <c r="E7" s="335" t="s">
        <v>76</v>
      </c>
      <c r="F7" s="107" t="s">
        <v>77</v>
      </c>
      <c r="G7" s="107" t="s">
        <v>78</v>
      </c>
      <c r="H7" s="107" t="s">
        <v>79</v>
      </c>
      <c r="I7" s="365" t="s">
        <v>80</v>
      </c>
      <c r="J7" s="107" t="s">
        <v>81</v>
      </c>
      <c r="K7" s="269" t="s">
        <v>82</v>
      </c>
      <c r="L7" s="338" t="s">
        <v>83</v>
      </c>
      <c r="M7" s="270" t="s">
        <v>84</v>
      </c>
      <c r="N7" s="263" t="s">
        <v>85</v>
      </c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5"/>
      <c r="AA7" s="265"/>
      <c r="AB7" s="265"/>
      <c r="AC7" s="265"/>
      <c r="AD7" s="265"/>
      <c r="AE7" s="262"/>
      <c r="AF7" s="341" t="s">
        <v>86</v>
      </c>
      <c r="AG7" s="342"/>
      <c r="AH7" s="343"/>
      <c r="AI7" s="341" t="s">
        <v>87</v>
      </c>
      <c r="AJ7" s="342"/>
      <c r="AK7" s="342"/>
      <c r="AL7" s="343"/>
      <c r="AM7" s="344" t="s">
        <v>88</v>
      </c>
      <c r="AN7" s="345"/>
      <c r="AO7" s="345"/>
      <c r="AP7" s="345"/>
      <c r="AQ7" s="345"/>
      <c r="AR7" s="345"/>
      <c r="AS7" s="345"/>
      <c r="AT7" s="345"/>
      <c r="AU7" s="345"/>
      <c r="AV7" s="345"/>
      <c r="AW7" s="345"/>
      <c r="AX7" s="345"/>
      <c r="AY7" s="345"/>
      <c r="AZ7" s="345"/>
      <c r="BA7" s="345"/>
      <c r="BB7" s="346"/>
      <c r="BC7" s="110" t="s">
        <v>87</v>
      </c>
      <c r="BD7" s="111" t="s">
        <v>89</v>
      </c>
      <c r="BE7" s="112" t="s">
        <v>90</v>
      </c>
      <c r="BF7" s="350" t="s">
        <v>91</v>
      </c>
      <c r="BG7" s="357" t="s">
        <v>92</v>
      </c>
      <c r="BH7" s="113" t="s">
        <v>93</v>
      </c>
      <c r="BI7" s="360" t="s">
        <v>94</v>
      </c>
      <c r="BJ7" s="362" t="s">
        <v>95</v>
      </c>
      <c r="BK7" s="111"/>
      <c r="BL7" s="111"/>
      <c r="BM7" s="111"/>
      <c r="BN7" s="111"/>
      <c r="BO7" s="110"/>
      <c r="BP7" s="114"/>
      <c r="BQ7" s="302" t="s">
        <v>96</v>
      </c>
      <c r="BR7" s="312" t="s">
        <v>97</v>
      </c>
      <c r="BS7" s="315" t="s">
        <v>98</v>
      </c>
      <c r="BT7" s="113" t="s">
        <v>99</v>
      </c>
      <c r="BU7" s="116">
        <v>0.03</v>
      </c>
      <c r="BV7" s="306" t="s">
        <v>100</v>
      </c>
      <c r="BW7" s="309" t="s">
        <v>101</v>
      </c>
      <c r="BX7" s="309" t="s">
        <v>102</v>
      </c>
      <c r="BY7" s="309" t="s">
        <v>103</v>
      </c>
      <c r="BZ7" s="309" t="s">
        <v>104</v>
      </c>
    </row>
    <row r="8" spans="1:78" ht="15.5" thickBot="1">
      <c r="A8" s="327"/>
      <c r="B8" s="330"/>
      <c r="C8" s="327"/>
      <c r="D8" s="333"/>
      <c r="E8" s="336"/>
      <c r="F8" s="107" t="s">
        <v>105</v>
      </c>
      <c r="G8" s="117"/>
      <c r="H8" s="118" t="s">
        <v>106</v>
      </c>
      <c r="I8" s="366"/>
      <c r="J8" s="117" t="s">
        <v>107</v>
      </c>
      <c r="K8" s="271"/>
      <c r="L8" s="339"/>
      <c r="M8" s="267"/>
      <c r="N8" s="347" t="s">
        <v>108</v>
      </c>
      <c r="O8" s="348"/>
      <c r="P8" s="348"/>
      <c r="Q8" s="348"/>
      <c r="R8" s="348"/>
      <c r="S8" s="348"/>
      <c r="T8" s="348"/>
      <c r="U8" s="349"/>
      <c r="V8" s="350" t="s">
        <v>109</v>
      </c>
      <c r="W8" s="119" t="s">
        <v>110</v>
      </c>
      <c r="X8" s="342" t="s">
        <v>111</v>
      </c>
      <c r="Y8" s="342"/>
      <c r="Z8" s="347" t="s">
        <v>112</v>
      </c>
      <c r="AA8" s="349"/>
      <c r="AB8" s="341" t="s">
        <v>113</v>
      </c>
      <c r="AC8" s="343"/>
      <c r="AD8" s="341" t="s">
        <v>114</v>
      </c>
      <c r="AE8" s="343"/>
      <c r="AF8" s="108" t="s">
        <v>112</v>
      </c>
      <c r="AG8" s="120" t="s">
        <v>113</v>
      </c>
      <c r="AH8" s="109" t="s">
        <v>114</v>
      </c>
      <c r="AI8" s="121" t="s">
        <v>115</v>
      </c>
      <c r="AJ8" s="115"/>
      <c r="AK8" s="115" t="s">
        <v>116</v>
      </c>
      <c r="AL8" s="122" t="s">
        <v>117</v>
      </c>
      <c r="AM8" s="110" t="s">
        <v>117</v>
      </c>
      <c r="AN8" s="324" t="s">
        <v>118</v>
      </c>
      <c r="AO8" s="110" t="s">
        <v>117</v>
      </c>
      <c r="AP8" s="324" t="s">
        <v>119</v>
      </c>
      <c r="AQ8" s="110" t="s">
        <v>117</v>
      </c>
      <c r="AR8" s="322" t="s">
        <v>120</v>
      </c>
      <c r="AS8" s="110" t="s">
        <v>117</v>
      </c>
      <c r="AT8" s="324" t="s">
        <v>121</v>
      </c>
      <c r="AU8" s="110" t="s">
        <v>117</v>
      </c>
      <c r="AV8" s="322" t="s">
        <v>122</v>
      </c>
      <c r="AW8" s="110" t="s">
        <v>117</v>
      </c>
      <c r="AX8" s="322" t="s">
        <v>123</v>
      </c>
      <c r="AY8" s="110" t="s">
        <v>117</v>
      </c>
      <c r="AZ8" s="322" t="s">
        <v>124</v>
      </c>
      <c r="BA8" s="110" t="s">
        <v>117</v>
      </c>
      <c r="BB8" s="322" t="s">
        <v>125</v>
      </c>
      <c r="BC8" s="123" t="s">
        <v>126</v>
      </c>
      <c r="BD8" s="124" t="s">
        <v>127</v>
      </c>
      <c r="BE8" s="125" t="s">
        <v>89</v>
      </c>
      <c r="BF8" s="364"/>
      <c r="BG8" s="358"/>
      <c r="BH8" s="126" t="s">
        <v>128</v>
      </c>
      <c r="BI8" s="361"/>
      <c r="BJ8" s="363"/>
      <c r="BK8" s="127" t="s">
        <v>129</v>
      </c>
      <c r="BL8" s="127">
        <v>1.25</v>
      </c>
      <c r="BM8" s="127">
        <v>1.5</v>
      </c>
      <c r="BN8" s="355" t="s">
        <v>130</v>
      </c>
      <c r="BO8" s="318" t="s">
        <v>131</v>
      </c>
      <c r="BP8" s="319"/>
      <c r="BQ8" s="303"/>
      <c r="BR8" s="313"/>
      <c r="BS8" s="316"/>
      <c r="BT8" s="128"/>
      <c r="BU8" s="129" t="s">
        <v>132</v>
      </c>
      <c r="BV8" s="307"/>
      <c r="BW8" s="310"/>
      <c r="BX8" s="310"/>
      <c r="BY8" s="310"/>
      <c r="BZ8" s="307"/>
    </row>
    <row r="9" spans="1:78" ht="18.75" customHeight="1" thickBot="1">
      <c r="A9" s="328"/>
      <c r="B9" s="331"/>
      <c r="C9" s="328"/>
      <c r="D9" s="334"/>
      <c r="E9" s="337"/>
      <c r="F9" s="130" t="s">
        <v>133</v>
      </c>
      <c r="G9" s="130" t="s">
        <v>134</v>
      </c>
      <c r="H9" s="130"/>
      <c r="I9" s="367"/>
      <c r="J9" s="130" t="s">
        <v>135</v>
      </c>
      <c r="K9" s="272" t="s">
        <v>136</v>
      </c>
      <c r="L9" s="340"/>
      <c r="M9" s="268" t="s">
        <v>136</v>
      </c>
      <c r="N9" s="131" t="s">
        <v>137</v>
      </c>
      <c r="O9" s="132" t="s">
        <v>138</v>
      </c>
      <c r="P9" s="133" t="s">
        <v>139</v>
      </c>
      <c r="Q9" s="134" t="s">
        <v>140</v>
      </c>
      <c r="R9" s="133" t="s">
        <v>141</v>
      </c>
      <c r="S9" s="133" t="s">
        <v>142</v>
      </c>
      <c r="T9" s="133" t="s">
        <v>143</v>
      </c>
      <c r="U9" s="135" t="s">
        <v>144</v>
      </c>
      <c r="V9" s="351"/>
      <c r="W9" s="211">
        <v>0.2</v>
      </c>
      <c r="X9" s="109" t="s">
        <v>145</v>
      </c>
      <c r="Y9" s="108" t="s">
        <v>146</v>
      </c>
      <c r="Z9" s="108" t="s">
        <v>147</v>
      </c>
      <c r="AA9" s="136" t="s">
        <v>148</v>
      </c>
      <c r="AB9" s="108" t="s">
        <v>147</v>
      </c>
      <c r="AC9" s="136" t="s">
        <v>148</v>
      </c>
      <c r="AD9" s="108" t="s">
        <v>147</v>
      </c>
      <c r="AE9" s="136" t="s">
        <v>148</v>
      </c>
      <c r="AF9" s="137"/>
      <c r="AG9" s="138"/>
      <c r="AH9" s="139"/>
      <c r="AI9" s="140" t="s">
        <v>136</v>
      </c>
      <c r="AJ9" s="141" t="s">
        <v>149</v>
      </c>
      <c r="AK9" s="141" t="s">
        <v>136</v>
      </c>
      <c r="AL9" s="142" t="s">
        <v>150</v>
      </c>
      <c r="AM9" s="143" t="s">
        <v>150</v>
      </c>
      <c r="AN9" s="325"/>
      <c r="AO9" s="143" t="s">
        <v>150</v>
      </c>
      <c r="AP9" s="325"/>
      <c r="AQ9" s="140" t="s">
        <v>150</v>
      </c>
      <c r="AR9" s="323"/>
      <c r="AS9" s="140" t="s">
        <v>150</v>
      </c>
      <c r="AT9" s="325"/>
      <c r="AU9" s="140" t="s">
        <v>150</v>
      </c>
      <c r="AV9" s="323"/>
      <c r="AW9" s="140" t="s">
        <v>150</v>
      </c>
      <c r="AX9" s="323"/>
      <c r="AY9" s="140" t="s">
        <v>150</v>
      </c>
      <c r="AZ9" s="323"/>
      <c r="BA9" s="140" t="s">
        <v>150</v>
      </c>
      <c r="BB9" s="323"/>
      <c r="BC9" s="143" t="s">
        <v>136</v>
      </c>
      <c r="BD9" s="144"/>
      <c r="BE9" s="145" t="s">
        <v>127</v>
      </c>
      <c r="BF9" s="351"/>
      <c r="BG9" s="359"/>
      <c r="BH9" s="146" t="s">
        <v>136</v>
      </c>
      <c r="BI9" s="120" t="s">
        <v>151</v>
      </c>
      <c r="BJ9" s="108" t="s">
        <v>152</v>
      </c>
      <c r="BK9" s="147" t="s">
        <v>153</v>
      </c>
      <c r="BL9" s="266" t="s">
        <v>154</v>
      </c>
      <c r="BM9" s="266" t="s">
        <v>155</v>
      </c>
      <c r="BN9" s="356"/>
      <c r="BO9" s="320"/>
      <c r="BP9" s="321"/>
      <c r="BQ9" s="149" t="s">
        <v>156</v>
      </c>
      <c r="BR9" s="314"/>
      <c r="BS9" s="317"/>
      <c r="BT9" s="150" t="s">
        <v>157</v>
      </c>
      <c r="BU9" s="142" t="s">
        <v>158</v>
      </c>
      <c r="BV9" s="308"/>
      <c r="BW9" s="311"/>
      <c r="BX9" s="311"/>
      <c r="BY9" s="311"/>
      <c r="BZ9" s="308"/>
    </row>
    <row r="10" spans="1:78" ht="15" thickBot="1">
      <c r="A10" s="151" t="s">
        <v>159</v>
      </c>
      <c r="B10" s="151">
        <v>100</v>
      </c>
      <c r="C10" s="256" t="s">
        <v>160</v>
      </c>
      <c r="D10" s="170" t="s">
        <v>161</v>
      </c>
      <c r="E10" s="152"/>
      <c r="F10" s="153">
        <f>VLOOKUP('Cálculos Elétricos'!D10,'Tabelas de apoio'!$H$20:$K$24,2,FALSE)</f>
        <v>400</v>
      </c>
      <c r="G10" s="153">
        <f>B10*1100</f>
        <v>110000</v>
      </c>
      <c r="H10" s="154">
        <v>1</v>
      </c>
      <c r="I10" s="154">
        <f>DEGREES(ACOS(H10))</f>
        <v>0</v>
      </c>
      <c r="J10" s="155">
        <f>G10</f>
        <v>110000</v>
      </c>
      <c r="K10" s="156">
        <f>IF(D10="Monofásico",(J10)/(F10*H10),IF(F10=400,(J10)/(SQRT(3)*F10),IF(D10="DC",#REF!, "ERRO")))</f>
        <v>158.7713240271471</v>
      </c>
      <c r="L10" s="157">
        <v>1</v>
      </c>
      <c r="M10" s="157">
        <f>L10*K10</f>
        <v>158.7713240271471</v>
      </c>
      <c r="N10" s="158" t="s">
        <v>162</v>
      </c>
      <c r="O10" s="158" t="s">
        <v>163</v>
      </c>
      <c r="P10" s="159" t="s">
        <v>234</v>
      </c>
      <c r="Q10" s="159" t="s">
        <v>214</v>
      </c>
      <c r="R10" s="159" t="str">
        <f>INDEX('Tabelas de apoio'!$I$9:$P$15,MATCH(P10,'Tabelas de apoio'!$H$9:$H$15,0),MATCH(Q10,'Tabelas de apoio'!$I$8:$P$8,0))</f>
        <v>12,13,13,15,16</v>
      </c>
      <c r="S10" s="159">
        <v>13</v>
      </c>
      <c r="T10" s="159" t="str">
        <f>VLOOKUP(S10,'Tabelas de apoio'!C5:D49,2)</f>
        <v>E ou F [4](3)</v>
      </c>
      <c r="U10" s="159" t="s">
        <v>106</v>
      </c>
      <c r="V10" s="273">
        <v>50</v>
      </c>
      <c r="W10" s="274">
        <f>IF(V10&lt;30,V10+V10*0.2,V10+V10*0.1)</f>
        <v>55</v>
      </c>
      <c r="X10" s="160" t="str">
        <f>INDEX('Tabelas de apoio'!$I$27:$I$42,MATCH(O10,'Tabelas de apoio'!$H$27:$H$42,0))</f>
        <v>AL</v>
      </c>
      <c r="Y10" s="160" t="str">
        <f>LOOKUP(O10,'Tabelas de apoio'!$I$27:$I$42,'Tabelas de apoio'!$J$27:$J$42)</f>
        <v>XLPE</v>
      </c>
      <c r="Z10" s="161">
        <v>120</v>
      </c>
      <c r="AA10" s="161">
        <v>1</v>
      </c>
      <c r="AB10" s="162">
        <v>70</v>
      </c>
      <c r="AC10" s="162">
        <v>1</v>
      </c>
      <c r="AD10" s="162">
        <v>70</v>
      </c>
      <c r="AE10" s="163">
        <v>1</v>
      </c>
      <c r="AF10" s="164">
        <f>IF(N10="Multicondutor",W10*AA10,3*W10*AA10)</f>
        <v>165</v>
      </c>
      <c r="AG10" s="164">
        <f>IF(N10="Multicondutor",0,AC10*W10)</f>
        <v>55</v>
      </c>
      <c r="AH10" s="165">
        <f>IF(N10="Multicondutor",0,AE10*W10)</f>
        <v>55</v>
      </c>
      <c r="AI10" s="275">
        <v>308</v>
      </c>
      <c r="AJ10" s="276">
        <v>1</v>
      </c>
      <c r="AK10" s="276">
        <f>AI10*AA10*AJ10</f>
        <v>308</v>
      </c>
      <c r="AL10" s="180" t="s">
        <v>166</v>
      </c>
      <c r="AM10" s="181" t="s">
        <v>167</v>
      </c>
      <c r="AN10" s="277">
        <v>0.96</v>
      </c>
      <c r="AO10" s="181" t="s">
        <v>168</v>
      </c>
      <c r="AP10" s="278">
        <v>1</v>
      </c>
      <c r="AQ10" s="181" t="s">
        <v>169</v>
      </c>
      <c r="AR10" s="278">
        <v>0.77</v>
      </c>
      <c r="AS10" s="181" t="s">
        <v>170</v>
      </c>
      <c r="AT10" s="278">
        <v>1</v>
      </c>
      <c r="AU10" s="181" t="s">
        <v>171</v>
      </c>
      <c r="AV10" s="278">
        <v>1</v>
      </c>
      <c r="AW10" s="181" t="s">
        <v>172</v>
      </c>
      <c r="AX10" s="279">
        <v>1</v>
      </c>
      <c r="AY10" s="181" t="s">
        <v>173</v>
      </c>
      <c r="AZ10" s="279">
        <v>1</v>
      </c>
      <c r="BA10" s="181" t="s">
        <v>174</v>
      </c>
      <c r="BB10" s="278">
        <v>1</v>
      </c>
      <c r="BC10" s="166">
        <f>AK10*AN10*AP10*AR10*AT10*AV10*AX10*AZ10*BB10</f>
        <v>227.67360000000002</v>
      </c>
      <c r="BD10" s="167" t="s">
        <v>175</v>
      </c>
      <c r="BE10" s="168" t="s">
        <v>176</v>
      </c>
      <c r="BF10" s="182">
        <v>200</v>
      </c>
      <c r="BG10" s="169">
        <f>IF(BD10="Disjuntor",IF(BE10="EN60898",1.45,1.3),IF(BD10="Fusível",IF(BF10&gt;=16,1.6,IF(AND(BF10&gt;4,BF10&lt;16),1.9,2.1)),"Erro"))</f>
        <v>1.45</v>
      </c>
      <c r="BH10" s="170">
        <f t="shared" ref="BH10" si="0">BG10*BF10</f>
        <v>290</v>
      </c>
      <c r="BI10" s="171" t="str">
        <f>IF(AND(M10&lt;BF10,BF10&lt;BC10),"OK","erro")</f>
        <v>OK</v>
      </c>
      <c r="BJ10" s="172" t="str">
        <f>IF(BH10&lt;(1.45*BC10),"OK","erro")</f>
        <v>OK</v>
      </c>
      <c r="BK10" s="173">
        <f>IF(X10="Cobre",0.0225,IF(X10="Al",0.036,"Erro"))</f>
        <v>3.5999999999999997E-2</v>
      </c>
      <c r="BL10" s="173">
        <f>$BL$5*1.25</f>
        <v>3.6250000000000004E-2</v>
      </c>
      <c r="BM10" s="173">
        <f>$BL$5*1.5</f>
        <v>4.3500000000000004E-2</v>
      </c>
      <c r="BN10" s="174">
        <f>VLOOKUP(Z10,$BK$41:$BV$59,9,TRUE)</f>
        <v>0.23446713988570445</v>
      </c>
      <c r="BO10" s="298">
        <f>SIN(RADIANS(I10))</f>
        <v>0</v>
      </c>
      <c r="BP10" s="299"/>
      <c r="BQ10" s="175">
        <f>IF(D10="Trif. Equilibrado",1,2)</f>
        <v>1</v>
      </c>
      <c r="BR10" s="176">
        <f>BQ10*(BK10*(W10/Z10)*H10  + BN10*W10*BO10)*(M10/AA10)</f>
        <v>2.6197268464479269</v>
      </c>
      <c r="BS10" s="177">
        <f>BR10/230</f>
        <v>1.1390116723686639E-2</v>
      </c>
      <c r="BT10" s="178">
        <f>BS10</f>
        <v>1.1390116723686639E-2</v>
      </c>
      <c r="BU10" s="179" t="str">
        <f>IF(BT10&lt;$BU$7,"OK","ERRO")</f>
        <v>OK</v>
      </c>
      <c r="BV10" t="s">
        <v>177</v>
      </c>
      <c r="BW10" s="253" t="e">
        <f t="array" ref="BW10">INDEX(Table1[],MATCH(1,(Z10=Table1[Cabo])*('Cálculos Elétricos'!X10=Table1[Material])*('Cálculos Elétricos'!BV10=Table1[Isolamento])*(N10=Table1[Mono/Multi]),0),5)*AF10</f>
        <v>#N/A</v>
      </c>
      <c r="BX10" s="253" t="e">
        <f t="array" ref="BX10">INDEX(Table1[],MATCH(1,(AB10=Table1[Cabo])*('Cálculos Elétricos'!X10=Table1[Material])*('Cálculos Elétricos'!BV10=Table1[Isolamento])*(N10=Table1[Mono/Multi]),0),5)*AG10</f>
        <v>#N/A</v>
      </c>
      <c r="BY10" s="253" t="e">
        <f t="array" ref="BY10">INDEX(Table1[],MATCH(1,(AD10=Table1[Cabo])*('Cálculos Elétricos'!X10=Table1[Material])*('Cálculos Elétricos'!BV10=Table1[Isolamento])*(N10=Table1[Mono/Multi]),0),5)*AH10</f>
        <v>#N/A</v>
      </c>
      <c r="BZ10" s="253" t="e">
        <f>BW10+BX10+BY10</f>
        <v>#N/A</v>
      </c>
    </row>
    <row r="11" spans="1:78" ht="15" thickBot="1">
      <c r="A11" s="151" t="s">
        <v>178</v>
      </c>
      <c r="B11" s="151">
        <v>100</v>
      </c>
      <c r="C11" s="256" t="s">
        <v>160</v>
      </c>
      <c r="D11" s="170" t="s">
        <v>161</v>
      </c>
      <c r="E11" s="152"/>
      <c r="F11" s="153">
        <f>VLOOKUP('Cálculos Elétricos'!D11,'Tabelas de apoio'!$H$20:$K$24,2,FALSE)</f>
        <v>400</v>
      </c>
      <c r="G11" s="153">
        <f t="shared" ref="G11" si="1">B11*1100</f>
        <v>110000</v>
      </c>
      <c r="H11" s="154">
        <v>1</v>
      </c>
      <c r="I11" s="154">
        <f t="shared" ref="I11" si="2">DEGREES(ACOS(H11))</f>
        <v>0</v>
      </c>
      <c r="J11" s="155">
        <f t="shared" ref="J11" si="3">G11</f>
        <v>110000</v>
      </c>
      <c r="K11" s="156">
        <f>IF(D11="Monofásico",(J11)/(F11*H11),IF(F11=400,(J11)/(SQRT(3)*F11),IF(D11="DC",#REF!, "ERRO")))</f>
        <v>158.7713240271471</v>
      </c>
      <c r="L11" s="157">
        <v>1</v>
      </c>
      <c r="M11" s="157">
        <f t="shared" ref="M11:M14" si="4">L11*K11</f>
        <v>158.7713240271471</v>
      </c>
      <c r="N11" s="158" t="s">
        <v>162</v>
      </c>
      <c r="O11" s="158" t="s">
        <v>163</v>
      </c>
      <c r="P11" s="159" t="s">
        <v>234</v>
      </c>
      <c r="Q11" s="159" t="s">
        <v>214</v>
      </c>
      <c r="R11" s="159" t="str">
        <f>INDEX('Tabelas de apoio'!$I$9:$P$15,MATCH(P11,'Tabelas de apoio'!$H$9:$H$15,0),MATCH(Q11,'Tabelas de apoio'!$I$8:$P$8,0))</f>
        <v>12,13,13,15,16</v>
      </c>
      <c r="S11" s="159">
        <v>13</v>
      </c>
      <c r="T11" s="159" t="str">
        <f>VLOOKUP(S11,'Tabelas de apoio'!C6:D50,2)</f>
        <v>E ou F [4](3)</v>
      </c>
      <c r="U11" s="159" t="s">
        <v>106</v>
      </c>
      <c r="V11" s="273">
        <v>5</v>
      </c>
      <c r="W11" s="274">
        <f t="shared" ref="W11" si="5">IF(V11&lt;30,V11+V11*0.2,V11+V11*0.1)</f>
        <v>6</v>
      </c>
      <c r="X11" s="160" t="str">
        <f>INDEX('Tabelas de apoio'!$I$27:$I$42,MATCH(O11,'Tabelas de apoio'!$H$27:$H$42,0))</f>
        <v>AL</v>
      </c>
      <c r="Y11" s="160" t="str">
        <f>LOOKUP(O11,'Tabelas de apoio'!$I$27:$I$42,'Tabelas de apoio'!$J$27:$J$42)</f>
        <v>XLPE</v>
      </c>
      <c r="Z11" s="161">
        <v>120</v>
      </c>
      <c r="AA11" s="161">
        <v>1</v>
      </c>
      <c r="AB11" s="162">
        <v>70</v>
      </c>
      <c r="AC11" s="162">
        <v>1</v>
      </c>
      <c r="AD11" s="162">
        <v>70</v>
      </c>
      <c r="AE11" s="163">
        <v>1</v>
      </c>
      <c r="AF11" s="164">
        <f t="shared" ref="AF11:AF14" si="6">IF(N11="Multicondutor",W11*AA11,3*W11*AA11)</f>
        <v>18</v>
      </c>
      <c r="AG11" s="164">
        <f t="shared" ref="AG11:AG14" si="7">IF(N11="Multicondutor",0,AC11*W11)</f>
        <v>6</v>
      </c>
      <c r="AH11" s="165">
        <f t="shared" ref="AH11:AH14" si="8">IF(N11="Multicondutor",0,AE11*W11)</f>
        <v>6</v>
      </c>
      <c r="AI11" s="275">
        <v>308</v>
      </c>
      <c r="AJ11" s="276">
        <v>1</v>
      </c>
      <c r="AK11" s="276">
        <f t="shared" ref="AK11" si="9">AI11*AA11*AJ11</f>
        <v>308</v>
      </c>
      <c r="AL11" s="180" t="s">
        <v>166</v>
      </c>
      <c r="AM11" s="181" t="s">
        <v>167</v>
      </c>
      <c r="AN11" s="277">
        <v>0.96</v>
      </c>
      <c r="AO11" s="181" t="s">
        <v>168</v>
      </c>
      <c r="AP11" s="278">
        <v>1</v>
      </c>
      <c r="AQ11" s="181" t="s">
        <v>169</v>
      </c>
      <c r="AR11" s="278">
        <v>0.77</v>
      </c>
      <c r="AS11" s="181" t="s">
        <v>170</v>
      </c>
      <c r="AT11" s="278">
        <v>1</v>
      </c>
      <c r="AU11" s="181" t="s">
        <v>171</v>
      </c>
      <c r="AV11" s="278">
        <v>1</v>
      </c>
      <c r="AW11" s="181" t="s">
        <v>172</v>
      </c>
      <c r="AX11" s="278">
        <v>1</v>
      </c>
      <c r="AY11" s="181" t="s">
        <v>173</v>
      </c>
      <c r="AZ11" s="278">
        <v>1</v>
      </c>
      <c r="BA11" s="181" t="s">
        <v>174</v>
      </c>
      <c r="BB11" s="278">
        <v>1</v>
      </c>
      <c r="BC11" s="166">
        <f t="shared" ref="BC11" si="10">AK11*AN11*AP11*AR11*AT11*AV11*AX11*AZ11*BB11</f>
        <v>227.67360000000002</v>
      </c>
      <c r="BD11" s="167" t="s">
        <v>175</v>
      </c>
      <c r="BE11" s="168" t="s">
        <v>179</v>
      </c>
      <c r="BF11" s="182">
        <v>200</v>
      </c>
      <c r="BG11" s="169">
        <f t="shared" ref="BG11" si="11">IF(BD11="Disjuntor",IF(BE11="EN60898",1.45,1.3),IF(BD11="Fusível",IF(BF11&gt;=16,1.6,IF(AND(BF11&gt;4,BF11&lt;16),1.9,2.1)),"Erro"))</f>
        <v>1.3</v>
      </c>
      <c r="BH11" s="170">
        <f t="shared" ref="BH11" si="12">BG11*BF11</f>
        <v>260</v>
      </c>
      <c r="BI11" s="171" t="str">
        <f t="shared" ref="BI11" si="13">IF(AND(M11&lt;BF11,BF11&lt;BC11),"OK","erro")</f>
        <v>OK</v>
      </c>
      <c r="BJ11" s="172" t="str">
        <f t="shared" ref="BJ11" si="14">IF(BH11&lt;(1.45*BC11),"OK","erro")</f>
        <v>OK</v>
      </c>
      <c r="BK11" s="173">
        <f t="shared" ref="BK11" si="15">IF(X11="Cobre",0.0225,IF(X11="Al",0.036,"Erro"))</f>
        <v>3.5999999999999997E-2</v>
      </c>
      <c r="BL11" s="173">
        <f t="shared" ref="BL11:BL12" si="16">$BL$5*1.25</f>
        <v>3.6250000000000004E-2</v>
      </c>
      <c r="BM11" s="173">
        <f t="shared" ref="BM11:BM12" si="17">$BL$5*1.5</f>
        <v>4.3500000000000004E-2</v>
      </c>
      <c r="BN11" s="174">
        <f>VLOOKUP(Z11,$BK$41:$BV$59,9,TRUE)</f>
        <v>0.23446713988570445</v>
      </c>
      <c r="BO11" s="298">
        <f t="shared" ref="BO11" si="18">SIN(RADIANS(I11))</f>
        <v>0</v>
      </c>
      <c r="BP11" s="299"/>
      <c r="BQ11" s="175">
        <f t="shared" ref="BQ11" si="19">IF(D11="Trif. Equilibrado",1,2)</f>
        <v>1</v>
      </c>
      <c r="BR11" s="176">
        <f t="shared" ref="BR11" si="20">BQ11*(BK11*(W11/Z11)*H11  + BN11*W11*BO11)*(M11/AA11)</f>
        <v>0.2857883832488648</v>
      </c>
      <c r="BS11" s="177">
        <f t="shared" ref="BS11" si="21">BR11/230</f>
        <v>1.2425581880385426E-3</v>
      </c>
      <c r="BT11" s="178">
        <f t="shared" ref="BT11" si="22">BS11</f>
        <v>1.2425581880385426E-3</v>
      </c>
      <c r="BU11" s="179" t="str">
        <f t="shared" ref="BU11" si="23">IF(BT11&lt;$BU$7,"OK","ERRO")</f>
        <v>OK</v>
      </c>
      <c r="BV11" t="s">
        <v>177</v>
      </c>
      <c r="BW11" s="253" t="e">
        <f t="array" ref="BW11">INDEX(Table1[],MATCH(1,(Z11=Table1[Cabo])*('Cálculos Elétricos'!X11=Table1[Material])*('Cálculos Elétricos'!BV11=Table1[Isolamento])*(N11=Table1[Mono/Multi]),0),5)*AF11</f>
        <v>#N/A</v>
      </c>
      <c r="BX11" s="253" t="e">
        <f t="array" ref="BX11">INDEX(Table1[],MATCH(1,(AB11=Table1[Cabo])*('Cálculos Elétricos'!X11=Table1[Material])*('Cálculos Elétricos'!BV11=Table1[Isolamento])*(N11=Table1[Mono/Multi]),0),5)*AG11</f>
        <v>#N/A</v>
      </c>
      <c r="BY11" s="253" t="e">
        <f t="array" ref="BY11">INDEX(Table1[],MATCH(1,(AD11=Table1[Cabo])*('Cálculos Elétricos'!X11=Table1[Material])*('Cálculos Elétricos'!BV11=Table1[Isolamento])*(N11=Table1[Mono/Multi]),0),5)*AH11</f>
        <v>#N/A</v>
      </c>
      <c r="BZ11" s="253" t="e">
        <f t="shared" ref="BZ11" si="24">BW11+BX11+BY11</f>
        <v>#N/A</v>
      </c>
    </row>
    <row r="12" spans="1:78" ht="15" thickBot="1">
      <c r="A12" s="151" t="s">
        <v>640</v>
      </c>
      <c r="B12" s="151">
        <v>150</v>
      </c>
      <c r="C12" s="256" t="s">
        <v>160</v>
      </c>
      <c r="D12" s="170" t="s">
        <v>161</v>
      </c>
      <c r="E12" s="152"/>
      <c r="F12" s="153">
        <f>VLOOKUP('Cálculos Elétricos'!D12,'Tabelas de apoio'!$H$20:$K$24,2,FALSE)</f>
        <v>400</v>
      </c>
      <c r="G12" s="153">
        <f t="shared" ref="G12:G13" si="25">B12*1100</f>
        <v>165000</v>
      </c>
      <c r="H12" s="154">
        <v>1</v>
      </c>
      <c r="I12" s="154">
        <f t="shared" ref="I12" si="26">DEGREES(ACOS(H12))</f>
        <v>0</v>
      </c>
      <c r="J12" s="155">
        <f t="shared" ref="J12:J13" si="27">G12</f>
        <v>165000</v>
      </c>
      <c r="K12" s="156">
        <f>IF(D12="Monofásico",(J12)/(F12*H12),IF(F12=400,(J12)/(SQRT(3)*F12),IF(D12="DC",#REF!, "ERRO")))</f>
        <v>238.15698604072062</v>
      </c>
      <c r="L12" s="157">
        <v>1</v>
      </c>
      <c r="M12" s="157">
        <f t="shared" si="4"/>
        <v>238.15698604072062</v>
      </c>
      <c r="N12" s="158" t="s">
        <v>162</v>
      </c>
      <c r="O12" s="158" t="s">
        <v>163</v>
      </c>
      <c r="P12" s="159" t="s">
        <v>234</v>
      </c>
      <c r="Q12" s="159" t="s">
        <v>214</v>
      </c>
      <c r="R12" s="159" t="str">
        <f>INDEX('Tabelas de apoio'!$I$9:$P$15,MATCH(P12,'Tabelas de apoio'!$H$9:$H$15,0),MATCH(Q12,'Tabelas de apoio'!$I$8:$P$8,0))</f>
        <v>12,13,13,15,16</v>
      </c>
      <c r="S12" s="159">
        <v>13</v>
      </c>
      <c r="T12" s="159" t="str">
        <f>VLOOKUP(S12,'Tabelas de apoio'!C7:D51,2)</f>
        <v>E ou F [4](3)</v>
      </c>
      <c r="U12" s="159" t="s">
        <v>106</v>
      </c>
      <c r="V12" s="273">
        <v>35</v>
      </c>
      <c r="W12" s="274">
        <f t="shared" ref="W12" si="28">IF(V12&lt;30,V12+V12*0.2,V12+V12*0.1)</f>
        <v>38.5</v>
      </c>
      <c r="X12" s="160" t="str">
        <f>INDEX('Tabelas de apoio'!$I$27:$I$42,MATCH(O12,'Tabelas de apoio'!$H$27:$H$42,0))</f>
        <v>AL</v>
      </c>
      <c r="Y12" s="160" t="str">
        <f>LOOKUP(O12,'Tabelas de apoio'!$I$27:$I$42,'Tabelas de apoio'!$J$27:$J$42)</f>
        <v>XLPE</v>
      </c>
      <c r="Z12" s="161">
        <v>150</v>
      </c>
      <c r="AA12" s="161">
        <v>1</v>
      </c>
      <c r="AB12" s="162">
        <v>95</v>
      </c>
      <c r="AC12" s="162">
        <v>1</v>
      </c>
      <c r="AD12" s="162">
        <v>95</v>
      </c>
      <c r="AE12" s="163">
        <v>1</v>
      </c>
      <c r="AF12" s="164">
        <f t="shared" si="6"/>
        <v>115.5</v>
      </c>
      <c r="AG12" s="164">
        <f t="shared" si="7"/>
        <v>38.5</v>
      </c>
      <c r="AH12" s="165">
        <f t="shared" si="8"/>
        <v>38.5</v>
      </c>
      <c r="AI12" s="275">
        <v>358</v>
      </c>
      <c r="AJ12" s="276">
        <v>1</v>
      </c>
      <c r="AK12" s="276">
        <f t="shared" ref="AK12:AK13" si="29">AI12*AA12*AJ12</f>
        <v>358</v>
      </c>
      <c r="AL12" s="180" t="s">
        <v>166</v>
      </c>
      <c r="AM12" s="181" t="s">
        <v>167</v>
      </c>
      <c r="AN12" s="277">
        <v>0.96</v>
      </c>
      <c r="AO12" s="181" t="s">
        <v>168</v>
      </c>
      <c r="AP12" s="278">
        <v>1</v>
      </c>
      <c r="AQ12" s="181" t="s">
        <v>169</v>
      </c>
      <c r="AR12" s="278">
        <v>0.77</v>
      </c>
      <c r="AS12" s="181" t="s">
        <v>170</v>
      </c>
      <c r="AT12" s="278">
        <v>1</v>
      </c>
      <c r="AU12" s="181" t="s">
        <v>171</v>
      </c>
      <c r="AV12" s="278">
        <v>1</v>
      </c>
      <c r="AW12" s="181" t="s">
        <v>172</v>
      </c>
      <c r="AX12" s="278">
        <v>1</v>
      </c>
      <c r="AY12" s="181" t="s">
        <v>173</v>
      </c>
      <c r="AZ12" s="278">
        <v>1</v>
      </c>
      <c r="BA12" s="181" t="s">
        <v>174</v>
      </c>
      <c r="BB12" s="278">
        <v>1</v>
      </c>
      <c r="BC12" s="166">
        <f t="shared" ref="BC12:BC13" si="30">AK12*AN12*AP12*AR12*AT12*AV12*AX12*AZ12*BB12</f>
        <v>264.6336</v>
      </c>
      <c r="BD12" s="167" t="s">
        <v>175</v>
      </c>
      <c r="BE12" s="168" t="s">
        <v>179</v>
      </c>
      <c r="BF12" s="182">
        <v>250</v>
      </c>
      <c r="BG12" s="169">
        <f t="shared" ref="BG12" si="31">IF(BD12="Disjuntor",IF(BE12="EN60898",1.45,1.3),IF(BD12="Fusível",IF(BF12&gt;=16,1.6,IF(AND(BF12&gt;4,BF12&lt;16),1.9,2.1)),"Erro"))</f>
        <v>1.3</v>
      </c>
      <c r="BH12" s="170">
        <f t="shared" ref="BH12" si="32">BG12*BF12</f>
        <v>325</v>
      </c>
      <c r="BI12" s="171" t="str">
        <f t="shared" ref="BI12" si="33">IF(AND(M12&lt;BF12,BF12&lt;BC12),"OK","erro")</f>
        <v>OK</v>
      </c>
      <c r="BJ12" s="172" t="str">
        <f t="shared" ref="BJ12" si="34">IF(BH12&lt;(1.45*BC12),"OK","erro")</f>
        <v>OK</v>
      </c>
      <c r="BK12" s="173">
        <f t="shared" ref="BK12" si="35">IF(X12="Cobre",0.0225,IF(X12="Al",0.036,"Erro"))</f>
        <v>3.5999999999999997E-2</v>
      </c>
      <c r="BL12" s="173">
        <f t="shared" si="16"/>
        <v>3.6250000000000004E-2</v>
      </c>
      <c r="BM12" s="173">
        <f t="shared" si="17"/>
        <v>4.3500000000000004E-2</v>
      </c>
      <c r="BN12" s="174">
        <f>VLOOKUP(Z12,$BK$41:$BV$59,9,TRUE)</f>
        <v>0.234722946634283</v>
      </c>
      <c r="BO12" s="298">
        <f t="shared" ref="BO12" si="36">SIN(RADIANS(I12))</f>
        <v>0</v>
      </c>
      <c r="BP12" s="299"/>
      <c r="BQ12" s="175">
        <f t="shared" ref="BQ12" si="37">IF(D12="Trif. Equilibrado",1,2)</f>
        <v>1</v>
      </c>
      <c r="BR12" s="176">
        <f t="shared" ref="BR12" si="38">BQ12*(BK12*(W12/Z12)*H12  + BN12*W12*BO12)*(M12/AA12)</f>
        <v>2.2005705510162583</v>
      </c>
      <c r="BS12" s="177">
        <f t="shared" ref="BS12" si="39">BR12/230</f>
        <v>9.5676980478967746E-3</v>
      </c>
      <c r="BT12" s="178">
        <f t="shared" ref="BT12" si="40">BS12</f>
        <v>9.5676980478967746E-3</v>
      </c>
      <c r="BU12" s="179" t="str">
        <f t="shared" ref="BU12" si="41">IF(BT12&lt;$BU$7,"OK","ERRO")</f>
        <v>OK</v>
      </c>
      <c r="BV12" t="s">
        <v>177</v>
      </c>
      <c r="BW12" s="253" t="e">
        <f t="array" ref="BW12">INDEX(Table1[],MATCH(1,(Z12=Table1[Cabo])*('Cálculos Elétricos'!X12=Table1[Material])*('Cálculos Elétricos'!BV12=Table1[Isolamento])*(N12=Table1[Mono/Multi]),0),5)*AF12</f>
        <v>#N/A</v>
      </c>
      <c r="BX12" s="253" t="e">
        <f t="array" ref="BX12">INDEX(Table1[],MATCH(1,(AB12=Table1[Cabo])*('Cálculos Elétricos'!X12=Table1[Material])*('Cálculos Elétricos'!BV12=Table1[Isolamento])*(N12=Table1[Mono/Multi]),0),5)*AG12</f>
        <v>#N/A</v>
      </c>
      <c r="BY12" s="253" t="e">
        <f t="array" ref="BY12">INDEX(Table1[],MATCH(1,(AD12=Table1[Cabo])*('Cálculos Elétricos'!X12=Table1[Material])*('Cálculos Elétricos'!BV12=Table1[Isolamento])*(N12=Table1[Mono/Multi]),0),5)*AH12</f>
        <v>#N/A</v>
      </c>
      <c r="BZ12" s="253" t="e">
        <f t="shared" ref="BZ12" si="42">BW12+BX12+BY12</f>
        <v>#N/A</v>
      </c>
    </row>
    <row r="13" spans="1:78" ht="15" thickBot="1">
      <c r="A13" s="151" t="s">
        <v>642</v>
      </c>
      <c r="B13" s="151">
        <v>150</v>
      </c>
      <c r="C13" s="292" t="s">
        <v>160</v>
      </c>
      <c r="D13" s="170" t="s">
        <v>161</v>
      </c>
      <c r="E13" s="152"/>
      <c r="F13" s="153">
        <v>400</v>
      </c>
      <c r="G13" s="153">
        <f t="shared" si="25"/>
        <v>165000</v>
      </c>
      <c r="H13" s="154">
        <v>1</v>
      </c>
      <c r="I13" s="154">
        <v>0</v>
      </c>
      <c r="J13" s="155">
        <f t="shared" si="27"/>
        <v>165000</v>
      </c>
      <c r="K13" s="156">
        <f>IF(D13="Monofásico",(J13)/(F13*H13),IF(F13=400,(J13)/(SQRT(3)*F13),IF(D13="DC",#REF!, "ERRO")))</f>
        <v>238.15698604072062</v>
      </c>
      <c r="L13" s="157">
        <v>1</v>
      </c>
      <c r="M13" s="157">
        <f t="shared" si="4"/>
        <v>238.15698604072062</v>
      </c>
      <c r="N13" s="158" t="s">
        <v>162</v>
      </c>
      <c r="O13" s="158" t="s">
        <v>163</v>
      </c>
      <c r="P13" s="159" t="s">
        <v>234</v>
      </c>
      <c r="Q13" s="159" t="s">
        <v>214</v>
      </c>
      <c r="R13" s="159" t="str">
        <f>INDEX('Tabelas de apoio'!$I$9:$P$15,MATCH(P13,'Tabelas de apoio'!$H$9:$H$15,0),MATCH(Q13,'Tabelas de apoio'!$I$8:$P$8,0))</f>
        <v>12,13,13,15,16</v>
      </c>
      <c r="S13" s="159">
        <v>13</v>
      </c>
      <c r="T13" s="159" t="str">
        <f>VLOOKUP(S13,'Tabelas de apoio'!C8:D52,2)</f>
        <v>E ou F [4](3)</v>
      </c>
      <c r="U13" s="159" t="s">
        <v>106</v>
      </c>
      <c r="V13" s="273">
        <v>15</v>
      </c>
      <c r="W13" s="274">
        <v>8.4</v>
      </c>
      <c r="X13" s="160" t="str">
        <f>INDEX('Tabelas de apoio'!$I$27:$I$42,MATCH(O13,'Tabelas de apoio'!$H$27:$H$42,0))</f>
        <v>AL</v>
      </c>
      <c r="Y13" s="160" t="s">
        <v>288</v>
      </c>
      <c r="Z13" s="161">
        <v>150</v>
      </c>
      <c r="AA13" s="161">
        <v>1</v>
      </c>
      <c r="AB13" s="162">
        <v>95</v>
      </c>
      <c r="AC13" s="162">
        <v>1</v>
      </c>
      <c r="AD13" s="162">
        <v>95</v>
      </c>
      <c r="AE13" s="163">
        <v>1</v>
      </c>
      <c r="AF13" s="164">
        <f t="shared" si="6"/>
        <v>25.200000000000003</v>
      </c>
      <c r="AG13" s="164">
        <f t="shared" si="7"/>
        <v>8.4</v>
      </c>
      <c r="AH13" s="165">
        <f t="shared" si="8"/>
        <v>8.4</v>
      </c>
      <c r="AI13" s="275">
        <v>358</v>
      </c>
      <c r="AJ13" s="276">
        <v>1</v>
      </c>
      <c r="AK13" s="276">
        <f t="shared" si="29"/>
        <v>358</v>
      </c>
      <c r="AL13" s="180" t="s">
        <v>166</v>
      </c>
      <c r="AM13" s="181" t="s">
        <v>167</v>
      </c>
      <c r="AN13" s="277">
        <v>0.96</v>
      </c>
      <c r="AO13" s="181" t="s">
        <v>168</v>
      </c>
      <c r="AP13" s="278">
        <v>1</v>
      </c>
      <c r="AQ13" s="181" t="s">
        <v>169</v>
      </c>
      <c r="AR13" s="278">
        <v>0.77</v>
      </c>
      <c r="AS13" s="181" t="s">
        <v>170</v>
      </c>
      <c r="AT13" s="278">
        <v>1</v>
      </c>
      <c r="AU13" s="181" t="s">
        <v>171</v>
      </c>
      <c r="AV13" s="278">
        <v>1</v>
      </c>
      <c r="AW13" s="181" t="s">
        <v>172</v>
      </c>
      <c r="AX13" s="293">
        <v>1</v>
      </c>
      <c r="AY13" s="181" t="s">
        <v>173</v>
      </c>
      <c r="AZ13" s="293">
        <v>1</v>
      </c>
      <c r="BA13" s="181" t="s">
        <v>174</v>
      </c>
      <c r="BB13" s="278">
        <v>1</v>
      </c>
      <c r="BC13" s="166">
        <f t="shared" si="30"/>
        <v>264.6336</v>
      </c>
      <c r="BD13" s="167" t="s">
        <v>175</v>
      </c>
      <c r="BE13" s="168" t="s">
        <v>179</v>
      </c>
      <c r="BF13" s="182">
        <v>250</v>
      </c>
      <c r="BG13" s="169">
        <v>1.3</v>
      </c>
      <c r="BH13" s="170">
        <v>130</v>
      </c>
      <c r="BI13" s="171" t="s">
        <v>641</v>
      </c>
      <c r="BJ13" s="172" t="s">
        <v>641</v>
      </c>
      <c r="BK13" s="173">
        <v>2.2499999999999999E-2</v>
      </c>
      <c r="BL13" s="173">
        <v>3.6250000000000004E-2</v>
      </c>
      <c r="BM13" s="173">
        <v>4.3500000000000004E-2</v>
      </c>
      <c r="BN13" s="174">
        <v>0.25928315273657315</v>
      </c>
      <c r="BO13" s="296">
        <v>0</v>
      </c>
      <c r="BP13" s="297"/>
      <c r="BQ13" s="175">
        <v>1</v>
      </c>
      <c r="BR13" s="176">
        <v>0.60015560482261598</v>
      </c>
      <c r="BS13" s="177">
        <v>2.6093721948809391E-3</v>
      </c>
      <c r="BT13" s="178">
        <v>2.6093721948809391E-3</v>
      </c>
      <c r="BU13" s="179" t="s">
        <v>641</v>
      </c>
      <c r="BV13" t="s">
        <v>177</v>
      </c>
      <c r="BW13" s="253" t="e">
        <v>#N/A</v>
      </c>
      <c r="BX13" s="253" t="e">
        <v>#N/A</v>
      </c>
      <c r="BY13" s="253" t="e">
        <v>#N/A</v>
      </c>
      <c r="BZ13" s="253" t="e">
        <v>#N/A</v>
      </c>
    </row>
    <row r="14" spans="1:78" ht="15" thickBot="1">
      <c r="A14" s="151" t="s">
        <v>160</v>
      </c>
      <c r="B14" s="151">
        <v>500</v>
      </c>
      <c r="C14" s="151" t="s">
        <v>701</v>
      </c>
      <c r="D14" s="170" t="s">
        <v>161</v>
      </c>
      <c r="E14" s="152"/>
      <c r="F14" s="153">
        <f>VLOOKUP('Cálculos Elétricos'!D14,'Tabelas de apoio'!$H$20:$K$24,2,FALSE)</f>
        <v>400</v>
      </c>
      <c r="G14" s="153">
        <f>B14*1100</f>
        <v>550000</v>
      </c>
      <c r="H14" s="154">
        <v>1</v>
      </c>
      <c r="I14" s="154">
        <f>DEGREES(ACOS(H14))</f>
        <v>0</v>
      </c>
      <c r="J14" s="155">
        <f>G14</f>
        <v>550000</v>
      </c>
      <c r="K14" s="156">
        <f>IF(D14="Monofásico",(J14)/(F14*H14),IF(F14=400,(J14)/(SQRT(3)*F14),IF(D14="DC",#REF!, "ERRO")))</f>
        <v>793.8566201357354</v>
      </c>
      <c r="L14" s="157">
        <v>1</v>
      </c>
      <c r="M14" s="157">
        <f t="shared" si="4"/>
        <v>793.8566201357354</v>
      </c>
      <c r="N14" s="158" t="s">
        <v>162</v>
      </c>
      <c r="O14" s="158" t="s">
        <v>163</v>
      </c>
      <c r="P14" s="159" t="s">
        <v>234</v>
      </c>
      <c r="Q14" s="159" t="s">
        <v>214</v>
      </c>
      <c r="R14" s="159" t="str">
        <f>INDEX('Tabelas de apoio'!$I$9:$P$15,MATCH(P14,'Tabelas de apoio'!$H$9:$H$15,0),MATCH(Q14,'Tabelas de apoio'!$I$8:$P$8,0))</f>
        <v>12,13,13,15,16</v>
      </c>
      <c r="S14" s="159">
        <v>13</v>
      </c>
      <c r="T14" s="159" t="str">
        <f>VLOOKUP(S14,'Tabelas de apoio'!C8:D52,2)</f>
        <v>E ou F [4](3)</v>
      </c>
      <c r="U14" s="159" t="s">
        <v>106</v>
      </c>
      <c r="V14" s="273">
        <v>140</v>
      </c>
      <c r="W14" s="274">
        <f>IF(V14&lt;30,V14+V14*0.2,V14+V14*0.1)</f>
        <v>154</v>
      </c>
      <c r="X14" s="160" t="str">
        <f>INDEX('Tabelas de apoio'!$I$27:$I$42,MATCH(O14,'Tabelas de apoio'!$H$27:$H$42,0))</f>
        <v>AL</v>
      </c>
      <c r="Y14" s="160" t="str">
        <f>LOOKUP(O14,'Tabelas de apoio'!$I$27:$I$42,'Tabelas de apoio'!$J$27:$J$42)</f>
        <v>XLPE</v>
      </c>
      <c r="Z14" s="161">
        <v>240</v>
      </c>
      <c r="AA14" s="161">
        <v>3</v>
      </c>
      <c r="AB14" s="162">
        <v>185</v>
      </c>
      <c r="AC14" s="162">
        <v>2</v>
      </c>
      <c r="AD14" s="162">
        <v>185</v>
      </c>
      <c r="AE14" s="163">
        <v>2</v>
      </c>
      <c r="AF14" s="164">
        <f t="shared" si="6"/>
        <v>1386</v>
      </c>
      <c r="AG14" s="164">
        <f t="shared" si="7"/>
        <v>308</v>
      </c>
      <c r="AH14" s="165">
        <f t="shared" si="8"/>
        <v>308</v>
      </c>
      <c r="AI14" s="275">
        <v>492</v>
      </c>
      <c r="AJ14" s="276">
        <v>1</v>
      </c>
      <c r="AK14" s="276">
        <f>AI14*AA14*AJ14</f>
        <v>1476</v>
      </c>
      <c r="AL14" s="180" t="s">
        <v>166</v>
      </c>
      <c r="AM14" s="181" t="s">
        <v>167</v>
      </c>
      <c r="AN14" s="277">
        <v>0.96</v>
      </c>
      <c r="AO14" s="181" t="s">
        <v>168</v>
      </c>
      <c r="AP14" s="278">
        <v>1</v>
      </c>
      <c r="AQ14" s="181" t="s">
        <v>169</v>
      </c>
      <c r="AR14" s="278">
        <v>0.82</v>
      </c>
      <c r="AS14" s="181" t="s">
        <v>170</v>
      </c>
      <c r="AT14" s="278">
        <v>1</v>
      </c>
      <c r="AU14" s="181" t="s">
        <v>171</v>
      </c>
      <c r="AV14" s="278">
        <v>1</v>
      </c>
      <c r="AW14" s="181" t="s">
        <v>172</v>
      </c>
      <c r="AX14" s="279">
        <v>1</v>
      </c>
      <c r="AY14" s="181" t="s">
        <v>173</v>
      </c>
      <c r="AZ14" s="279">
        <v>1</v>
      </c>
      <c r="BA14" s="181" t="s">
        <v>174</v>
      </c>
      <c r="BB14" s="278">
        <v>1</v>
      </c>
      <c r="BC14" s="166">
        <f>AK14*AN14*AP14*AR14*AT14*AV14*AX14*AZ14*BB14</f>
        <v>1161.9071999999999</v>
      </c>
      <c r="BD14" s="167" t="s">
        <v>175</v>
      </c>
      <c r="BE14" s="168" t="s">
        <v>176</v>
      </c>
      <c r="BF14" s="182">
        <v>850</v>
      </c>
      <c r="BG14" s="169">
        <f t="shared" ref="BG14" si="43">IF(BD14="Disjuntor",IF(BE14="EN60898",1.45,1.3),IF(BD14="Fusível",IF(BF14&gt;=16,1.6,IF(AND(BF14&gt;4,BF14&lt;16),1.9,2.1)),"Erro"))</f>
        <v>1.45</v>
      </c>
      <c r="BH14" s="170">
        <f t="shared" ref="BH14" si="44">BG14*BF14</f>
        <v>1232.5</v>
      </c>
      <c r="BI14" s="171" t="str">
        <f>IF(AND(M14&lt;BF14,BF14&lt;BC14),"OK","erro")</f>
        <v>OK</v>
      </c>
      <c r="BJ14" s="172" t="str">
        <f t="shared" ref="BJ14" si="45">IF(BH14&lt;(1.45*BC14),"OK","erro")</f>
        <v>OK</v>
      </c>
      <c r="BK14" s="173">
        <f>IF(X14="Cobre",0.0225,IF(X14="Al",0.036,"Erro"))</f>
        <v>3.5999999999999997E-2</v>
      </c>
      <c r="BL14" s="173">
        <f>$BL$5*1.25</f>
        <v>3.6250000000000004E-2</v>
      </c>
      <c r="BM14" s="173">
        <f>$BL$5*1.5</f>
        <v>4.3500000000000004E-2</v>
      </c>
      <c r="BN14" s="174">
        <f>VLOOKUP(Z14,$BK$41:$BV$59,9,TRUE)</f>
        <v>0.2333247262575856</v>
      </c>
      <c r="BO14" s="298">
        <f>SIN(RADIANS(I14))</f>
        <v>0</v>
      </c>
      <c r="BP14" s="299"/>
      <c r="BQ14" s="175">
        <f>IF(D14="Trif. Equilibrado",1,2)</f>
        <v>1</v>
      </c>
      <c r="BR14" s="176">
        <f>BQ14*(BK14*(W14/Z14)*H14  + BN14*W14*BO14)*(M14/AA14)</f>
        <v>6.1126959750451624</v>
      </c>
      <c r="BS14" s="177">
        <f>BR14/230</f>
        <v>2.6576939021935489E-2</v>
      </c>
      <c r="BT14" s="178">
        <f>BS14</f>
        <v>2.6576939021935489E-2</v>
      </c>
      <c r="BU14" s="179" t="str">
        <f>IF(BT14&lt;$BU$7,"OK","ERRO")</f>
        <v>OK</v>
      </c>
      <c r="BV14" t="s">
        <v>180</v>
      </c>
      <c r="BW14" s="253" t="e">
        <f t="array" ref="BW14">INDEX(Table1[],MATCH(1,(Z14=Table1[Cabo])*('Cálculos Elétricos'!X14=Table1[Material])*('Cálculos Elétricos'!BV14=Table1[Isolamento])*(N14=Table1[Mono/Multi]),0),5)*AF14</f>
        <v>#N/A</v>
      </c>
      <c r="BX14" s="253" t="e">
        <f t="array" ref="BX14">INDEX(Table1[],MATCH(1,(AB14=Table1[Cabo])*('Cálculos Elétricos'!X14=Table1[Material])*('Cálculos Elétricos'!BV14=Table1[Isolamento])*(N14=Table1[Mono/Multi]),0),5)*AG14</f>
        <v>#N/A</v>
      </c>
      <c r="BY14" s="253" t="e">
        <f t="array" ref="BY14">INDEX(Table1[],MATCH(1,(AD14=Table1[Cabo])*('Cálculos Elétricos'!X14=Table1[Material])*('Cálculos Elétricos'!BV14=Table1[Isolamento])*(N14=Table1[Mono/Multi]),0),5)*AH14</f>
        <v>#N/A</v>
      </c>
      <c r="BZ14" s="253" t="e">
        <f t="shared" ref="BZ14" si="46">BW14+BX14+BY14</f>
        <v>#N/A</v>
      </c>
    </row>
    <row r="15" spans="1:78" ht="15" thickBot="1">
      <c r="A15" s="151" t="s">
        <v>701</v>
      </c>
      <c r="B15" s="151">
        <v>500</v>
      </c>
      <c r="C15" s="151" t="s">
        <v>702</v>
      </c>
      <c r="D15" s="170" t="s">
        <v>161</v>
      </c>
      <c r="E15" s="152"/>
      <c r="F15" s="153">
        <f>VLOOKUP('Cálculos Elétricos'!D15,'Tabelas de apoio'!$H$20:$K$24,2,FALSE)</f>
        <v>400</v>
      </c>
      <c r="G15" s="153">
        <f>B15*1100</f>
        <v>550000</v>
      </c>
      <c r="H15" s="154">
        <v>1</v>
      </c>
      <c r="I15" s="154">
        <f>DEGREES(ACOS(H15))</f>
        <v>0</v>
      </c>
      <c r="J15" s="155">
        <f>G15</f>
        <v>550000</v>
      </c>
      <c r="K15" s="156">
        <f>IF(D15="Monofásico",(J15)/(F15*H15),IF(F15=400,(J15)/(SQRT(3)*F15),IF(D15="DC",#REF!, "ERRO")))</f>
        <v>793.8566201357354</v>
      </c>
      <c r="L15" s="157">
        <v>1</v>
      </c>
      <c r="M15" s="157">
        <f t="shared" ref="M15" si="47">L15*K15</f>
        <v>793.8566201357354</v>
      </c>
      <c r="N15" s="158" t="s">
        <v>162</v>
      </c>
      <c r="O15" s="158" t="s">
        <v>300</v>
      </c>
      <c r="P15" s="159" t="s">
        <v>234</v>
      </c>
      <c r="Q15" s="159" t="s">
        <v>214</v>
      </c>
      <c r="R15" s="159" t="str">
        <f>INDEX('Tabelas de apoio'!$I$9:$P$15,MATCH(P15,'Tabelas de apoio'!$H$9:$H$15,0),MATCH(Q15,'Tabelas de apoio'!$I$8:$P$8,0))</f>
        <v>12,13,13,15,16</v>
      </c>
      <c r="S15" s="159">
        <v>13</v>
      </c>
      <c r="T15" s="159" t="str">
        <f>VLOOKUP(S15,'Tabelas de apoio'!C9:D53,2)</f>
        <v>E ou F [4](3)</v>
      </c>
      <c r="U15" s="159" t="s">
        <v>106</v>
      </c>
      <c r="V15" s="273">
        <v>7</v>
      </c>
      <c r="W15" s="274">
        <f>IF(V15&lt;30,V15+V15*0.2,V15+V15*0.1)</f>
        <v>8.4</v>
      </c>
      <c r="X15" s="160" t="str">
        <f>INDEX('Tabelas de apoio'!$I$27:$I$42,MATCH(O15,'Tabelas de apoio'!$H$27:$H$42,0))</f>
        <v>Cobre</v>
      </c>
      <c r="Y15" s="160" t="str">
        <f>LOOKUP(O15,'Tabelas de apoio'!$I$27:$I$42,'Tabelas de apoio'!$J$27:$J$42)</f>
        <v>XLPE</v>
      </c>
      <c r="Z15" s="161">
        <v>185</v>
      </c>
      <c r="AA15" s="161">
        <v>2</v>
      </c>
      <c r="AB15" s="162">
        <v>185</v>
      </c>
      <c r="AC15" s="162">
        <v>1</v>
      </c>
      <c r="AD15" s="162">
        <v>185</v>
      </c>
      <c r="AE15" s="163">
        <v>1</v>
      </c>
      <c r="AF15" s="164">
        <f t="shared" ref="AF15" si="48">IF(N15="Multicondutor",W15*AA15,3*W15*AA15)</f>
        <v>50.400000000000006</v>
      </c>
      <c r="AG15" s="164">
        <f t="shared" ref="AG15" si="49">IF(N15="Multicondutor",0,AC15*W15)</f>
        <v>8.4</v>
      </c>
      <c r="AH15" s="165">
        <f t="shared" ref="AH15" si="50">IF(N15="Multicondutor",0,AE15*W15)</f>
        <v>8.4</v>
      </c>
      <c r="AI15" s="275">
        <v>533</v>
      </c>
      <c r="AJ15" s="276">
        <v>1</v>
      </c>
      <c r="AK15" s="276">
        <f>AI15*AA15*AJ15</f>
        <v>1066</v>
      </c>
      <c r="AL15" s="180" t="s">
        <v>166</v>
      </c>
      <c r="AM15" s="181" t="s">
        <v>167</v>
      </c>
      <c r="AN15" s="277">
        <v>0.96</v>
      </c>
      <c r="AO15" s="181" t="s">
        <v>168</v>
      </c>
      <c r="AP15" s="278">
        <v>1</v>
      </c>
      <c r="AQ15" s="181" t="s">
        <v>169</v>
      </c>
      <c r="AR15" s="278">
        <v>0.88</v>
      </c>
      <c r="AS15" s="181" t="s">
        <v>170</v>
      </c>
      <c r="AT15" s="278">
        <v>1</v>
      </c>
      <c r="AU15" s="181" t="s">
        <v>171</v>
      </c>
      <c r="AV15" s="278">
        <v>1</v>
      </c>
      <c r="AW15" s="181" t="s">
        <v>172</v>
      </c>
      <c r="AX15" s="279">
        <v>1</v>
      </c>
      <c r="AY15" s="181" t="s">
        <v>173</v>
      </c>
      <c r="AZ15" s="279">
        <v>1</v>
      </c>
      <c r="BA15" s="181" t="s">
        <v>174</v>
      </c>
      <c r="BB15" s="278">
        <v>1</v>
      </c>
      <c r="BC15" s="166">
        <f>AK15*AN15*AP15*AR15*AT15*AV15*AX15*AZ15*BB15</f>
        <v>900.55680000000007</v>
      </c>
      <c r="BD15" s="167" t="s">
        <v>175</v>
      </c>
      <c r="BE15" s="168" t="s">
        <v>176</v>
      </c>
      <c r="BF15" s="182">
        <v>850</v>
      </c>
      <c r="BG15" s="169">
        <f t="shared" ref="BG15" si="51">IF(BD15="Disjuntor",IF(BE15="EN60898",1.45,1.3),IF(BD15="Fusível",IF(BF15&gt;=16,1.6,IF(AND(BF15&gt;4,BF15&lt;16),1.9,2.1)),"Erro"))</f>
        <v>1.45</v>
      </c>
      <c r="BH15" s="170">
        <f t="shared" ref="BH15" si="52">BG15*BF15</f>
        <v>1232.5</v>
      </c>
      <c r="BI15" s="171" t="str">
        <f>IF(AND(M15&lt;BF15,BF15&lt;BC15),"OK","erro")</f>
        <v>OK</v>
      </c>
      <c r="BJ15" s="172" t="str">
        <f t="shared" ref="BJ15" si="53">IF(BH15&lt;(1.45*BC15),"OK","erro")</f>
        <v>OK</v>
      </c>
      <c r="BK15" s="173">
        <f>IF(X15="Cobre",0.0225,IF(X15="Al",0.036,"Erro"))</f>
        <v>2.2499999999999999E-2</v>
      </c>
      <c r="BL15" s="173">
        <f>$BL$5*1.25</f>
        <v>3.6250000000000004E-2</v>
      </c>
      <c r="BM15" s="173">
        <f>$BL$5*1.5</f>
        <v>4.3500000000000004E-2</v>
      </c>
      <c r="BN15" s="174">
        <f>VLOOKUP(Z15,$BK$41:$BV$59,9,TRUE)</f>
        <v>0.23474360403851979</v>
      </c>
      <c r="BO15" s="298">
        <f>SIN(RADIANS(I15))</f>
        <v>0</v>
      </c>
      <c r="BP15" s="299"/>
      <c r="BQ15" s="175">
        <f>IF(D15="Trif. Equilibrado",1,2)</f>
        <v>1</v>
      </c>
      <c r="BR15" s="176">
        <f>BQ15*(BK15*(W15/Z15)*H15  + BN15*W15*BO15)*(M15/AA15)</f>
        <v>0.40551054379906487</v>
      </c>
      <c r="BS15" s="177">
        <f>BR15/230</f>
        <v>1.7630893208654993E-3</v>
      </c>
      <c r="BT15" s="178">
        <f>BS15</f>
        <v>1.7630893208654993E-3</v>
      </c>
      <c r="BU15" s="179" t="str">
        <f>IF(BT15&lt;$BU$7,"OK","ERRO")</f>
        <v>OK</v>
      </c>
      <c r="BV15" t="s">
        <v>180</v>
      </c>
      <c r="BW15" s="253" t="e">
        <f t="array" ref="BW15">INDEX(Table1[],MATCH(1,(Z15=Table1[Cabo])*('Cálculos Elétricos'!X15=Table1[Material])*('Cálculos Elétricos'!BV15=Table1[Isolamento])*(N15=Table1[Mono/Multi]),0),5)*AF15</f>
        <v>#N/A</v>
      </c>
      <c r="BX15" s="253" t="e">
        <f t="array" ref="BX15">INDEX(Table1[],MATCH(1,(AB15=Table1[Cabo])*('Cálculos Elétricos'!X15=Table1[Material])*('Cálculos Elétricos'!BV15=Table1[Isolamento])*(N15=Table1[Mono/Multi]),0),5)*AG15</f>
        <v>#N/A</v>
      </c>
      <c r="BY15" s="253" t="e">
        <f t="array" ref="BY15">INDEX(Table1[],MATCH(1,(AD15=Table1[Cabo])*('Cálculos Elétricos'!X15=Table1[Material])*('Cálculos Elétricos'!BV15=Table1[Isolamento])*(N15=Table1[Mono/Multi]),0),5)*AH15</f>
        <v>#N/A</v>
      </c>
      <c r="BZ15" s="304" t="e">
        <f>SUM(BZ14:BZ14)</f>
        <v>#N/A</v>
      </c>
    </row>
    <row r="16" spans="1:78" ht="15" thickBot="1">
      <c r="A16" s="300"/>
      <c r="B16" s="301"/>
      <c r="C16" s="301"/>
      <c r="D16" s="301"/>
      <c r="BZ16" s="305"/>
    </row>
    <row r="23" spans="28:28">
      <c r="AB23">
        <f>240*3</f>
        <v>720</v>
      </c>
    </row>
    <row r="24" spans="28:28">
      <c r="AB24">
        <f>AB23/2</f>
        <v>360</v>
      </c>
    </row>
    <row r="25" spans="28:28">
      <c r="AB25">
        <f>AB24/2</f>
        <v>180</v>
      </c>
    </row>
    <row r="38" spans="63:74" ht="15.65" customHeight="1"/>
    <row r="39" spans="63:74" ht="15" thickBot="1"/>
    <row r="40" spans="63:74" ht="67.5" thickBot="1">
      <c r="BK40" s="352" t="s">
        <v>181</v>
      </c>
      <c r="BL40" s="189"/>
      <c r="BM40" s="189"/>
      <c r="BN40" s="241" t="s">
        <v>182</v>
      </c>
      <c r="BO40" s="241" t="s">
        <v>183</v>
      </c>
      <c r="BP40" s="241" t="s">
        <v>184</v>
      </c>
      <c r="BQ40" s="241" t="s">
        <v>185</v>
      </c>
      <c r="BR40" s="241" t="s">
        <v>186</v>
      </c>
      <c r="BS40" s="243" t="s">
        <v>187</v>
      </c>
      <c r="BT40" s="244"/>
      <c r="BU40" s="243" t="s">
        <v>188</v>
      </c>
      <c r="BV40" s="244"/>
    </row>
    <row r="41" spans="63:74" ht="15" thickBot="1">
      <c r="BK41" s="353"/>
      <c r="BL41" s="190"/>
      <c r="BM41" s="190"/>
      <c r="BN41" s="242"/>
      <c r="BO41" s="242"/>
      <c r="BP41" s="242"/>
      <c r="BQ41" s="242"/>
      <c r="BR41" s="242"/>
      <c r="BS41" s="191" t="s">
        <v>71</v>
      </c>
      <c r="BT41" s="192" t="s">
        <v>189</v>
      </c>
      <c r="BU41" s="191" t="s">
        <v>71</v>
      </c>
      <c r="BV41" s="192" t="s">
        <v>189</v>
      </c>
    </row>
    <row r="42" spans="63:74">
      <c r="BK42" s="193">
        <v>1.5</v>
      </c>
      <c r="BL42" s="193"/>
      <c r="BM42" s="193"/>
      <c r="BN42" s="194">
        <f>2*SQRT(BK42/PI())</f>
        <v>1.381976597885342</v>
      </c>
      <c r="BO42" s="195">
        <v>0.7</v>
      </c>
      <c r="BP42" s="196" t="s">
        <v>190</v>
      </c>
      <c r="BQ42" s="194">
        <f>BN42+2*BO42</f>
        <v>2.7819765978853419</v>
      </c>
      <c r="BR42" s="194" t="s">
        <v>190</v>
      </c>
      <c r="BS42" s="197">
        <f>0.05+0.46*LOG(2*BQ42/BN42)</f>
        <v>0.32824607842534437</v>
      </c>
      <c r="BT42" s="197" t="s">
        <v>190</v>
      </c>
      <c r="BU42" s="198">
        <f>2*PI()*50*BS42*10^-3/1000</f>
        <v>1.0312154685507211E-4</v>
      </c>
      <c r="BV42" s="198" t="s">
        <v>190</v>
      </c>
    </row>
    <row r="43" spans="63:74">
      <c r="BK43" s="199">
        <v>2.5</v>
      </c>
      <c r="BL43" s="199"/>
      <c r="BM43" s="199"/>
      <c r="BN43" s="200">
        <f t="shared" ref="BN43:BN60" si="54">2*SQRT(BK43/PI())</f>
        <v>1.7841241161527712</v>
      </c>
      <c r="BO43" s="201">
        <v>0.8</v>
      </c>
      <c r="BP43" s="202" t="s">
        <v>190</v>
      </c>
      <c r="BQ43" s="200">
        <f t="shared" ref="BQ43:BQ58" si="55">BN43+2*BO43</f>
        <v>3.3841241161527713</v>
      </c>
      <c r="BR43" s="200" t="s">
        <v>190</v>
      </c>
      <c r="BS43" s="203">
        <f t="shared" ref="BS43:BS58" si="56">0.05+0.46*LOG(2*BQ43/BN43)</f>
        <v>0.31636355883407835</v>
      </c>
      <c r="BT43" s="203" t="s">
        <v>190</v>
      </c>
      <c r="BU43" s="204">
        <f t="shared" ref="BU43:BV58" si="57">2*PI()*50*BS43*10^-3/1000</f>
        <v>9.9388543229666278E-5</v>
      </c>
      <c r="BV43" s="204" t="s">
        <v>190</v>
      </c>
    </row>
    <row r="44" spans="63:74">
      <c r="BK44" s="199">
        <v>4</v>
      </c>
      <c r="BL44" s="199"/>
      <c r="BM44" s="199"/>
      <c r="BN44" s="200">
        <f t="shared" si="54"/>
        <v>2.2567583341910251</v>
      </c>
      <c r="BO44" s="201">
        <v>0.8</v>
      </c>
      <c r="BP44" s="202" t="s">
        <v>190</v>
      </c>
      <c r="BQ44" s="200">
        <f t="shared" si="55"/>
        <v>3.8567583341910252</v>
      </c>
      <c r="BR44" s="200" t="s">
        <v>190</v>
      </c>
      <c r="BS44" s="203">
        <f t="shared" si="56"/>
        <v>0.29553298898536157</v>
      </c>
      <c r="BT44" s="203" t="s">
        <v>190</v>
      </c>
      <c r="BU44" s="204">
        <f t="shared" si="57"/>
        <v>9.284442670898452E-5</v>
      </c>
      <c r="BV44" s="204" t="s">
        <v>190</v>
      </c>
    </row>
    <row r="45" spans="63:74">
      <c r="BK45" s="199">
        <v>6</v>
      </c>
      <c r="BL45" s="199"/>
      <c r="BM45" s="199"/>
      <c r="BN45" s="200">
        <f t="shared" si="54"/>
        <v>2.763953195770684</v>
      </c>
      <c r="BO45" s="201">
        <v>0.8</v>
      </c>
      <c r="BP45" s="202" t="s">
        <v>190</v>
      </c>
      <c r="BQ45" s="200">
        <f t="shared" si="55"/>
        <v>4.3639531957706836</v>
      </c>
      <c r="BR45" s="200" t="s">
        <v>190</v>
      </c>
      <c r="BS45" s="203">
        <f t="shared" si="56"/>
        <v>0.27971452179452089</v>
      </c>
      <c r="BT45" s="203" t="s">
        <v>190</v>
      </c>
      <c r="BU45" s="204">
        <f>2*PI()*50*BS45*10^-3/1000</f>
        <v>8.7874908677204911E-5</v>
      </c>
      <c r="BV45" s="204" t="s">
        <v>190</v>
      </c>
    </row>
    <row r="46" spans="63:74">
      <c r="BK46" s="199">
        <v>10</v>
      </c>
      <c r="BL46" s="199"/>
      <c r="BM46" s="199"/>
      <c r="BN46" s="200">
        <f t="shared" si="54"/>
        <v>3.5682482323055424</v>
      </c>
      <c r="BO46" s="201">
        <v>1</v>
      </c>
      <c r="BP46" s="202" t="s">
        <v>190</v>
      </c>
      <c r="BQ46" s="200">
        <f t="shared" si="55"/>
        <v>5.5682482323055424</v>
      </c>
      <c r="BR46" s="200" t="s">
        <v>190</v>
      </c>
      <c r="BS46" s="205">
        <f t="shared" si="56"/>
        <v>0.277375021138206</v>
      </c>
      <c r="BT46" s="203" t="s">
        <v>190</v>
      </c>
      <c r="BU46" s="204">
        <f t="shared" si="57"/>
        <v>8.7139932869710171E-5</v>
      </c>
      <c r="BV46" s="204" t="s">
        <v>190</v>
      </c>
    </row>
    <row r="47" spans="63:74">
      <c r="BK47" s="199">
        <v>16</v>
      </c>
      <c r="BL47" s="199"/>
      <c r="BM47" s="199"/>
      <c r="BN47" s="200">
        <f t="shared" si="54"/>
        <v>4.5135166683820502</v>
      </c>
      <c r="BO47" s="201">
        <v>1</v>
      </c>
      <c r="BP47" s="201">
        <v>1</v>
      </c>
      <c r="BQ47" s="200">
        <f t="shared" si="55"/>
        <v>6.5135166683820502</v>
      </c>
      <c r="BR47" s="200">
        <f>BN47+2*BP47</f>
        <v>6.5135166683820502</v>
      </c>
      <c r="BS47" s="205">
        <f t="shared" si="56"/>
        <v>0.26175201798511166</v>
      </c>
      <c r="BT47" s="205">
        <f t="shared" ref="BT47:BT60" si="58">0.05+0.46*LOG(2*BR47/BN47)</f>
        <v>0.26175201798511166</v>
      </c>
      <c r="BU47" s="204">
        <f t="shared" si="57"/>
        <v>8.2231821676433036E-5</v>
      </c>
      <c r="BV47" s="204">
        <f t="shared" si="57"/>
        <v>8.2231821676433036E-5</v>
      </c>
    </row>
    <row r="48" spans="63:74">
      <c r="BK48" s="199">
        <v>25</v>
      </c>
      <c r="BL48" s="199"/>
      <c r="BM48" s="199"/>
      <c r="BN48" s="200">
        <f t="shared" si="54"/>
        <v>5.6418958354775626</v>
      </c>
      <c r="BO48" s="201">
        <v>1.2</v>
      </c>
      <c r="BP48" s="201">
        <v>1.2</v>
      </c>
      <c r="BQ48" s="200">
        <f t="shared" si="55"/>
        <v>8.0418958354775629</v>
      </c>
      <c r="BR48" s="200">
        <f t="shared" ref="BR48:BR60" si="59">BN48+2*BP48</f>
        <v>8.0418958354775629</v>
      </c>
      <c r="BS48" s="205">
        <f>0.05+0.46*LOG(2*BQ48/BN48)</f>
        <v>0.25928315273657315</v>
      </c>
      <c r="BT48" s="205">
        <f t="shared" si="58"/>
        <v>0.25928315273657315</v>
      </c>
      <c r="BU48" s="204">
        <f>2*PI()*50*BS48*10^-3/1000</f>
        <v>8.1456204783681861E-5</v>
      </c>
      <c r="BV48" s="204">
        <f>2*PI()*50*BT48*10^-3/1000</f>
        <v>8.1456204783681861E-5</v>
      </c>
    </row>
    <row r="49" spans="63:74">
      <c r="BK49" s="199">
        <v>35</v>
      </c>
      <c r="BL49" s="199"/>
      <c r="BM49" s="199"/>
      <c r="BN49" s="200">
        <f t="shared" si="54"/>
        <v>6.6755811781245455</v>
      </c>
      <c r="BO49" s="201">
        <v>1.2</v>
      </c>
      <c r="BP49" s="201">
        <v>1.2</v>
      </c>
      <c r="BQ49" s="200">
        <f t="shared" si="55"/>
        <v>9.0755811781245459</v>
      </c>
      <c r="BR49" s="200">
        <f t="shared" si="59"/>
        <v>9.0755811781245459</v>
      </c>
      <c r="BS49" s="205">
        <f t="shared" si="56"/>
        <v>0.24983106556869572</v>
      </c>
      <c r="BT49" s="205">
        <f t="shared" si="58"/>
        <v>0.24983106556869572</v>
      </c>
      <c r="BU49" s="204">
        <f t="shared" si="57"/>
        <v>7.8486744022912447E-5</v>
      </c>
      <c r="BV49" s="204">
        <f t="shared" si="57"/>
        <v>7.8486744022912447E-5</v>
      </c>
    </row>
    <row r="50" spans="63:74">
      <c r="BK50" s="199">
        <v>50</v>
      </c>
      <c r="BL50" s="199"/>
      <c r="BM50" s="199"/>
      <c r="BN50" s="200">
        <f t="shared" si="54"/>
        <v>7.9788456080286538</v>
      </c>
      <c r="BO50" s="201">
        <v>1.4</v>
      </c>
      <c r="BP50" s="201">
        <v>1.4</v>
      </c>
      <c r="BQ50" s="200">
        <f t="shared" si="55"/>
        <v>10.778845608028654</v>
      </c>
      <c r="BR50" s="200">
        <f t="shared" si="59"/>
        <v>10.778845608028654</v>
      </c>
      <c r="BS50" s="205">
        <f t="shared" si="56"/>
        <v>0.24856460532241675</v>
      </c>
      <c r="BT50" s="205">
        <f t="shared" si="58"/>
        <v>0.24856460532241675</v>
      </c>
      <c r="BU50" s="204">
        <f t="shared" si="57"/>
        <v>7.8088873802335096E-5</v>
      </c>
      <c r="BV50" s="204">
        <f t="shared" si="57"/>
        <v>7.8088873802335096E-5</v>
      </c>
    </row>
    <row r="51" spans="63:74">
      <c r="BK51" s="199">
        <v>70</v>
      </c>
      <c r="BL51" s="199"/>
      <c r="BM51" s="199"/>
      <c r="BN51" s="200">
        <f t="shared" si="54"/>
        <v>9.4406974388262963</v>
      </c>
      <c r="BO51" s="201">
        <v>1.4</v>
      </c>
      <c r="BP51" s="201">
        <v>1.4</v>
      </c>
      <c r="BQ51" s="200">
        <f t="shared" si="55"/>
        <v>12.240697438826295</v>
      </c>
      <c r="BR51" s="200">
        <f t="shared" si="59"/>
        <v>12.240697438826295</v>
      </c>
      <c r="BS51" s="205">
        <f t="shared" si="56"/>
        <v>0.24036275664945556</v>
      </c>
      <c r="BT51" s="205">
        <f t="shared" si="58"/>
        <v>0.24036275664945556</v>
      </c>
      <c r="BU51" s="204">
        <f t="shared" si="57"/>
        <v>7.5512187048652071E-5</v>
      </c>
      <c r="BV51" s="204">
        <f>2*PI()*50*BT51*10^-3/1000</f>
        <v>7.5512187048652071E-5</v>
      </c>
    </row>
    <row r="52" spans="63:74">
      <c r="BK52" s="199">
        <v>95</v>
      </c>
      <c r="BL52" s="199"/>
      <c r="BM52" s="199"/>
      <c r="BN52" s="200">
        <f t="shared" si="54"/>
        <v>10.998079684646791</v>
      </c>
      <c r="BO52" s="201">
        <v>1.6</v>
      </c>
      <c r="BP52" s="201">
        <v>1.4</v>
      </c>
      <c r="BQ52" s="200">
        <f t="shared" si="55"/>
        <v>14.198079684646792</v>
      </c>
      <c r="BR52" s="200">
        <f t="shared" si="59"/>
        <v>13.79807968464679</v>
      </c>
      <c r="BS52" s="205">
        <f t="shared" si="56"/>
        <v>0.23949366176248338</v>
      </c>
      <c r="BT52" s="205">
        <f t="shared" si="58"/>
        <v>0.23378461990136823</v>
      </c>
      <c r="BU52" s="204">
        <f t="shared" si="57"/>
        <v>7.5239152837433657E-5</v>
      </c>
      <c r="BV52" s="204">
        <f t="shared" si="57"/>
        <v>7.344560444044206E-5</v>
      </c>
    </row>
    <row r="53" spans="63:74">
      <c r="BK53" s="199">
        <v>120</v>
      </c>
      <c r="BL53" s="199"/>
      <c r="BM53" s="199"/>
      <c r="BN53" s="200">
        <f t="shared" si="54"/>
        <v>12.360774464742066</v>
      </c>
      <c r="BO53" s="201">
        <v>1.6</v>
      </c>
      <c r="BP53" s="201">
        <v>1.6</v>
      </c>
      <c r="BQ53" s="200">
        <f t="shared" si="55"/>
        <v>15.560774464742067</v>
      </c>
      <c r="BR53" s="200">
        <f t="shared" si="59"/>
        <v>15.560774464742067</v>
      </c>
      <c r="BS53" s="205">
        <f t="shared" si="56"/>
        <v>0.23446713988570445</v>
      </c>
      <c r="BT53" s="205">
        <f t="shared" si="58"/>
        <v>0.23446713988570445</v>
      </c>
      <c r="BU53" s="204">
        <f t="shared" si="57"/>
        <v>7.3660024417313951E-5</v>
      </c>
      <c r="BV53" s="204">
        <f>2*PI()*50*BT53*10^-3/1000</f>
        <v>7.3660024417313951E-5</v>
      </c>
    </row>
    <row r="54" spans="63:74">
      <c r="BK54" s="199">
        <v>150</v>
      </c>
      <c r="BL54" s="199"/>
      <c r="BM54" s="199"/>
      <c r="BN54" s="200">
        <f t="shared" si="54"/>
        <v>13.81976597885342</v>
      </c>
      <c r="BO54" s="201">
        <v>1.8</v>
      </c>
      <c r="BP54" s="201">
        <v>1.8</v>
      </c>
      <c r="BQ54" s="200">
        <f t="shared" si="55"/>
        <v>17.41976597885342</v>
      </c>
      <c r="BR54" s="200">
        <f t="shared" si="59"/>
        <v>17.41976597885342</v>
      </c>
      <c r="BS54" s="205">
        <f t="shared" si="56"/>
        <v>0.234722946634283</v>
      </c>
      <c r="BT54" s="205">
        <f t="shared" si="58"/>
        <v>0.234722946634283</v>
      </c>
      <c r="BU54" s="204">
        <f t="shared" si="57"/>
        <v>7.3740388477521251E-5</v>
      </c>
      <c r="BV54" s="204">
        <f t="shared" si="57"/>
        <v>7.3740388477521251E-5</v>
      </c>
    </row>
    <row r="55" spans="63:74">
      <c r="BK55" s="199">
        <v>185</v>
      </c>
      <c r="BL55" s="199"/>
      <c r="BM55" s="199"/>
      <c r="BN55" s="200">
        <f t="shared" si="54"/>
        <v>15.347615963921077</v>
      </c>
      <c r="BO55" s="201">
        <v>2</v>
      </c>
      <c r="BP55" s="201">
        <v>2</v>
      </c>
      <c r="BQ55" s="200">
        <f t="shared" si="55"/>
        <v>19.347615963921079</v>
      </c>
      <c r="BR55" s="200">
        <f t="shared" si="59"/>
        <v>19.347615963921079</v>
      </c>
      <c r="BS55" s="205">
        <f t="shared" si="56"/>
        <v>0.23474360403851979</v>
      </c>
      <c r="BT55" s="205">
        <f t="shared" si="58"/>
        <v>0.23474360403851979</v>
      </c>
      <c r="BU55" s="204">
        <f t="shared" si="57"/>
        <v>7.3746878192460519E-5</v>
      </c>
      <c r="BV55" s="204">
        <f t="shared" si="57"/>
        <v>7.3746878192460519E-5</v>
      </c>
    </row>
    <row r="56" spans="63:74">
      <c r="BK56" s="199">
        <v>240</v>
      </c>
      <c r="BL56" s="199"/>
      <c r="BM56" s="199"/>
      <c r="BN56" s="200">
        <f t="shared" si="54"/>
        <v>17.480774889473267</v>
      </c>
      <c r="BO56" s="201">
        <v>2.2000000000000002</v>
      </c>
      <c r="BP56" s="201">
        <v>2.2000000000000002</v>
      </c>
      <c r="BQ56" s="200">
        <f t="shared" si="55"/>
        <v>21.880774889473265</v>
      </c>
      <c r="BR56" s="200">
        <f t="shared" si="59"/>
        <v>21.880774889473265</v>
      </c>
      <c r="BS56" s="205">
        <f t="shared" si="56"/>
        <v>0.2333247262575856</v>
      </c>
      <c r="BT56" s="205">
        <f t="shared" si="58"/>
        <v>0.2333247262575856</v>
      </c>
      <c r="BU56" s="204">
        <f t="shared" si="57"/>
        <v>7.3301124591168052E-5</v>
      </c>
      <c r="BV56" s="204">
        <f t="shared" si="57"/>
        <v>7.3301124591168052E-5</v>
      </c>
    </row>
    <row r="57" spans="63:74">
      <c r="BK57" s="199">
        <v>300</v>
      </c>
      <c r="BL57" s="199"/>
      <c r="BM57" s="199"/>
      <c r="BN57" s="200">
        <f t="shared" si="54"/>
        <v>19.544100476116796</v>
      </c>
      <c r="BO57" s="201">
        <v>2.4</v>
      </c>
      <c r="BP57" s="201">
        <v>2.4</v>
      </c>
      <c r="BQ57" s="200">
        <f t="shared" si="55"/>
        <v>24.344100476116797</v>
      </c>
      <c r="BR57" s="200">
        <f t="shared" si="59"/>
        <v>24.344100476116797</v>
      </c>
      <c r="BS57" s="205">
        <f t="shared" si="56"/>
        <v>0.23234769877597783</v>
      </c>
      <c r="BT57" s="205">
        <f t="shared" si="58"/>
        <v>0.23234769877597783</v>
      </c>
      <c r="BU57" s="204">
        <f t="shared" si="57"/>
        <v>7.299418235531062E-5</v>
      </c>
      <c r="BV57" s="204">
        <f t="shared" si="57"/>
        <v>7.299418235531062E-5</v>
      </c>
    </row>
    <row r="58" spans="63:74">
      <c r="BK58" s="199">
        <v>400</v>
      </c>
      <c r="BL58" s="199"/>
      <c r="BM58" s="199"/>
      <c r="BN58" s="200">
        <f t="shared" si="54"/>
        <v>22.56758334191025</v>
      </c>
      <c r="BO58" s="201">
        <v>2.6</v>
      </c>
      <c r="BP58" s="201">
        <v>2.6</v>
      </c>
      <c r="BQ58" s="200">
        <f t="shared" si="55"/>
        <v>27.76758334191025</v>
      </c>
      <c r="BR58" s="200">
        <f t="shared" si="59"/>
        <v>27.76758334191025</v>
      </c>
      <c r="BS58" s="205">
        <f t="shared" si="56"/>
        <v>0.22989819137146839</v>
      </c>
      <c r="BT58" s="205">
        <f t="shared" si="58"/>
        <v>0.22989819137146839</v>
      </c>
      <c r="BU58" s="204">
        <f t="shared" si="57"/>
        <v>7.2224646908618557E-5</v>
      </c>
      <c r="BV58" s="204">
        <f t="shared" si="57"/>
        <v>7.2224646908618557E-5</v>
      </c>
    </row>
    <row r="59" spans="63:74">
      <c r="BK59" s="199">
        <v>500</v>
      </c>
      <c r="BL59" s="199"/>
      <c r="BM59" s="199"/>
      <c r="BN59" s="200">
        <f t="shared" si="54"/>
        <v>25.231325220201601</v>
      </c>
      <c r="BO59" s="201" t="s">
        <v>190</v>
      </c>
      <c r="BP59" s="201">
        <v>2.8</v>
      </c>
      <c r="BQ59" s="200" t="s">
        <v>190</v>
      </c>
      <c r="BR59" s="200">
        <f t="shared" si="59"/>
        <v>30.831325220201599</v>
      </c>
      <c r="BS59" s="203" t="s">
        <v>190</v>
      </c>
      <c r="BT59" s="203">
        <f t="shared" si="58"/>
        <v>0.22851777821260716</v>
      </c>
      <c r="BU59" s="204" t="s">
        <v>190</v>
      </c>
      <c r="BV59" s="204">
        <f t="shared" ref="BV59:BV60" si="60">2*PI()*50*BT59*10^-3/1000</f>
        <v>7.179097732473884E-5</v>
      </c>
    </row>
    <row r="60" spans="63:74" ht="15" thickBot="1">
      <c r="BK60" s="206">
        <v>630</v>
      </c>
      <c r="BL60" s="206"/>
      <c r="BM60" s="206"/>
      <c r="BN60" s="207">
        <f t="shared" si="54"/>
        <v>28.322092316478891</v>
      </c>
      <c r="BO60" s="208" t="s">
        <v>190</v>
      </c>
      <c r="BP60" s="208">
        <v>2.8</v>
      </c>
      <c r="BQ60" s="207" t="s">
        <v>190</v>
      </c>
      <c r="BR60" s="207">
        <f t="shared" si="59"/>
        <v>33.922092316478889</v>
      </c>
      <c r="BS60" s="209" t="s">
        <v>190</v>
      </c>
      <c r="BT60" s="209">
        <f t="shared" si="58"/>
        <v>0.22451815493553234</v>
      </c>
      <c r="BU60" s="210" t="s">
        <v>190</v>
      </c>
      <c r="BV60" s="210">
        <f t="shared" si="60"/>
        <v>7.0534458614300344E-5</v>
      </c>
    </row>
  </sheetData>
  <mergeCells count="49">
    <mergeCell ref="BO11:BP11"/>
    <mergeCell ref="BK40:BK41"/>
    <mergeCell ref="A5:B5"/>
    <mergeCell ref="BN8:BN9"/>
    <mergeCell ref="Z8:AA8"/>
    <mergeCell ref="AB8:AC8"/>
    <mergeCell ref="AD8:AE8"/>
    <mergeCell ref="AN8:AN9"/>
    <mergeCell ref="AP8:AP9"/>
    <mergeCell ref="AR8:AR9"/>
    <mergeCell ref="BG7:BG9"/>
    <mergeCell ref="BI7:BI8"/>
    <mergeCell ref="BJ7:BJ8"/>
    <mergeCell ref="BF7:BF9"/>
    <mergeCell ref="AZ8:AZ9"/>
    <mergeCell ref="I7:I9"/>
    <mergeCell ref="AF7:AH7"/>
    <mergeCell ref="AI7:AL7"/>
    <mergeCell ref="AM7:BB7"/>
    <mergeCell ref="N8:U8"/>
    <mergeCell ref="V8:V9"/>
    <mergeCell ref="X8:Y8"/>
    <mergeCell ref="BR7:BR9"/>
    <mergeCell ref="BS7:BS9"/>
    <mergeCell ref="BO8:BP8"/>
    <mergeCell ref="BO9:BP9"/>
    <mergeCell ref="BO10:BP10"/>
    <mergeCell ref="BZ15:BZ16"/>
    <mergeCell ref="BV7:BV9"/>
    <mergeCell ref="BW7:BW9"/>
    <mergeCell ref="BX7:BX9"/>
    <mergeCell ref="BZ7:BZ9"/>
    <mergeCell ref="BY7:BY9"/>
    <mergeCell ref="BO13:BP13"/>
    <mergeCell ref="BO15:BP15"/>
    <mergeCell ref="BO12:BP12"/>
    <mergeCell ref="A16:D16"/>
    <mergeCell ref="BQ7:BQ8"/>
    <mergeCell ref="BO14:BP14"/>
    <mergeCell ref="BB8:BB9"/>
    <mergeCell ref="AT8:AT9"/>
    <mergeCell ref="AV8:AV9"/>
    <mergeCell ref="AX8:AX9"/>
    <mergeCell ref="A7:A9"/>
    <mergeCell ref="B7:B9"/>
    <mergeCell ref="C7:C9"/>
    <mergeCell ref="D7:D9"/>
    <mergeCell ref="E7:E9"/>
    <mergeCell ref="L7:L9"/>
  </mergeCells>
  <phoneticPr fontId="5" type="noConversion"/>
  <conditionalFormatting sqref="BI10:BJ15 BU10:BU15">
    <cfRule type="cellIs" dxfId="1" priority="23" stopIfTrue="1" operator="notEqual">
      <formula>"OK"</formula>
    </cfRule>
    <cfRule type="cellIs" dxfId="0" priority="24" stopIfTrue="1" operator="equal">
      <formula>"OK"</formula>
    </cfRule>
  </conditionalFormatting>
  <dataValidations disablePrompts="1" count="3">
    <dataValidation allowBlank="1" showDropDown="1" showInputMessage="1" showErrorMessage="1" sqref="BG7 BG10:BG15" xr:uid="{664D4632-9FB3-4A30-B09B-E196CED31573}"/>
    <dataValidation type="list" allowBlank="1" showInputMessage="1" showErrorMessage="1" sqref="AY10:AY15 AQ10:AQ15 AO10:AO15 AM10:AM15 AS10:AS15 AW10:AW15 AU10:AU15 BA10:BA15" xr:uid="{4B9FDF40-43EE-4D64-8689-F966656E501E}">
      <formula1>"52-D1,52-D2,52-E1,52-E2,52-E3,52-E4,52-E5,52-E6"</formula1>
    </dataValidation>
    <dataValidation type="list" allowBlank="1" showInputMessage="1" showErrorMessage="1" sqref="BD10:BD15" xr:uid="{55DBC5F9-2934-4679-A7F2-DBA14BD913FA}">
      <formula1>"Disjuntor"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8">
        <x14:dataValidation type="list" allowBlank="1" showInputMessage="1" showErrorMessage="1" xr:uid="{CDCBC252-6D2A-4D1C-8783-5016B3AF75E0}">
          <x14:formula1>
            <xm:f>'Tabelas de apoio'!$H$20:$H$24</xm:f>
          </x14:formula1>
          <xm:sqref>D10:D15</xm:sqref>
        </x14:dataValidation>
        <x14:dataValidation type="list" allowBlank="1" showInputMessage="1" showErrorMessage="1" xr:uid="{D8DF7A26-CF1D-46F6-A213-E23B2908F89B}">
          <x14:formula1>
            <xm:f>'Tabelas de apoio'!$M$19:$M$20</xm:f>
          </x14:formula1>
          <xm:sqref>N10:N15</xm:sqref>
        </x14:dataValidation>
        <x14:dataValidation type="list" allowBlank="1" showInputMessage="1" showErrorMessage="1" xr:uid="{EA332B21-F5B1-4889-B5F4-383600358B1C}">
          <x14:formula1>
            <xm:f>'Tabelas de apoio'!$H$27:$H$42</xm:f>
          </x14:formula1>
          <xm:sqref>O10:O15</xm:sqref>
        </x14:dataValidation>
        <x14:dataValidation type="list" allowBlank="1" showInputMessage="1" showErrorMessage="1" xr:uid="{3F2F7602-F237-45A8-96DB-6EF3F93C770F}">
          <x14:formula1>
            <xm:f>'Tabelas de apoio'!$H$9:$H$15</xm:f>
          </x14:formula1>
          <xm:sqref>P10:P15</xm:sqref>
        </x14:dataValidation>
        <x14:dataValidation type="list" allowBlank="1" showInputMessage="1" showErrorMessage="1" xr:uid="{68C13B4D-0E09-40C3-A1CD-82510C62639A}">
          <x14:formula1>
            <xm:f>'Tabelas de apoio'!$I$8:$P$8</xm:f>
          </x14:formula1>
          <xm:sqref>Q10:Q15</xm:sqref>
        </x14:dataValidation>
        <x14:dataValidation type="list" allowBlank="1" showInputMessage="1" showErrorMessage="1" xr:uid="{AE1924E4-5764-49F6-88A9-DF239DBAAE81}">
          <x14:formula1>
            <xm:f>'Tabelas de apoio'!$C$6:$C$50</xm:f>
          </x14:formula1>
          <xm:sqref>S10:S15</xm:sqref>
        </x14:dataValidation>
        <x14:dataValidation type="list" allowBlank="1" showInputMessage="1" showErrorMessage="1" xr:uid="{D0479408-31A7-4578-86A2-05D24866FC76}">
          <x14:formula1>
            <xm:f>CABOS!$S$2:$S$5</xm:f>
          </x14:formula1>
          <xm:sqref>BV10:BV15</xm:sqref>
        </x14:dataValidation>
        <x14:dataValidation type="list" allowBlank="1" showInputMessage="1" showErrorMessage="1" xr:uid="{CF1C49E5-83CC-497E-BDCA-82EB387EE74A}">
          <x14:formula1>
            <xm:f>'Tabelas de apoio'!$T$9:$T$42</xm:f>
          </x14:formula1>
          <xm:sqref>BF10:BF15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770B-E181-4C19-BB6F-E16D5B16D7A0}">
  <dimension ref="B24:L82"/>
  <sheetViews>
    <sheetView showGridLines="0" topLeftCell="A62" zoomScale="115" zoomScaleNormal="115" workbookViewId="0">
      <selection activeCell="M82" sqref="M82"/>
    </sheetView>
  </sheetViews>
  <sheetFormatPr defaultColWidth="9.1796875" defaultRowHeight="13"/>
  <cols>
    <col min="1" max="15" width="9.1796875" style="239"/>
    <col min="16" max="16" width="27.54296875" style="239" customWidth="1"/>
    <col min="17" max="17" width="15.1796875" style="239" customWidth="1"/>
    <col min="18" max="16384" width="9.1796875" style="239"/>
  </cols>
  <sheetData>
    <row r="24" spans="12:12">
      <c r="L24" s="238"/>
    </row>
    <row r="66" spans="2:2">
      <c r="B66" s="240" t="s">
        <v>142</v>
      </c>
    </row>
    <row r="69" spans="2:2">
      <c r="B69" s="239">
        <v>1</v>
      </c>
    </row>
    <row r="72" spans="2:2">
      <c r="B72" s="239">
        <v>2</v>
      </c>
    </row>
    <row r="74" spans="2:2">
      <c r="B74" s="239">
        <v>3</v>
      </c>
    </row>
    <row r="76" spans="2:2">
      <c r="B76" s="239">
        <v>4</v>
      </c>
    </row>
    <row r="78" spans="2:2">
      <c r="B78" s="239">
        <v>5</v>
      </c>
    </row>
    <row r="82" spans="12:12">
      <c r="L82" s="239" t="s">
        <v>191</v>
      </c>
    </row>
  </sheetData>
  <pageMargins left="0.75" right="0.75" top="1" bottom="1" header="0" footer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C9C7-E11B-4C74-940F-F3920EC866A5}">
  <dimension ref="A1:V55"/>
  <sheetViews>
    <sheetView showGridLines="0" topLeftCell="E35" zoomScale="85" zoomScaleNormal="85" workbookViewId="0">
      <selection activeCell="P38" sqref="P38"/>
    </sheetView>
  </sheetViews>
  <sheetFormatPr defaultRowHeight="14.5"/>
  <cols>
    <col min="1" max="1" width="26.453125" customWidth="1"/>
    <col min="2" max="2" width="34.453125" customWidth="1"/>
    <col min="3" max="3" width="6.54296875" customWidth="1"/>
    <col min="4" max="4" width="18.1796875" customWidth="1"/>
    <col min="5" max="5" width="6.453125" customWidth="1"/>
    <col min="8" max="8" width="18" bestFit="1" customWidth="1"/>
    <col min="9" max="9" width="19.453125" customWidth="1"/>
    <col min="10" max="10" width="17" customWidth="1"/>
    <col min="11" max="11" width="15.81640625" customWidth="1"/>
    <col min="12" max="12" width="13.81640625" customWidth="1"/>
    <col min="13" max="13" width="17.54296875" bestFit="1" customWidth="1"/>
    <col min="14" max="14" width="19.81640625" customWidth="1"/>
    <col min="15" max="15" width="11.81640625" customWidth="1"/>
    <col min="16" max="16" width="24.54296875" customWidth="1"/>
    <col min="20" max="20" width="14.453125" bestFit="1" customWidth="1"/>
    <col min="21" max="22" width="6.453125" bestFit="1" customWidth="1"/>
    <col min="23" max="23" width="11.453125" bestFit="1" customWidth="1"/>
  </cols>
  <sheetData>
    <row r="1" spans="1:22" ht="24.75" customHeight="1">
      <c r="A1" s="368" t="s">
        <v>192</v>
      </c>
      <c r="B1" s="368"/>
      <c r="C1" s="368"/>
      <c r="D1" s="368"/>
      <c r="E1" s="368"/>
    </row>
    <row r="2" spans="1:22">
      <c r="A2" s="369" t="s">
        <v>193</v>
      </c>
      <c r="B2" s="369"/>
      <c r="C2" s="369"/>
      <c r="D2" s="369"/>
      <c r="E2" s="369"/>
    </row>
    <row r="3" spans="1:22">
      <c r="A3" s="369" t="s">
        <v>194</v>
      </c>
      <c r="B3" s="369"/>
      <c r="C3" s="369"/>
      <c r="D3" s="369"/>
      <c r="E3" s="369"/>
    </row>
    <row r="4" spans="1:22">
      <c r="A4" s="373" t="s">
        <v>195</v>
      </c>
      <c r="B4" s="373" t="s">
        <v>196</v>
      </c>
      <c r="C4" s="373" t="s">
        <v>197</v>
      </c>
      <c r="D4" s="375" t="s">
        <v>198</v>
      </c>
      <c r="E4" s="69"/>
    </row>
    <row r="5" spans="1:22" ht="15" thickBot="1">
      <c r="A5" s="374"/>
      <c r="B5" s="374"/>
      <c r="C5" s="374"/>
      <c r="D5" s="376"/>
      <c r="E5" s="69"/>
    </row>
    <row r="6" spans="1:22" ht="73.5" customHeight="1" thickBot="1">
      <c r="A6" s="70"/>
      <c r="B6" s="73" t="s">
        <v>199</v>
      </c>
      <c r="C6" s="72">
        <v>1</v>
      </c>
      <c r="D6" s="73" t="s">
        <v>200</v>
      </c>
      <c r="E6" s="69"/>
      <c r="H6" s="370" t="s">
        <v>201</v>
      </c>
      <c r="I6" s="371"/>
      <c r="J6" s="371"/>
      <c r="K6" s="371"/>
      <c r="L6" s="371"/>
      <c r="M6" s="371"/>
      <c r="N6" s="371"/>
      <c r="O6" s="371"/>
      <c r="P6" s="372"/>
      <c r="T6" s="381" t="s">
        <v>202</v>
      </c>
      <c r="U6" s="381"/>
      <c r="V6" s="381"/>
    </row>
    <row r="7" spans="1:22" ht="69" customHeight="1" thickBot="1">
      <c r="A7" s="70"/>
      <c r="B7" s="73" t="s">
        <v>203</v>
      </c>
      <c r="C7" s="72">
        <v>2</v>
      </c>
      <c r="D7" s="73" t="s">
        <v>204</v>
      </c>
      <c r="E7" s="69"/>
      <c r="H7" s="93" t="s">
        <v>139</v>
      </c>
      <c r="I7" s="386" t="s">
        <v>140</v>
      </c>
      <c r="J7" s="386"/>
      <c r="K7" s="386"/>
      <c r="L7" s="386"/>
      <c r="M7" s="386"/>
      <c r="N7" s="386"/>
      <c r="O7" s="386"/>
      <c r="P7" s="387"/>
      <c r="T7" s="187" t="s">
        <v>205</v>
      </c>
      <c r="U7" s="187" t="s">
        <v>206</v>
      </c>
      <c r="V7" s="187" t="s">
        <v>207</v>
      </c>
    </row>
    <row r="8" spans="1:22" ht="76.5" customHeight="1" thickBot="1">
      <c r="A8" s="70"/>
      <c r="B8" s="73" t="s">
        <v>208</v>
      </c>
      <c r="C8" s="72">
        <v>3</v>
      </c>
      <c r="D8" s="73" t="s">
        <v>209</v>
      </c>
      <c r="E8" s="69"/>
      <c r="H8" s="94"/>
      <c r="I8" s="80" t="s">
        <v>210</v>
      </c>
      <c r="J8" s="81" t="s">
        <v>211</v>
      </c>
      <c r="K8" s="80" t="s">
        <v>165</v>
      </c>
      <c r="L8" s="81" t="s">
        <v>212</v>
      </c>
      <c r="M8" s="80" t="s">
        <v>213</v>
      </c>
      <c r="N8" s="81" t="s">
        <v>214</v>
      </c>
      <c r="O8" s="80" t="s">
        <v>215</v>
      </c>
      <c r="P8" s="82" t="s">
        <v>216</v>
      </c>
      <c r="T8" s="188" t="s">
        <v>136</v>
      </c>
      <c r="U8" s="188" t="s">
        <v>136</v>
      </c>
      <c r="V8" s="188" t="s">
        <v>136</v>
      </c>
    </row>
    <row r="9" spans="1:22" ht="68.25" customHeight="1">
      <c r="A9" s="70"/>
      <c r="B9" s="100" t="s">
        <v>217</v>
      </c>
      <c r="C9" s="100" t="s">
        <v>218</v>
      </c>
      <c r="D9" s="100" t="s">
        <v>219</v>
      </c>
      <c r="E9" s="69"/>
      <c r="H9" s="95" t="s">
        <v>220</v>
      </c>
      <c r="I9" s="83" t="s">
        <v>221</v>
      </c>
      <c r="J9" s="44">
        <v>0</v>
      </c>
      <c r="K9" s="83" t="s">
        <v>222</v>
      </c>
      <c r="L9" s="84" t="s">
        <v>190</v>
      </c>
      <c r="M9" s="85">
        <v>23</v>
      </c>
      <c r="N9" s="84" t="s">
        <v>223</v>
      </c>
      <c r="O9" s="83" t="s">
        <v>190</v>
      </c>
      <c r="P9" s="86" t="s">
        <v>190</v>
      </c>
      <c r="T9" s="24">
        <v>2</v>
      </c>
      <c r="U9" s="24"/>
      <c r="V9" s="24"/>
    </row>
    <row r="10" spans="1:22" ht="51" customHeight="1">
      <c r="A10" s="379"/>
      <c r="B10" s="101" t="s">
        <v>224</v>
      </c>
      <c r="C10" s="102">
        <v>4</v>
      </c>
      <c r="D10" s="105" t="s">
        <v>225</v>
      </c>
      <c r="E10" s="106"/>
      <c r="H10" s="96" t="s">
        <v>226</v>
      </c>
      <c r="I10" s="85">
        <v>43</v>
      </c>
      <c r="J10" s="44">
        <v>43</v>
      </c>
      <c r="K10" s="85">
        <v>41.42</v>
      </c>
      <c r="L10" s="44">
        <v>31.32</v>
      </c>
      <c r="M10" s="85">
        <v>4.24</v>
      </c>
      <c r="N10" s="84" t="s">
        <v>223</v>
      </c>
      <c r="O10" s="83" t="s">
        <v>190</v>
      </c>
      <c r="P10" s="86" t="s">
        <v>190</v>
      </c>
      <c r="T10" s="24">
        <v>4</v>
      </c>
      <c r="U10" s="24"/>
      <c r="V10" s="24"/>
    </row>
    <row r="11" spans="1:22" ht="121.5" customHeight="1">
      <c r="A11" s="380"/>
      <c r="B11" s="101" t="s">
        <v>227</v>
      </c>
      <c r="C11" s="103" t="s">
        <v>228</v>
      </c>
      <c r="D11" s="105" t="s">
        <v>219</v>
      </c>
      <c r="E11" s="106"/>
      <c r="H11" s="96" t="s">
        <v>164</v>
      </c>
      <c r="I11" s="85">
        <v>62.63</v>
      </c>
      <c r="J11" s="44">
        <v>0</v>
      </c>
      <c r="K11" s="85">
        <v>61</v>
      </c>
      <c r="L11" s="84" t="s">
        <v>190</v>
      </c>
      <c r="M11" s="85">
        <v>61</v>
      </c>
      <c r="N11" s="44">
        <v>0</v>
      </c>
      <c r="O11" s="83" t="s">
        <v>190</v>
      </c>
      <c r="P11" s="86" t="s">
        <v>190</v>
      </c>
      <c r="T11" s="24">
        <v>6</v>
      </c>
      <c r="U11" s="24">
        <v>6.3</v>
      </c>
      <c r="V11" s="24">
        <v>8.1</v>
      </c>
    </row>
    <row r="12" spans="1:22" ht="71.25" customHeight="1">
      <c r="A12" s="70"/>
      <c r="B12" s="79" t="s">
        <v>229</v>
      </c>
      <c r="C12" s="99">
        <v>5</v>
      </c>
      <c r="D12" s="104" t="s">
        <v>209</v>
      </c>
      <c r="E12" s="69"/>
      <c r="H12" s="96" t="s">
        <v>230</v>
      </c>
      <c r="I12" s="85">
        <v>52.53</v>
      </c>
      <c r="J12" s="44">
        <v>51</v>
      </c>
      <c r="K12" s="83" t="s">
        <v>231</v>
      </c>
      <c r="L12" s="44">
        <v>33</v>
      </c>
      <c r="M12" s="85">
        <v>24</v>
      </c>
      <c r="N12" s="44">
        <v>0</v>
      </c>
      <c r="O12" s="83" t="s">
        <v>190</v>
      </c>
      <c r="P12" s="86" t="s">
        <v>190</v>
      </c>
      <c r="T12" s="24">
        <v>8</v>
      </c>
      <c r="U12" s="24">
        <v>8.4</v>
      </c>
      <c r="V12" s="24">
        <v>10.8</v>
      </c>
    </row>
    <row r="13" spans="1:22" ht="76.5" customHeight="1">
      <c r="A13" s="70"/>
      <c r="B13" s="73" t="s">
        <v>232</v>
      </c>
      <c r="C13" s="73" t="s">
        <v>233</v>
      </c>
      <c r="D13" s="73" t="s">
        <v>219</v>
      </c>
      <c r="E13" s="69"/>
      <c r="H13" s="96" t="s">
        <v>234</v>
      </c>
      <c r="I13" s="83" t="s">
        <v>190</v>
      </c>
      <c r="J13" s="44">
        <v>11</v>
      </c>
      <c r="K13" s="85">
        <v>3</v>
      </c>
      <c r="L13" s="84" t="s">
        <v>235</v>
      </c>
      <c r="M13" s="85">
        <v>4</v>
      </c>
      <c r="N13" s="84" t="s">
        <v>223</v>
      </c>
      <c r="O13" s="85">
        <v>18</v>
      </c>
      <c r="P13" s="86" t="s">
        <v>190</v>
      </c>
      <c r="T13" s="24">
        <v>10</v>
      </c>
      <c r="U13" s="24">
        <v>10.5</v>
      </c>
      <c r="V13" s="24">
        <v>13.5</v>
      </c>
    </row>
    <row r="14" spans="1:22" ht="72.75" customHeight="1">
      <c r="A14" s="70"/>
      <c r="B14" s="73" t="s">
        <v>236</v>
      </c>
      <c r="C14" s="72">
        <v>11</v>
      </c>
      <c r="D14" s="73" t="s">
        <v>237</v>
      </c>
      <c r="E14" s="69"/>
      <c r="H14" s="96" t="s">
        <v>238</v>
      </c>
      <c r="I14" s="83" t="s">
        <v>190</v>
      </c>
      <c r="J14" s="84" t="s">
        <v>190</v>
      </c>
      <c r="K14" s="85">
        <v>0</v>
      </c>
      <c r="L14" s="44">
        <v>34</v>
      </c>
      <c r="M14" s="83" t="s">
        <v>190</v>
      </c>
      <c r="N14" s="84" t="s">
        <v>223</v>
      </c>
      <c r="O14" s="85">
        <v>18</v>
      </c>
      <c r="P14" s="87">
        <v>17</v>
      </c>
      <c r="T14" s="24">
        <v>12</v>
      </c>
      <c r="U14" s="24">
        <v>12.6</v>
      </c>
      <c r="V14" s="24">
        <v>16.2</v>
      </c>
    </row>
    <row r="15" spans="1:22" ht="84" customHeight="1" thickBot="1">
      <c r="A15" s="70"/>
      <c r="B15" s="73" t="s">
        <v>239</v>
      </c>
      <c r="C15" s="73" t="s">
        <v>240</v>
      </c>
      <c r="D15" s="73" t="s">
        <v>241</v>
      </c>
      <c r="E15" s="69"/>
      <c r="H15" s="97" t="s">
        <v>242</v>
      </c>
      <c r="I15" s="88">
        <v>81</v>
      </c>
      <c r="J15" s="89">
        <v>81</v>
      </c>
      <c r="K15" s="88">
        <v>0</v>
      </c>
      <c r="L15" s="90" t="s">
        <v>190</v>
      </c>
      <c r="M15" s="88">
        <v>0</v>
      </c>
      <c r="N15" s="89">
        <v>0</v>
      </c>
      <c r="O15" s="91" t="s">
        <v>190</v>
      </c>
      <c r="P15" s="92" t="s">
        <v>190</v>
      </c>
      <c r="T15" s="24">
        <v>16</v>
      </c>
      <c r="U15" s="24">
        <v>16.8</v>
      </c>
      <c r="V15" s="24">
        <v>21.6</v>
      </c>
    </row>
    <row r="16" spans="1:22" ht="75" customHeight="1">
      <c r="A16" s="70"/>
      <c r="B16" s="73" t="s">
        <v>243</v>
      </c>
      <c r="C16" s="72">
        <v>12</v>
      </c>
      <c r="D16" s="76" t="s">
        <v>244</v>
      </c>
      <c r="E16" s="69"/>
      <c r="T16" s="24">
        <v>20</v>
      </c>
      <c r="U16" s="24">
        <v>21</v>
      </c>
      <c r="V16" s="24">
        <v>27</v>
      </c>
    </row>
    <row r="17" spans="1:22" ht="65.25" customHeight="1" thickBot="1">
      <c r="A17" s="70"/>
      <c r="B17" s="73" t="s">
        <v>245</v>
      </c>
      <c r="C17" s="72">
        <v>13</v>
      </c>
      <c r="D17" s="76" t="s">
        <v>246</v>
      </c>
      <c r="E17" s="75"/>
      <c r="T17" s="24">
        <v>25</v>
      </c>
      <c r="U17" s="24">
        <v>26.3</v>
      </c>
      <c r="V17" s="24">
        <v>33.799999999999997</v>
      </c>
    </row>
    <row r="18" spans="1:22" ht="72.75" customHeight="1" thickBot="1">
      <c r="A18" s="70"/>
      <c r="B18" s="73" t="s">
        <v>247</v>
      </c>
      <c r="C18" s="72">
        <v>14</v>
      </c>
      <c r="D18" s="78" t="s">
        <v>248</v>
      </c>
      <c r="H18" s="370" t="s">
        <v>249</v>
      </c>
      <c r="I18" s="371"/>
      <c r="J18" s="371"/>
      <c r="K18" s="372"/>
      <c r="M18" s="212" t="s">
        <v>250</v>
      </c>
      <c r="T18" s="24">
        <v>32</v>
      </c>
      <c r="U18" s="24">
        <v>33.6</v>
      </c>
      <c r="V18" s="24">
        <v>43.2</v>
      </c>
    </row>
    <row r="19" spans="1:22" ht="70.5" customHeight="1">
      <c r="A19" s="70"/>
      <c r="B19" s="73" t="s">
        <v>251</v>
      </c>
      <c r="C19" s="72">
        <v>15</v>
      </c>
      <c r="D19" s="78" t="s">
        <v>248</v>
      </c>
      <c r="H19" s="183" t="s">
        <v>252</v>
      </c>
      <c r="I19" s="24" t="s">
        <v>253</v>
      </c>
      <c r="J19" s="183" t="s">
        <v>105</v>
      </c>
      <c r="K19" s="24" t="s">
        <v>96</v>
      </c>
      <c r="M19" s="24" t="s">
        <v>162</v>
      </c>
      <c r="T19" s="24">
        <v>40</v>
      </c>
      <c r="U19" s="24">
        <v>42</v>
      </c>
      <c r="V19" s="24">
        <v>54</v>
      </c>
    </row>
    <row r="20" spans="1:22" ht="66.75" customHeight="1">
      <c r="A20" s="70"/>
      <c r="B20" s="73" t="s">
        <v>254</v>
      </c>
      <c r="C20" s="72">
        <v>16</v>
      </c>
      <c r="D20" s="78" t="s">
        <v>248</v>
      </c>
      <c r="H20" s="184" t="s">
        <v>255</v>
      </c>
      <c r="I20" s="24">
        <v>230</v>
      </c>
      <c r="J20" s="183"/>
      <c r="K20" s="24">
        <v>2</v>
      </c>
      <c r="M20" s="24" t="s">
        <v>256</v>
      </c>
      <c r="T20" s="24">
        <v>50</v>
      </c>
      <c r="U20" s="24">
        <v>53</v>
      </c>
      <c r="V20" s="24">
        <v>68</v>
      </c>
    </row>
    <row r="21" spans="1:22" ht="69.75" customHeight="1">
      <c r="A21" s="70"/>
      <c r="B21" s="73" t="s">
        <v>257</v>
      </c>
      <c r="C21" s="72">
        <v>17</v>
      </c>
      <c r="D21" s="73" t="s">
        <v>258</v>
      </c>
      <c r="H21" s="184" t="s">
        <v>259</v>
      </c>
      <c r="I21" s="24">
        <v>400</v>
      </c>
      <c r="J21" s="183">
        <v>400</v>
      </c>
      <c r="K21" s="24">
        <v>2</v>
      </c>
      <c r="T21" s="24">
        <v>63</v>
      </c>
      <c r="U21" s="24">
        <v>66</v>
      </c>
      <c r="V21" s="24">
        <v>85</v>
      </c>
    </row>
    <row r="22" spans="1:22" ht="66" customHeight="1">
      <c r="A22" s="70"/>
      <c r="B22" s="73" t="s">
        <v>260</v>
      </c>
      <c r="C22" s="72">
        <v>18</v>
      </c>
      <c r="D22" s="73" t="s">
        <v>261</v>
      </c>
      <c r="H22" s="184" t="s">
        <v>262</v>
      </c>
      <c r="I22" s="24">
        <v>230</v>
      </c>
      <c r="J22" s="183">
        <v>400</v>
      </c>
      <c r="K22" s="24">
        <v>2</v>
      </c>
      <c r="T22" s="24">
        <v>80</v>
      </c>
      <c r="U22" s="24">
        <v>84</v>
      </c>
      <c r="V22" s="24">
        <v>108</v>
      </c>
    </row>
    <row r="23" spans="1:22" ht="87" customHeight="1">
      <c r="A23" s="70"/>
      <c r="B23" s="73" t="s">
        <v>263</v>
      </c>
      <c r="C23" s="72">
        <v>21</v>
      </c>
      <c r="D23" s="76" t="s">
        <v>264</v>
      </c>
      <c r="H23" s="184" t="s">
        <v>161</v>
      </c>
      <c r="I23" s="24">
        <v>400</v>
      </c>
      <c r="J23" s="183">
        <v>400</v>
      </c>
      <c r="K23" s="24">
        <v>1</v>
      </c>
      <c r="T23" s="245">
        <v>85</v>
      </c>
      <c r="U23" s="245">
        <v>84</v>
      </c>
      <c r="V23" s="245">
        <v>108</v>
      </c>
    </row>
    <row r="24" spans="1:22" ht="78" customHeight="1">
      <c r="A24" s="70"/>
      <c r="B24" s="73" t="s">
        <v>265</v>
      </c>
      <c r="C24" s="72">
        <v>22</v>
      </c>
      <c r="D24" s="76" t="s">
        <v>266</v>
      </c>
      <c r="H24" s="184" t="s">
        <v>267</v>
      </c>
      <c r="I24" s="185"/>
      <c r="J24" s="186"/>
      <c r="K24" s="185"/>
      <c r="T24" s="24">
        <v>100</v>
      </c>
      <c r="U24" s="24">
        <v>105</v>
      </c>
      <c r="V24" s="24">
        <v>135</v>
      </c>
    </row>
    <row r="25" spans="1:22" ht="80.25" customHeight="1">
      <c r="A25" s="70"/>
      <c r="B25" s="73" t="s">
        <v>268</v>
      </c>
      <c r="C25" s="73" t="s">
        <v>269</v>
      </c>
      <c r="D25" s="73" t="s">
        <v>219</v>
      </c>
      <c r="T25" s="24">
        <v>112</v>
      </c>
      <c r="U25" s="24">
        <v>105</v>
      </c>
      <c r="V25" s="24">
        <v>135</v>
      </c>
    </row>
    <row r="26" spans="1:22" ht="72.75" customHeight="1">
      <c r="A26" s="70"/>
      <c r="B26" s="73" t="s">
        <v>270</v>
      </c>
      <c r="C26" s="72">
        <v>23</v>
      </c>
      <c r="D26" s="76" t="s">
        <v>266</v>
      </c>
      <c r="H26" s="187" t="s">
        <v>271</v>
      </c>
      <c r="I26" s="187" t="s">
        <v>145</v>
      </c>
      <c r="J26" s="187" t="s">
        <v>100</v>
      </c>
      <c r="T26" s="24">
        <v>125</v>
      </c>
      <c r="U26" s="24">
        <v>131</v>
      </c>
      <c r="V26" s="24">
        <v>169</v>
      </c>
    </row>
    <row r="27" spans="1:22" ht="68.25" customHeight="1">
      <c r="A27" s="70"/>
      <c r="B27" s="73" t="s">
        <v>272</v>
      </c>
      <c r="C27" s="73" t="s">
        <v>273</v>
      </c>
      <c r="D27" s="73" t="s">
        <v>219</v>
      </c>
      <c r="H27" s="24" t="s">
        <v>274</v>
      </c>
      <c r="I27" s="24" t="s">
        <v>71</v>
      </c>
      <c r="J27" s="24" t="s">
        <v>275</v>
      </c>
      <c r="T27" s="24">
        <v>128</v>
      </c>
      <c r="U27" s="24"/>
      <c r="V27" s="24"/>
    </row>
    <row r="28" spans="1:22" ht="67.5" customHeight="1">
      <c r="A28" s="70"/>
      <c r="B28" s="73" t="s">
        <v>276</v>
      </c>
      <c r="C28" s="72">
        <v>24</v>
      </c>
      <c r="D28" s="76" t="s">
        <v>264</v>
      </c>
      <c r="H28" s="24" t="s">
        <v>277</v>
      </c>
      <c r="I28" s="24" t="s">
        <v>71</v>
      </c>
      <c r="J28" s="24" t="s">
        <v>275</v>
      </c>
      <c r="T28" s="24">
        <v>160</v>
      </c>
      <c r="U28" s="24">
        <v>168</v>
      </c>
      <c r="V28" s="24">
        <v>216</v>
      </c>
    </row>
    <row r="29" spans="1:22" ht="63" customHeight="1">
      <c r="A29" s="70"/>
      <c r="B29" s="73" t="s">
        <v>278</v>
      </c>
      <c r="C29" s="73" t="s">
        <v>279</v>
      </c>
      <c r="D29" s="73" t="s">
        <v>219</v>
      </c>
      <c r="H29" s="24" t="s">
        <v>280</v>
      </c>
      <c r="I29" s="24" t="s">
        <v>71</v>
      </c>
      <c r="J29" s="24" t="s">
        <v>275</v>
      </c>
      <c r="T29" s="24">
        <v>200</v>
      </c>
      <c r="U29" s="24">
        <v>210</v>
      </c>
      <c r="V29" s="24">
        <v>270</v>
      </c>
    </row>
    <row r="30" spans="1:22" ht="70.5" customHeight="1">
      <c r="A30" s="70"/>
      <c r="B30" s="73" t="s">
        <v>281</v>
      </c>
      <c r="C30" s="72">
        <v>25</v>
      </c>
      <c r="D30" s="76" t="s">
        <v>264</v>
      </c>
      <c r="H30" s="24" t="s">
        <v>282</v>
      </c>
      <c r="I30" s="24" t="s">
        <v>71</v>
      </c>
      <c r="J30" s="24" t="s">
        <v>275</v>
      </c>
      <c r="T30" s="24">
        <v>250</v>
      </c>
      <c r="U30" s="24">
        <v>263</v>
      </c>
      <c r="V30" s="24">
        <v>338</v>
      </c>
    </row>
    <row r="31" spans="1:22" ht="99" customHeight="1">
      <c r="A31" s="70"/>
      <c r="B31" s="73" t="s">
        <v>283</v>
      </c>
      <c r="C31" s="72">
        <v>31</v>
      </c>
      <c r="D31" s="98" t="s">
        <v>284</v>
      </c>
      <c r="H31" s="24" t="s">
        <v>285</v>
      </c>
      <c r="I31" s="24" t="s">
        <v>71</v>
      </c>
      <c r="J31" s="24" t="s">
        <v>275</v>
      </c>
      <c r="T31" s="24">
        <v>315</v>
      </c>
      <c r="U31" s="24">
        <v>331</v>
      </c>
      <c r="V31" s="24">
        <v>425</v>
      </c>
    </row>
    <row r="32" spans="1:22" ht="63.75" customHeight="1">
      <c r="A32" s="70"/>
      <c r="B32" s="73" t="s">
        <v>286</v>
      </c>
      <c r="C32" s="72">
        <v>32</v>
      </c>
      <c r="D32" s="98" t="s">
        <v>284</v>
      </c>
      <c r="H32" s="24" t="s">
        <v>287</v>
      </c>
      <c r="I32" s="24" t="s">
        <v>71</v>
      </c>
      <c r="J32" s="24" t="s">
        <v>288</v>
      </c>
      <c r="T32" s="24">
        <v>400</v>
      </c>
      <c r="U32" s="188">
        <v>420</v>
      </c>
      <c r="V32" s="188">
        <v>540</v>
      </c>
    </row>
    <row r="33" spans="1:22" ht="76.5" customHeight="1">
      <c r="A33" s="70"/>
      <c r="B33" s="73" t="s">
        <v>289</v>
      </c>
      <c r="C33" s="72">
        <v>33</v>
      </c>
      <c r="D33" s="98" t="s">
        <v>290</v>
      </c>
      <c r="H33" s="24" t="s">
        <v>291</v>
      </c>
      <c r="I33" s="24" t="s">
        <v>71</v>
      </c>
      <c r="J33" s="24" t="s">
        <v>288</v>
      </c>
      <c r="T33" s="24">
        <v>500</v>
      </c>
      <c r="U33" s="188">
        <v>525</v>
      </c>
      <c r="V33" s="188">
        <v>675</v>
      </c>
    </row>
    <row r="34" spans="1:22" ht="82.5" customHeight="1">
      <c r="A34" s="70"/>
      <c r="B34" s="73" t="s">
        <v>292</v>
      </c>
      <c r="C34" s="73" t="s">
        <v>293</v>
      </c>
      <c r="D34" s="73" t="s">
        <v>225</v>
      </c>
      <c r="H34" s="188" t="s">
        <v>294</v>
      </c>
      <c r="I34" s="24" t="s">
        <v>71</v>
      </c>
      <c r="J34" s="24" t="s">
        <v>288</v>
      </c>
      <c r="T34" s="24">
        <v>630</v>
      </c>
      <c r="U34" s="188">
        <v>662</v>
      </c>
      <c r="V34" s="188">
        <v>851</v>
      </c>
    </row>
    <row r="35" spans="1:22" ht="69" customHeight="1">
      <c r="A35" s="382"/>
      <c r="B35" s="73" t="s">
        <v>295</v>
      </c>
      <c r="C35" s="73">
        <v>34</v>
      </c>
      <c r="D35" s="384" t="s">
        <v>296</v>
      </c>
      <c r="H35" s="24" t="s">
        <v>297</v>
      </c>
      <c r="I35" s="24" t="s">
        <v>71</v>
      </c>
      <c r="J35" s="24" t="s">
        <v>288</v>
      </c>
      <c r="T35" s="24">
        <v>652</v>
      </c>
      <c r="U35" s="188">
        <v>662</v>
      </c>
      <c r="V35" s="188">
        <v>851</v>
      </c>
    </row>
    <row r="36" spans="1:22" ht="64.5" customHeight="1">
      <c r="A36" s="383"/>
      <c r="B36" s="77" t="s">
        <v>298</v>
      </c>
      <c r="C36" s="77" t="s">
        <v>299</v>
      </c>
      <c r="D36" s="385"/>
      <c r="H36" s="24" t="s">
        <v>300</v>
      </c>
      <c r="I36" s="24" t="s">
        <v>71</v>
      </c>
      <c r="J36" s="24" t="s">
        <v>288</v>
      </c>
      <c r="T36" s="24">
        <v>760</v>
      </c>
      <c r="U36" s="188">
        <v>662</v>
      </c>
      <c r="V36" s="188">
        <v>851</v>
      </c>
    </row>
    <row r="37" spans="1:22" ht="64.5" customHeight="1">
      <c r="A37" s="294"/>
      <c r="B37" s="77"/>
      <c r="C37" s="77"/>
      <c r="D37" s="295"/>
      <c r="H37" s="24"/>
      <c r="I37" s="24"/>
      <c r="J37" s="24"/>
      <c r="T37" s="24">
        <v>800</v>
      </c>
      <c r="U37" s="188">
        <v>840</v>
      </c>
      <c r="V37" s="188">
        <v>1080</v>
      </c>
    </row>
    <row r="38" spans="1:22" ht="75.75" customHeight="1">
      <c r="A38" s="70"/>
      <c r="B38" s="73" t="s">
        <v>301</v>
      </c>
      <c r="C38" s="72">
        <v>41</v>
      </c>
      <c r="D38" s="76" t="s">
        <v>266</v>
      </c>
      <c r="H38" s="188" t="s">
        <v>302</v>
      </c>
      <c r="I38" s="24" t="s">
        <v>71</v>
      </c>
      <c r="J38" s="24" t="s">
        <v>288</v>
      </c>
      <c r="T38" s="24">
        <v>850</v>
      </c>
      <c r="U38" s="188">
        <v>840</v>
      </c>
      <c r="V38" s="188">
        <v>1080</v>
      </c>
    </row>
    <row r="39" spans="1:22" ht="75.75" customHeight="1">
      <c r="A39" s="70"/>
      <c r="B39" s="73" t="s">
        <v>303</v>
      </c>
      <c r="C39" s="72">
        <v>42</v>
      </c>
      <c r="D39" s="98" t="s">
        <v>304</v>
      </c>
      <c r="H39" s="188" t="s">
        <v>163</v>
      </c>
      <c r="I39" s="24" t="s">
        <v>305</v>
      </c>
      <c r="J39" s="188" t="s">
        <v>288</v>
      </c>
      <c r="T39" s="24">
        <v>1000</v>
      </c>
      <c r="U39" s="188">
        <v>1050</v>
      </c>
      <c r="V39" s="188">
        <v>1350</v>
      </c>
    </row>
    <row r="40" spans="1:22" ht="66.75" customHeight="1">
      <c r="A40" s="70"/>
      <c r="B40" s="73" t="s">
        <v>306</v>
      </c>
      <c r="C40" s="72">
        <v>43</v>
      </c>
      <c r="D40" s="98" t="s">
        <v>307</v>
      </c>
      <c r="H40" s="24" t="s">
        <v>308</v>
      </c>
      <c r="I40" s="24" t="s">
        <v>305</v>
      </c>
      <c r="J40" s="24" t="s">
        <v>288</v>
      </c>
      <c r="T40" s="24">
        <v>1250</v>
      </c>
      <c r="U40" s="188">
        <v>1313</v>
      </c>
      <c r="V40" s="188">
        <v>1688</v>
      </c>
    </row>
    <row r="41" spans="1:22" ht="79.5" customHeight="1">
      <c r="A41" s="70"/>
      <c r="B41" s="73" t="s">
        <v>309</v>
      </c>
      <c r="C41" s="72">
        <v>51</v>
      </c>
      <c r="D41" s="73" t="s">
        <v>200</v>
      </c>
      <c r="H41" s="27" t="s">
        <v>310</v>
      </c>
      <c r="I41" s="24" t="s">
        <v>305</v>
      </c>
      <c r="J41" s="24" t="s">
        <v>288</v>
      </c>
      <c r="T41" s="24">
        <v>2000</v>
      </c>
      <c r="U41" s="188">
        <v>2100</v>
      </c>
      <c r="V41" s="188">
        <v>2700</v>
      </c>
    </row>
    <row r="42" spans="1:22" ht="71.25" customHeight="1">
      <c r="A42" s="70"/>
      <c r="B42" s="73" t="s">
        <v>311</v>
      </c>
      <c r="C42" s="72">
        <v>52</v>
      </c>
      <c r="D42" s="73" t="s">
        <v>237</v>
      </c>
      <c r="H42" s="27" t="s">
        <v>312</v>
      </c>
      <c r="I42" s="24" t="s">
        <v>305</v>
      </c>
      <c r="J42" s="24" t="s">
        <v>288</v>
      </c>
      <c r="T42" s="24">
        <v>2500</v>
      </c>
      <c r="U42" s="188">
        <v>2625</v>
      </c>
      <c r="V42" s="188">
        <v>3375</v>
      </c>
    </row>
    <row r="43" spans="1:22" ht="64.5" customHeight="1">
      <c r="A43" s="70"/>
      <c r="B43" s="73" t="s">
        <v>313</v>
      </c>
      <c r="C43" s="72">
        <v>53</v>
      </c>
      <c r="D43" s="73" t="s">
        <v>237</v>
      </c>
    </row>
    <row r="44" spans="1:22" ht="141.75" customHeight="1">
      <c r="A44" s="70"/>
      <c r="B44" s="73" t="s">
        <v>314</v>
      </c>
      <c r="C44" s="72">
        <v>61</v>
      </c>
      <c r="D44" s="98" t="s">
        <v>315</v>
      </c>
    </row>
    <row r="45" spans="1:22" ht="87.75" customHeight="1">
      <c r="A45" s="70"/>
      <c r="B45" s="73" t="s">
        <v>316</v>
      </c>
      <c r="C45" s="72">
        <v>62</v>
      </c>
      <c r="D45" s="98" t="s">
        <v>315</v>
      </c>
    </row>
    <row r="46" spans="1:22" ht="75.75" customHeight="1">
      <c r="A46" s="70"/>
      <c r="B46" s="73" t="s">
        <v>317</v>
      </c>
      <c r="C46" s="72">
        <v>63</v>
      </c>
      <c r="D46" s="98" t="s">
        <v>315</v>
      </c>
    </row>
    <row r="47" spans="1:22" ht="82.5" customHeight="1">
      <c r="A47" s="70"/>
      <c r="B47" s="74" t="s">
        <v>318</v>
      </c>
      <c r="C47" s="72">
        <v>71</v>
      </c>
      <c r="D47" s="98" t="s">
        <v>319</v>
      </c>
    </row>
    <row r="48" spans="1:22" ht="83.25" customHeight="1">
      <c r="A48" s="70"/>
      <c r="B48" s="70" t="s">
        <v>320</v>
      </c>
      <c r="C48" s="72">
        <v>72</v>
      </c>
      <c r="D48" s="98" t="s">
        <v>321</v>
      </c>
    </row>
    <row r="49" spans="1:4" ht="78.75" customHeight="1">
      <c r="A49" s="70"/>
      <c r="B49" s="71" t="s">
        <v>322</v>
      </c>
      <c r="C49" s="72">
        <v>73</v>
      </c>
      <c r="D49" s="98" t="s">
        <v>319</v>
      </c>
    </row>
    <row r="50" spans="1:4" ht="69.75" customHeight="1" thickBot="1">
      <c r="A50" s="214"/>
      <c r="B50" s="215" t="s">
        <v>323</v>
      </c>
      <c r="C50" s="216">
        <v>74</v>
      </c>
      <c r="D50" s="217" t="s">
        <v>319</v>
      </c>
    </row>
    <row r="51" spans="1:4" ht="83.25" customHeight="1" thickBot="1">
      <c r="A51" s="377" t="s">
        <v>324</v>
      </c>
      <c r="B51" s="378"/>
      <c r="C51" s="378"/>
      <c r="D51" s="378"/>
    </row>
    <row r="52" spans="1:4" ht="384" customHeight="1" thickBot="1">
      <c r="A52" s="378"/>
      <c r="B52" s="378"/>
      <c r="C52" s="378"/>
      <c r="D52" s="378"/>
    </row>
    <row r="53" spans="1:4" ht="22.5" customHeight="1"/>
    <row r="54" spans="1:4" ht="30" customHeight="1"/>
    <row r="55" spans="1:4" ht="30.75" customHeight="1"/>
  </sheetData>
  <mergeCells count="15">
    <mergeCell ref="A51:D52"/>
    <mergeCell ref="A10:A11"/>
    <mergeCell ref="T6:V6"/>
    <mergeCell ref="A35:A36"/>
    <mergeCell ref="D35:D36"/>
    <mergeCell ref="I7:P7"/>
    <mergeCell ref="A1:E1"/>
    <mergeCell ref="A2:E2"/>
    <mergeCell ref="A3:E3"/>
    <mergeCell ref="H18:K18"/>
    <mergeCell ref="A4:A5"/>
    <mergeCell ref="B4:B5"/>
    <mergeCell ref="C4:C5"/>
    <mergeCell ref="D4:D5"/>
    <mergeCell ref="H6:P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51035-7B3B-4987-905B-7E1B0D025C00}">
  <dimension ref="E1:U613"/>
  <sheetViews>
    <sheetView showGridLines="0" topLeftCell="A444" zoomScale="120" zoomScaleNormal="120" workbookViewId="0">
      <selection activeCell="M459" sqref="M459"/>
    </sheetView>
  </sheetViews>
  <sheetFormatPr defaultColWidth="9.1796875" defaultRowHeight="10"/>
  <cols>
    <col min="1" max="11" width="9.1796875" style="218"/>
    <col min="12" max="12" width="6.453125" style="218" bestFit="1" customWidth="1"/>
    <col min="13" max="13" width="10.453125" style="218" bestFit="1" customWidth="1"/>
    <col min="14" max="14" width="9.1796875" style="218"/>
    <col min="15" max="15" width="30.54296875" style="218" bestFit="1" customWidth="1"/>
    <col min="16" max="16" width="33.1796875" style="218" bestFit="1" customWidth="1"/>
    <col min="17" max="17" width="13.1796875" style="218" bestFit="1" customWidth="1"/>
    <col min="18" max="18" width="9.1796875" style="218"/>
    <col min="19" max="19" width="30.54296875" style="218" bestFit="1" customWidth="1"/>
    <col min="20" max="20" width="10.81640625" style="218" bestFit="1" customWidth="1"/>
    <col min="21" max="21" width="10.1796875" style="218" bestFit="1" customWidth="1"/>
    <col min="22" max="16384" width="9.1796875" style="218"/>
  </cols>
  <sheetData>
    <row r="1" spans="5:21">
      <c r="H1" s="246"/>
      <c r="N1" s="218" t="s">
        <v>271</v>
      </c>
      <c r="O1" s="218" t="s">
        <v>325</v>
      </c>
      <c r="P1" s="218" t="s">
        <v>100</v>
      </c>
      <c r="Q1" s="218" t="s">
        <v>137</v>
      </c>
      <c r="R1" s="218" t="s">
        <v>326</v>
      </c>
      <c r="S1" s="218" t="s">
        <v>100</v>
      </c>
      <c r="T1" s="218" t="s">
        <v>162</v>
      </c>
      <c r="U1" s="218" t="s">
        <v>256</v>
      </c>
    </row>
    <row r="2" spans="5:21">
      <c r="E2" s="237" t="s">
        <v>327</v>
      </c>
      <c r="N2" s="218">
        <v>16</v>
      </c>
      <c r="O2" s="218" t="s">
        <v>305</v>
      </c>
      <c r="P2" s="218" t="s">
        <v>163</v>
      </c>
      <c r="Q2" s="247" t="s">
        <v>162</v>
      </c>
      <c r="R2" s="284">
        <v>0.78800000000000003</v>
      </c>
      <c r="S2" s="248" t="s">
        <v>163</v>
      </c>
      <c r="T2" s="251">
        <v>120</v>
      </c>
      <c r="U2" s="251">
        <v>10</v>
      </c>
    </row>
    <row r="3" spans="5:21">
      <c r="E3" s="237" t="s">
        <v>328</v>
      </c>
      <c r="N3" s="218">
        <v>25</v>
      </c>
      <c r="O3" s="218" t="s">
        <v>305</v>
      </c>
      <c r="P3" s="218" t="s">
        <v>163</v>
      </c>
      <c r="Q3" s="247" t="s">
        <v>162</v>
      </c>
      <c r="R3" s="284">
        <v>1.105</v>
      </c>
      <c r="S3" s="249" t="s">
        <v>180</v>
      </c>
      <c r="T3" s="252">
        <v>150</v>
      </c>
      <c r="U3" s="252">
        <v>16</v>
      </c>
    </row>
    <row r="4" spans="5:21">
      <c r="E4" s="236"/>
      <c r="N4" s="218">
        <v>35</v>
      </c>
      <c r="O4" s="218" t="s">
        <v>305</v>
      </c>
      <c r="P4" s="218" t="s">
        <v>163</v>
      </c>
      <c r="Q4" s="247" t="s">
        <v>162</v>
      </c>
      <c r="R4" s="284">
        <v>1.4350000000000001</v>
      </c>
      <c r="S4" s="250" t="s">
        <v>177</v>
      </c>
      <c r="T4" s="251">
        <v>16</v>
      </c>
      <c r="U4" s="251">
        <v>25</v>
      </c>
    </row>
    <row r="5" spans="5:21">
      <c r="E5" s="236" t="s">
        <v>329</v>
      </c>
      <c r="N5" s="218">
        <v>50</v>
      </c>
      <c r="O5" s="218" t="s">
        <v>305</v>
      </c>
      <c r="P5" s="218" t="s">
        <v>163</v>
      </c>
      <c r="Q5" s="247" t="s">
        <v>162</v>
      </c>
      <c r="R5" s="284">
        <v>1.8009999999999999</v>
      </c>
      <c r="S5" s="248" t="s">
        <v>330</v>
      </c>
      <c r="T5" s="252">
        <v>185</v>
      </c>
      <c r="U5" s="252">
        <v>35</v>
      </c>
    </row>
    <row r="6" spans="5:21">
      <c r="E6" s="236" t="s">
        <v>331</v>
      </c>
      <c r="N6" s="218">
        <v>70</v>
      </c>
      <c r="O6" s="218" t="s">
        <v>305</v>
      </c>
      <c r="P6" s="218" t="s">
        <v>163</v>
      </c>
      <c r="Q6" s="247" t="s">
        <v>162</v>
      </c>
      <c r="R6" s="284">
        <v>2.4910000000000001</v>
      </c>
      <c r="T6" s="251">
        <v>240</v>
      </c>
    </row>
    <row r="7" spans="5:21">
      <c r="E7" s="236" t="s">
        <v>332</v>
      </c>
      <c r="N7" s="218">
        <v>95</v>
      </c>
      <c r="O7" s="218" t="s">
        <v>305</v>
      </c>
      <c r="P7" s="218" t="s">
        <v>163</v>
      </c>
      <c r="Q7" s="247" t="s">
        <v>162</v>
      </c>
      <c r="R7" s="284">
        <v>3.3380000000000001</v>
      </c>
      <c r="T7" s="252">
        <v>25</v>
      </c>
    </row>
    <row r="8" spans="5:21">
      <c r="E8" s="236" t="s">
        <v>333</v>
      </c>
      <c r="N8" s="218">
        <v>120</v>
      </c>
      <c r="O8" s="218" t="s">
        <v>305</v>
      </c>
      <c r="P8" s="218" t="s">
        <v>163</v>
      </c>
      <c r="Q8" s="247" t="s">
        <v>162</v>
      </c>
      <c r="R8" s="284">
        <v>3.9940000000000002</v>
      </c>
      <c r="T8" s="251">
        <v>300</v>
      </c>
    </row>
    <row r="9" spans="5:21">
      <c r="E9" s="236" t="s">
        <v>334</v>
      </c>
      <c r="N9" s="218">
        <v>150</v>
      </c>
      <c r="O9" s="218" t="s">
        <v>305</v>
      </c>
      <c r="P9" s="218" t="s">
        <v>163</v>
      </c>
      <c r="Q9" s="247" t="s">
        <v>162</v>
      </c>
      <c r="R9" s="284">
        <v>4.968</v>
      </c>
      <c r="T9" s="252">
        <v>35</v>
      </c>
    </row>
    <row r="10" spans="5:21">
      <c r="E10" s="236"/>
      <c r="N10" s="218">
        <v>185</v>
      </c>
      <c r="O10" s="218" t="s">
        <v>305</v>
      </c>
      <c r="P10" s="218" t="s">
        <v>163</v>
      </c>
      <c r="Q10" s="247" t="s">
        <v>162</v>
      </c>
      <c r="R10" s="284">
        <v>6.4089999999999998</v>
      </c>
      <c r="T10" s="252"/>
    </row>
    <row r="11" spans="5:21">
      <c r="E11" s="235"/>
      <c r="N11" s="218">
        <v>240</v>
      </c>
      <c r="O11" s="218" t="s">
        <v>305</v>
      </c>
      <c r="P11" s="218" t="s">
        <v>163</v>
      </c>
      <c r="Q11" s="247" t="s">
        <v>162</v>
      </c>
      <c r="R11" s="284">
        <v>7.7830000000000004</v>
      </c>
      <c r="T11" s="251">
        <v>50</v>
      </c>
    </row>
    <row r="12" spans="5:21" ht="10.5" thickBot="1">
      <c r="E12" s="235"/>
      <c r="N12" s="218">
        <v>300</v>
      </c>
      <c r="O12" s="218" t="s">
        <v>305</v>
      </c>
      <c r="P12" s="218" t="s">
        <v>163</v>
      </c>
      <c r="Q12" s="247" t="s">
        <v>162</v>
      </c>
      <c r="R12" s="284">
        <v>9.8140000000000001</v>
      </c>
      <c r="T12" s="251"/>
    </row>
    <row r="13" spans="5:21" ht="20">
      <c r="E13" s="226" t="s">
        <v>335</v>
      </c>
      <c r="F13" s="389" t="s">
        <v>336</v>
      </c>
      <c r="G13" s="390"/>
      <c r="H13" s="391"/>
      <c r="N13" s="218">
        <v>10</v>
      </c>
      <c r="O13" s="218" t="s">
        <v>71</v>
      </c>
      <c r="P13" s="246" t="s">
        <v>180</v>
      </c>
      <c r="Q13" s="247" t="s">
        <v>256</v>
      </c>
      <c r="R13" s="284">
        <v>5.9</v>
      </c>
      <c r="T13" s="251">
        <v>70</v>
      </c>
    </row>
    <row r="14" spans="5:21" ht="20.5" thickBot="1">
      <c r="E14" s="225" t="s">
        <v>337</v>
      </c>
      <c r="F14" s="401"/>
      <c r="G14" s="402"/>
      <c r="H14" s="403"/>
      <c r="N14" s="218">
        <v>16</v>
      </c>
      <c r="O14" s="218" t="s">
        <v>71</v>
      </c>
      <c r="P14" s="218" t="s">
        <v>177</v>
      </c>
      <c r="Q14" s="247" t="s">
        <v>256</v>
      </c>
      <c r="R14" s="284">
        <v>18.16</v>
      </c>
      <c r="T14" s="252">
        <v>95</v>
      </c>
    </row>
    <row r="15" spans="5:21" ht="10.5" thickBot="1">
      <c r="E15" s="220" t="s">
        <v>338</v>
      </c>
      <c r="F15" s="219" t="s">
        <v>339</v>
      </c>
      <c r="G15" s="223" t="s">
        <v>340</v>
      </c>
      <c r="H15" s="223" t="s">
        <v>341</v>
      </c>
      <c r="N15" s="218">
        <v>16</v>
      </c>
      <c r="O15" s="218" t="s">
        <v>71</v>
      </c>
      <c r="P15" s="246" t="s">
        <v>180</v>
      </c>
      <c r="Q15" s="247" t="s">
        <v>256</v>
      </c>
      <c r="R15" s="285">
        <v>10.67</v>
      </c>
    </row>
    <row r="16" spans="5:21" ht="10.5" thickBot="1">
      <c r="E16" s="409" t="s">
        <v>342</v>
      </c>
      <c r="F16" s="410"/>
      <c r="G16" s="410"/>
      <c r="H16" s="411"/>
      <c r="N16" s="218">
        <v>16</v>
      </c>
      <c r="O16" s="218" t="s">
        <v>71</v>
      </c>
      <c r="P16" s="218" t="s">
        <v>330</v>
      </c>
      <c r="Q16" s="247" t="s">
        <v>256</v>
      </c>
      <c r="R16" s="284">
        <v>20.163</v>
      </c>
    </row>
    <row r="17" spans="5:18" ht="10.5" thickBot="1">
      <c r="E17" s="220" t="s">
        <v>343</v>
      </c>
      <c r="F17" s="219" t="s">
        <v>344</v>
      </c>
      <c r="G17" s="219" t="s">
        <v>345</v>
      </c>
      <c r="H17" s="219" t="s">
        <v>346</v>
      </c>
      <c r="N17" s="218">
        <v>16</v>
      </c>
      <c r="O17" s="218" t="s">
        <v>71</v>
      </c>
      <c r="P17" s="218" t="s">
        <v>347</v>
      </c>
      <c r="Q17" s="247" t="s">
        <v>256</v>
      </c>
      <c r="R17" s="285">
        <v>10.35</v>
      </c>
    </row>
    <row r="18" spans="5:18" ht="10.5" thickBot="1">
      <c r="E18" s="220" t="s">
        <v>348</v>
      </c>
      <c r="F18" s="219" t="s">
        <v>346</v>
      </c>
      <c r="G18" s="219">
        <v>24</v>
      </c>
      <c r="H18" s="219">
        <v>27</v>
      </c>
      <c r="N18" s="218">
        <v>25</v>
      </c>
      <c r="O18" s="218" t="s">
        <v>71</v>
      </c>
      <c r="P18" s="218" t="s">
        <v>330</v>
      </c>
      <c r="Q18" s="247" t="s">
        <v>256</v>
      </c>
      <c r="R18" s="284">
        <v>31.413</v>
      </c>
    </row>
    <row r="19" spans="5:18" ht="10.5" thickBot="1">
      <c r="E19" s="220">
        <v>4</v>
      </c>
      <c r="F19" s="219">
        <v>26</v>
      </c>
      <c r="G19" s="219">
        <v>32</v>
      </c>
      <c r="H19" s="219">
        <v>36</v>
      </c>
      <c r="N19" s="218">
        <v>25</v>
      </c>
      <c r="O19" s="218" t="s">
        <v>71</v>
      </c>
      <c r="P19" s="246" t="s">
        <v>180</v>
      </c>
      <c r="Q19" s="247" t="s">
        <v>256</v>
      </c>
      <c r="R19" s="285">
        <v>14.3</v>
      </c>
    </row>
    <row r="20" spans="5:18" ht="10.5" thickBot="1">
      <c r="E20" s="220">
        <v>6</v>
      </c>
      <c r="F20" s="219">
        <v>34</v>
      </c>
      <c r="G20" s="219">
        <v>41</v>
      </c>
      <c r="H20" s="219">
        <v>46</v>
      </c>
      <c r="N20" s="218">
        <v>25</v>
      </c>
      <c r="O20" s="218" t="s">
        <v>71</v>
      </c>
      <c r="P20" s="218" t="s">
        <v>177</v>
      </c>
      <c r="Q20" s="247" t="s">
        <v>256</v>
      </c>
      <c r="R20" s="284">
        <v>16.95</v>
      </c>
    </row>
    <row r="21" spans="5:18" ht="10.5" thickBot="1">
      <c r="E21" s="220">
        <v>10</v>
      </c>
      <c r="F21" s="219">
        <v>46</v>
      </c>
      <c r="G21" s="219">
        <v>57</v>
      </c>
      <c r="H21" s="219">
        <v>63</v>
      </c>
      <c r="N21" s="218">
        <v>35</v>
      </c>
      <c r="O21" s="218" t="s">
        <v>71</v>
      </c>
      <c r="P21" s="246" t="s">
        <v>180</v>
      </c>
      <c r="Q21" s="247" t="s">
        <v>162</v>
      </c>
      <c r="R21" s="284">
        <f>8.414*0.55</f>
        <v>4.6276999999999999</v>
      </c>
    </row>
    <row r="22" spans="5:18" ht="10.5" thickBot="1">
      <c r="E22" s="220">
        <v>16</v>
      </c>
      <c r="F22" s="219">
        <v>61</v>
      </c>
      <c r="G22" s="219">
        <v>76</v>
      </c>
      <c r="H22" s="219">
        <v>85</v>
      </c>
      <c r="N22" s="218">
        <v>35</v>
      </c>
      <c r="O22" s="218" t="s">
        <v>71</v>
      </c>
      <c r="P22" s="218" t="s">
        <v>330</v>
      </c>
      <c r="Q22" s="247" t="s">
        <v>256</v>
      </c>
      <c r="R22" s="284">
        <v>43.634999999999998</v>
      </c>
    </row>
    <row r="23" spans="5:18" ht="10.5" thickBot="1">
      <c r="E23" s="220">
        <v>25</v>
      </c>
      <c r="F23" s="219">
        <v>80</v>
      </c>
      <c r="G23" s="219">
        <v>101</v>
      </c>
      <c r="H23" s="219">
        <v>112</v>
      </c>
      <c r="N23" s="218">
        <v>35</v>
      </c>
      <c r="O23" s="218" t="s">
        <v>71</v>
      </c>
      <c r="P23" s="218" t="s">
        <v>347</v>
      </c>
      <c r="Q23" s="247" t="s">
        <v>256</v>
      </c>
      <c r="R23" s="284">
        <v>21.06</v>
      </c>
    </row>
    <row r="24" spans="5:18" ht="10.5" thickBot="1">
      <c r="E24" s="220"/>
      <c r="F24" s="219"/>
      <c r="G24" s="219"/>
      <c r="H24" s="219"/>
      <c r="N24" s="218">
        <v>50</v>
      </c>
      <c r="O24" s="218" t="s">
        <v>71</v>
      </c>
      <c r="P24" s="246" t="s">
        <v>180</v>
      </c>
      <c r="Q24" s="247" t="s">
        <v>162</v>
      </c>
      <c r="R24" s="284">
        <v>5.6</v>
      </c>
    </row>
    <row r="25" spans="5:18" ht="10.5" thickBot="1">
      <c r="E25" s="220">
        <v>35</v>
      </c>
      <c r="F25" s="219">
        <v>99</v>
      </c>
      <c r="G25" s="219">
        <v>125</v>
      </c>
      <c r="H25" s="219">
        <v>138</v>
      </c>
      <c r="N25" s="218">
        <v>70</v>
      </c>
      <c r="O25" s="218" t="s">
        <v>71</v>
      </c>
      <c r="P25" s="246" t="s">
        <v>180</v>
      </c>
      <c r="Q25" s="247" t="s">
        <v>162</v>
      </c>
      <c r="R25" s="284">
        <f>15.986*0.55</f>
        <v>8.7923000000000009</v>
      </c>
    </row>
    <row r="26" spans="5:18" ht="10.5" thickBot="1">
      <c r="E26" s="220">
        <v>50</v>
      </c>
      <c r="F26" s="219">
        <v>119</v>
      </c>
      <c r="G26" s="219">
        <v>151</v>
      </c>
      <c r="H26" s="219">
        <v>168</v>
      </c>
      <c r="N26" s="218">
        <v>185</v>
      </c>
      <c r="O26" s="218" t="s">
        <v>71</v>
      </c>
      <c r="P26" s="218" t="s">
        <v>330</v>
      </c>
      <c r="Q26" s="247" t="s">
        <v>162</v>
      </c>
      <c r="R26" s="284">
        <v>41.679000000000002</v>
      </c>
    </row>
    <row r="27" spans="5:18" ht="10.5" thickBot="1">
      <c r="E27" s="220">
        <v>70</v>
      </c>
      <c r="F27" s="219">
        <v>151</v>
      </c>
      <c r="G27" s="219">
        <v>192</v>
      </c>
      <c r="H27" s="219">
        <v>213</v>
      </c>
      <c r="Q27" s="247"/>
    </row>
    <row r="28" spans="5:18" ht="10.5" thickBot="1">
      <c r="E28" s="220">
        <v>95</v>
      </c>
      <c r="F28" s="219">
        <v>182</v>
      </c>
      <c r="G28" s="219">
        <v>232</v>
      </c>
      <c r="H28" s="219">
        <v>258</v>
      </c>
      <c r="M28" s="388" t="s">
        <v>349</v>
      </c>
      <c r="N28" s="218">
        <v>10</v>
      </c>
      <c r="O28" s="218" t="s">
        <v>71</v>
      </c>
      <c r="P28" s="218" t="s">
        <v>350</v>
      </c>
      <c r="Q28" s="247" t="s">
        <v>256</v>
      </c>
      <c r="R28" s="284">
        <f>(8516.28/1000)*0.62</f>
        <v>5.2800935999999998</v>
      </c>
    </row>
    <row r="29" spans="5:18" ht="10.5" thickBot="1">
      <c r="E29" s="220">
        <v>120</v>
      </c>
      <c r="F29" s="219">
        <v>210</v>
      </c>
      <c r="G29" s="219">
        <v>269</v>
      </c>
      <c r="H29" s="219">
        <v>299</v>
      </c>
      <c r="M29" s="388"/>
      <c r="N29" s="218">
        <v>16</v>
      </c>
      <c r="O29" s="218" t="s">
        <v>71</v>
      </c>
      <c r="P29" s="218" t="s">
        <v>351</v>
      </c>
      <c r="Q29" s="247" t="s">
        <v>256</v>
      </c>
      <c r="R29" s="284">
        <f>(13195.74/1000)*0.62</f>
        <v>8.1813587999999999</v>
      </c>
    </row>
    <row r="30" spans="5:18" ht="10.5" thickBot="1">
      <c r="E30" s="220">
        <v>150</v>
      </c>
      <c r="F30" s="219">
        <v>240</v>
      </c>
      <c r="G30" s="219" t="s">
        <v>190</v>
      </c>
      <c r="H30" s="219">
        <v>344</v>
      </c>
      <c r="M30" s="388"/>
      <c r="N30" s="218">
        <v>25</v>
      </c>
      <c r="O30" s="218" t="s">
        <v>71</v>
      </c>
      <c r="P30" s="218" t="s">
        <v>352</v>
      </c>
      <c r="Q30" s="247" t="s">
        <v>256</v>
      </c>
      <c r="R30" s="284">
        <f>(21419.17/1000)*0.62</f>
        <v>13.279885399999998</v>
      </c>
    </row>
    <row r="31" spans="5:18" ht="10.5" thickBot="1">
      <c r="E31" s="220">
        <v>185</v>
      </c>
      <c r="F31" s="219">
        <v>273</v>
      </c>
      <c r="G31" s="219" t="s">
        <v>190</v>
      </c>
      <c r="H31" s="219">
        <v>392</v>
      </c>
      <c r="M31" s="388"/>
      <c r="N31" s="218">
        <v>35</v>
      </c>
      <c r="O31" s="218" t="s">
        <v>71</v>
      </c>
      <c r="P31" s="218" t="s">
        <v>353</v>
      </c>
      <c r="Q31" s="247" t="s">
        <v>256</v>
      </c>
      <c r="R31" s="284">
        <f>(29788.06/1000)*0.62</f>
        <v>18.468597200000001</v>
      </c>
    </row>
    <row r="32" spans="5:18" ht="10.5" thickBot="1">
      <c r="E32" s="220">
        <v>240</v>
      </c>
      <c r="F32" s="219">
        <v>320</v>
      </c>
      <c r="G32" s="219" t="s">
        <v>190</v>
      </c>
      <c r="H32" s="219">
        <v>461</v>
      </c>
      <c r="M32" s="388"/>
      <c r="N32" s="218">
        <v>35</v>
      </c>
      <c r="O32" s="218" t="s">
        <v>71</v>
      </c>
      <c r="P32" s="218" t="s">
        <v>354</v>
      </c>
      <c r="Q32" s="247" t="s">
        <v>162</v>
      </c>
      <c r="R32" s="284">
        <f>(5798.29/1000)*0.62</f>
        <v>3.5949397999999997</v>
      </c>
    </row>
    <row r="33" spans="5:18" ht="10.5" thickBot="1">
      <c r="E33" s="220">
        <v>300</v>
      </c>
      <c r="F33" s="219">
        <v>367</v>
      </c>
      <c r="G33" s="219" t="s">
        <v>190</v>
      </c>
      <c r="H33" s="219">
        <v>530</v>
      </c>
      <c r="M33" s="388"/>
      <c r="N33" s="218">
        <v>50</v>
      </c>
      <c r="O33" s="218" t="s">
        <v>71</v>
      </c>
      <c r="P33" s="218" t="s">
        <v>355</v>
      </c>
      <c r="Q33" s="247" t="s">
        <v>162</v>
      </c>
      <c r="R33" s="284">
        <f>(7828.67/1000)*0.62</f>
        <v>4.8537754</v>
      </c>
    </row>
    <row r="34" spans="5:18" ht="10.5" thickBot="1">
      <c r="E34" s="409" t="s">
        <v>356</v>
      </c>
      <c r="F34" s="410"/>
      <c r="G34" s="410"/>
      <c r="H34" s="411"/>
      <c r="M34" s="388"/>
      <c r="N34" s="218">
        <v>35</v>
      </c>
      <c r="O34" s="218" t="s">
        <v>189</v>
      </c>
      <c r="P34" s="218" t="s">
        <v>357</v>
      </c>
      <c r="Q34" s="247" t="s">
        <v>162</v>
      </c>
      <c r="R34" s="284">
        <f>(1050.15/1000)*0.62</f>
        <v>0.65109300000000003</v>
      </c>
    </row>
    <row r="35" spans="5:18" ht="10.5" thickBot="1">
      <c r="E35" s="220" t="s">
        <v>348</v>
      </c>
      <c r="F35" s="219">
        <v>15</v>
      </c>
      <c r="G35" s="219">
        <v>18.5</v>
      </c>
      <c r="H35" s="219">
        <v>21</v>
      </c>
      <c r="M35" s="388"/>
      <c r="N35" s="218">
        <v>50</v>
      </c>
      <c r="O35" s="218" t="s">
        <v>189</v>
      </c>
      <c r="P35" s="218" t="s">
        <v>358</v>
      </c>
      <c r="Q35" s="247" t="s">
        <v>162</v>
      </c>
      <c r="R35" s="284">
        <f>(1282.08/1000)*0.62</f>
        <v>0.79488959999999997</v>
      </c>
    </row>
    <row r="36" spans="5:18" ht="10.5" thickBot="1">
      <c r="E36" s="220">
        <v>4</v>
      </c>
      <c r="F36" s="219">
        <v>20</v>
      </c>
      <c r="G36" s="219">
        <v>25</v>
      </c>
      <c r="H36" s="219">
        <v>26</v>
      </c>
      <c r="M36" s="388"/>
      <c r="N36" s="218">
        <v>70</v>
      </c>
      <c r="O36" s="218" t="s">
        <v>189</v>
      </c>
      <c r="P36" s="218" t="s">
        <v>359</v>
      </c>
      <c r="Q36" s="247" t="s">
        <v>162</v>
      </c>
      <c r="R36" s="284">
        <f>(1777.08/1000)*0.62</f>
        <v>1.1017896</v>
      </c>
    </row>
    <row r="37" spans="5:18" ht="10.5" thickBot="1">
      <c r="E37" s="220">
        <v>6</v>
      </c>
      <c r="F37" s="219">
        <v>26</v>
      </c>
      <c r="G37" s="219">
        <v>32</v>
      </c>
      <c r="H37" s="219">
        <v>36</v>
      </c>
      <c r="M37" s="388"/>
      <c r="N37" s="218">
        <v>95</v>
      </c>
      <c r="O37" s="218" t="s">
        <v>189</v>
      </c>
      <c r="P37" s="218" t="s">
        <v>360</v>
      </c>
      <c r="Q37" s="247" t="s">
        <v>162</v>
      </c>
      <c r="R37" s="284">
        <f>(2348.83/1000)*0.62</f>
        <v>1.4562746</v>
      </c>
    </row>
    <row r="38" spans="5:18" ht="10.5" thickBot="1">
      <c r="E38" s="220">
        <v>10</v>
      </c>
      <c r="F38" s="219">
        <v>36</v>
      </c>
      <c r="G38" s="219">
        <v>44</v>
      </c>
      <c r="H38" s="219">
        <v>49</v>
      </c>
      <c r="N38" s="218">
        <v>120</v>
      </c>
      <c r="O38" s="218" t="s">
        <v>189</v>
      </c>
      <c r="P38" s="218" t="s">
        <v>361</v>
      </c>
      <c r="Q38" s="247" t="s">
        <v>162</v>
      </c>
      <c r="R38" s="284">
        <f>(2919.23/1000)*0.62</f>
        <v>1.8099226000000002</v>
      </c>
    </row>
    <row r="39" spans="5:18" ht="10.5" thickBot="1">
      <c r="E39" s="220">
        <v>16</v>
      </c>
      <c r="F39" s="219">
        <v>48</v>
      </c>
      <c r="G39" s="219">
        <v>60</v>
      </c>
      <c r="H39" s="219">
        <v>66</v>
      </c>
      <c r="N39" s="218">
        <v>150</v>
      </c>
      <c r="O39" s="218" t="s">
        <v>189</v>
      </c>
      <c r="P39" s="218" t="s">
        <v>362</v>
      </c>
      <c r="Q39" s="247" t="s">
        <v>162</v>
      </c>
      <c r="R39" s="284">
        <f>(3564.61/1000)*0.62</f>
        <v>2.2100582000000002</v>
      </c>
    </row>
    <row r="40" spans="5:18" ht="11.25" customHeight="1" thickBot="1">
      <c r="E40" s="220">
        <v>25</v>
      </c>
      <c r="F40" s="219">
        <v>63</v>
      </c>
      <c r="G40" s="219">
        <v>79</v>
      </c>
      <c r="H40" s="219">
        <v>83</v>
      </c>
      <c r="N40" s="218">
        <v>185</v>
      </c>
      <c r="O40" s="218" t="s">
        <v>189</v>
      </c>
      <c r="P40" s="218" t="s">
        <v>363</v>
      </c>
      <c r="Q40" s="247" t="s">
        <v>162</v>
      </c>
      <c r="R40" s="284">
        <f>(4468.25/1000)*0.62</f>
        <v>2.7703150000000001</v>
      </c>
    </row>
    <row r="41" spans="5:18" ht="10.5" thickBot="1">
      <c r="E41" s="220">
        <v>35</v>
      </c>
      <c r="F41" s="219">
        <v>77</v>
      </c>
      <c r="G41" s="219">
        <v>97</v>
      </c>
      <c r="H41" s="219">
        <v>103</v>
      </c>
      <c r="N41" s="218">
        <v>240</v>
      </c>
      <c r="O41" s="218" t="s">
        <v>189</v>
      </c>
      <c r="P41" s="218" t="s">
        <v>364</v>
      </c>
      <c r="Q41" s="247" t="s">
        <v>162</v>
      </c>
      <c r="R41" s="284">
        <f>(5701.83/1000)*0.62</f>
        <v>3.5351346000000001</v>
      </c>
    </row>
    <row r="42" spans="5:18" ht="10.5" thickBot="1">
      <c r="E42" s="220">
        <v>50</v>
      </c>
      <c r="F42" s="219">
        <v>93</v>
      </c>
      <c r="G42" s="219">
        <v>118</v>
      </c>
      <c r="H42" s="219">
        <v>125</v>
      </c>
      <c r="N42" s="218">
        <v>300</v>
      </c>
      <c r="O42" s="218" t="s">
        <v>189</v>
      </c>
      <c r="P42" s="218" t="s">
        <v>365</v>
      </c>
      <c r="Q42" s="247" t="s">
        <v>162</v>
      </c>
      <c r="R42" s="284">
        <f>(7002.58/1000)*0.62</f>
        <v>4.3415996000000003</v>
      </c>
    </row>
    <row r="43" spans="5:18" ht="10.5" thickBot="1">
      <c r="E43" s="220">
        <v>70</v>
      </c>
      <c r="F43" s="219">
        <v>118</v>
      </c>
      <c r="G43" s="219">
        <v>150</v>
      </c>
      <c r="H43" s="219">
        <v>160</v>
      </c>
      <c r="N43" s="218">
        <v>16</v>
      </c>
      <c r="O43" s="218" t="s">
        <v>189</v>
      </c>
      <c r="P43" s="218" t="s">
        <v>366</v>
      </c>
      <c r="Q43" s="247" t="s">
        <v>162</v>
      </c>
      <c r="R43" s="284">
        <f>(828.77/1000)*0.62</f>
        <v>0.5138374</v>
      </c>
    </row>
    <row r="44" spans="5:18" ht="10.5" thickBot="1">
      <c r="E44" s="220">
        <v>95</v>
      </c>
      <c r="F44" s="219">
        <v>142</v>
      </c>
      <c r="G44" s="219">
        <v>181</v>
      </c>
      <c r="H44" s="219">
        <v>195</v>
      </c>
      <c r="N44" s="218">
        <v>25</v>
      </c>
      <c r="O44" s="218" t="s">
        <v>189</v>
      </c>
      <c r="P44" s="218" t="s">
        <v>367</v>
      </c>
      <c r="Q44" s="247" t="s">
        <v>162</v>
      </c>
      <c r="R44" s="284">
        <f>(1141.81/1000)*0.62</f>
        <v>0.70792219999999995</v>
      </c>
    </row>
    <row r="45" spans="5:18" ht="10.5" thickBot="1">
      <c r="E45" s="220">
        <v>120</v>
      </c>
      <c r="F45" s="219">
        <v>164</v>
      </c>
      <c r="G45" s="219">
        <v>210</v>
      </c>
      <c r="H45" s="219">
        <v>226</v>
      </c>
      <c r="N45" s="218">
        <v>35</v>
      </c>
      <c r="O45" s="218" t="s">
        <v>189</v>
      </c>
      <c r="P45" s="218" t="s">
        <v>368</v>
      </c>
      <c r="Q45" s="247" t="s">
        <v>162</v>
      </c>
      <c r="R45" s="284">
        <f>(1390.52/1000)*0.62</f>
        <v>0.86212239999999996</v>
      </c>
    </row>
    <row r="46" spans="5:18" ht="10.5" thickBot="1">
      <c r="E46" s="220">
        <v>150</v>
      </c>
      <c r="F46" s="219">
        <v>189</v>
      </c>
      <c r="G46" s="219" t="s">
        <v>190</v>
      </c>
      <c r="H46" s="219">
        <v>261</v>
      </c>
      <c r="N46" s="218">
        <v>50</v>
      </c>
      <c r="O46" s="218" t="s">
        <v>189</v>
      </c>
      <c r="P46" s="218" t="s">
        <v>369</v>
      </c>
      <c r="Q46" s="247" t="s">
        <v>162</v>
      </c>
      <c r="R46" s="284">
        <f>(1534.51/1000)*0.62</f>
        <v>0.95139620000000003</v>
      </c>
    </row>
    <row r="47" spans="5:18" ht="10.5" thickBot="1">
      <c r="E47" s="220">
        <v>185</v>
      </c>
      <c r="F47" s="219">
        <v>215</v>
      </c>
      <c r="G47" s="219" t="s">
        <v>190</v>
      </c>
      <c r="H47" s="219">
        <v>298</v>
      </c>
      <c r="N47" s="218">
        <v>70</v>
      </c>
      <c r="O47" s="218" t="s">
        <v>189</v>
      </c>
      <c r="P47" s="218" t="s">
        <v>370</v>
      </c>
      <c r="Q47" s="247" t="s">
        <v>162</v>
      </c>
      <c r="R47" s="284">
        <f>(2097.13/1000)*0.62</f>
        <v>1.3002206000000001</v>
      </c>
    </row>
    <row r="48" spans="5:18" ht="10.5" thickBot="1">
      <c r="E48" s="220">
        <v>240</v>
      </c>
      <c r="F48" s="219">
        <v>252</v>
      </c>
      <c r="G48" s="219" t="s">
        <v>190</v>
      </c>
      <c r="H48" s="219">
        <v>352</v>
      </c>
      <c r="N48" s="218">
        <v>95</v>
      </c>
      <c r="O48" s="218" t="s">
        <v>189</v>
      </c>
      <c r="P48" s="218" t="s">
        <v>371</v>
      </c>
      <c r="Q48" s="247" t="s">
        <v>162</v>
      </c>
      <c r="R48" s="284">
        <f>(2736.34/1000)*0.62</f>
        <v>1.6965308000000001</v>
      </c>
    </row>
    <row r="49" spans="5:18" ht="10.5" thickBot="1">
      <c r="E49" s="220">
        <v>300</v>
      </c>
      <c r="F49" s="219">
        <v>289</v>
      </c>
      <c r="G49" s="219" t="s">
        <v>190</v>
      </c>
      <c r="H49" s="219">
        <v>406</v>
      </c>
      <c r="N49" s="218">
        <v>120</v>
      </c>
      <c r="O49" s="218" t="s">
        <v>189</v>
      </c>
      <c r="P49" s="218" t="s">
        <v>372</v>
      </c>
      <c r="Q49" s="247" t="s">
        <v>162</v>
      </c>
      <c r="R49" s="284">
        <f>(3370.9/1000)*0.62</f>
        <v>2.0899580000000002</v>
      </c>
    </row>
    <row r="50" spans="5:18" ht="22.5" customHeight="1">
      <c r="E50" s="398" t="s">
        <v>373</v>
      </c>
      <c r="F50" s="399"/>
      <c r="G50" s="399"/>
      <c r="H50" s="400"/>
      <c r="N50" s="218">
        <v>150</v>
      </c>
      <c r="O50" s="218" t="s">
        <v>189</v>
      </c>
      <c r="P50" s="218" t="s">
        <v>374</v>
      </c>
      <c r="Q50" s="247" t="s">
        <v>162</v>
      </c>
      <c r="R50" s="284">
        <f>(4133.73/1000)*0.62</f>
        <v>2.5629125999999998</v>
      </c>
    </row>
    <row r="51" spans="5:18" ht="24.75" customHeight="1" thickBot="1">
      <c r="E51" s="392" t="s">
        <v>375</v>
      </c>
      <c r="F51" s="393"/>
      <c r="G51" s="393"/>
      <c r="H51" s="394"/>
      <c r="N51" s="218">
        <v>185</v>
      </c>
      <c r="O51" s="218" t="s">
        <v>189</v>
      </c>
      <c r="P51" s="218" t="s">
        <v>376</v>
      </c>
      <c r="Q51" s="247" t="s">
        <v>162</v>
      </c>
      <c r="R51" s="284">
        <f>(5166.62/1000)*0.62</f>
        <v>3.2033043999999999</v>
      </c>
    </row>
    <row r="52" spans="5:18" ht="16.5" customHeight="1">
      <c r="E52" s="229"/>
      <c r="F52" s="229"/>
      <c r="G52" s="229"/>
      <c r="H52" s="229"/>
      <c r="N52" s="218">
        <v>240</v>
      </c>
      <c r="O52" s="218" t="s">
        <v>189</v>
      </c>
      <c r="P52" s="218" t="s">
        <v>377</v>
      </c>
      <c r="Q52" s="247" t="s">
        <v>162</v>
      </c>
      <c r="R52" s="284">
        <f>(6547.98/1000)*0.62</f>
        <v>4.0597475999999997</v>
      </c>
    </row>
    <row r="53" spans="5:18">
      <c r="N53" s="218">
        <v>300</v>
      </c>
      <c r="O53" s="218" t="s">
        <v>189</v>
      </c>
      <c r="P53" s="218" t="s">
        <v>378</v>
      </c>
      <c r="Q53" s="247" t="s">
        <v>162</v>
      </c>
      <c r="R53" s="284">
        <f>(8005.1/1000)*0.62</f>
        <v>4.9631620000000005</v>
      </c>
    </row>
    <row r="54" spans="5:18">
      <c r="E54" s="228" t="s">
        <v>379</v>
      </c>
      <c r="N54" s="218">
        <v>16</v>
      </c>
      <c r="O54" s="218" t="s">
        <v>71</v>
      </c>
      <c r="P54" s="218" t="s">
        <v>380</v>
      </c>
      <c r="Q54" s="247" t="s">
        <v>162</v>
      </c>
      <c r="R54" s="284">
        <f>(2662.86/1000)*0.62</f>
        <v>1.6509732000000001</v>
      </c>
    </row>
    <row r="55" spans="5:18">
      <c r="E55" s="228" t="s">
        <v>328</v>
      </c>
      <c r="N55" s="218">
        <v>25</v>
      </c>
      <c r="O55" s="218" t="s">
        <v>71</v>
      </c>
      <c r="P55" s="218" t="s">
        <v>381</v>
      </c>
      <c r="Q55" s="247" t="s">
        <v>162</v>
      </c>
      <c r="R55" s="284">
        <f>(4121.53/1000)*0.62</f>
        <v>2.5553485999999999</v>
      </c>
    </row>
    <row r="56" spans="5:18">
      <c r="E56" s="227"/>
      <c r="N56" s="218">
        <v>35</v>
      </c>
      <c r="O56" s="218" t="s">
        <v>71</v>
      </c>
      <c r="P56" s="218" t="s">
        <v>382</v>
      </c>
      <c r="Q56" s="247" t="s">
        <v>162</v>
      </c>
      <c r="R56" s="284">
        <f>(5663.88/1000)*0.62</f>
        <v>3.5116055999999998</v>
      </c>
    </row>
    <row r="57" spans="5:18">
      <c r="E57" s="227" t="s">
        <v>383</v>
      </c>
      <c r="N57" s="218">
        <v>50</v>
      </c>
      <c r="O57" s="218" t="s">
        <v>71</v>
      </c>
      <c r="P57" s="218" t="s">
        <v>384</v>
      </c>
      <c r="Q57" s="247" t="s">
        <v>162</v>
      </c>
      <c r="R57" s="284">
        <f>(7707.06/1000)*0.62</f>
        <v>4.7783772000000004</v>
      </c>
    </row>
    <row r="58" spans="5:18">
      <c r="E58" s="227" t="s">
        <v>331</v>
      </c>
      <c r="N58" s="218">
        <v>70</v>
      </c>
      <c r="O58" s="218" t="s">
        <v>71</v>
      </c>
      <c r="P58" s="218" t="s">
        <v>385</v>
      </c>
      <c r="Q58" s="247" t="s">
        <v>162</v>
      </c>
      <c r="R58" s="284">
        <f>(11057.11/1000)*0.62</f>
        <v>6.8554081999999994</v>
      </c>
    </row>
    <row r="59" spans="5:18">
      <c r="E59" s="227" t="s">
        <v>386</v>
      </c>
      <c r="Q59" s="247"/>
    </row>
    <row r="60" spans="5:18">
      <c r="E60" s="227" t="s">
        <v>387</v>
      </c>
    </row>
    <row r="61" spans="5:18">
      <c r="E61" s="227" t="s">
        <v>334</v>
      </c>
      <c r="O61" s="218" t="s">
        <v>388</v>
      </c>
    </row>
    <row r="62" spans="5:18" ht="10.5" thickBot="1">
      <c r="E62" s="235"/>
    </row>
    <row r="63" spans="5:18" ht="20">
      <c r="E63" s="226" t="s">
        <v>335</v>
      </c>
      <c r="F63" s="389" t="s">
        <v>336</v>
      </c>
      <c r="G63" s="390"/>
      <c r="H63" s="391"/>
    </row>
    <row r="64" spans="5:18" ht="20.5" thickBot="1">
      <c r="E64" s="225" t="s">
        <v>337</v>
      </c>
      <c r="F64" s="401"/>
      <c r="G64" s="402"/>
      <c r="H64" s="403"/>
    </row>
    <row r="65" spans="5:8" ht="10.5" thickBot="1">
      <c r="E65" s="220" t="s">
        <v>338</v>
      </c>
      <c r="F65" s="219" t="s">
        <v>339</v>
      </c>
      <c r="G65" s="223" t="s">
        <v>340</v>
      </c>
      <c r="H65" s="223" t="s">
        <v>389</v>
      </c>
    </row>
    <row r="66" spans="5:8" ht="10.5" thickBot="1">
      <c r="E66" s="409" t="s">
        <v>342</v>
      </c>
      <c r="F66" s="410"/>
      <c r="G66" s="410"/>
      <c r="H66" s="411"/>
    </row>
    <row r="67" spans="5:8" ht="10.5" thickBot="1">
      <c r="E67" s="220" t="s">
        <v>343</v>
      </c>
      <c r="F67" s="219" t="s">
        <v>390</v>
      </c>
      <c r="G67" s="219">
        <v>23</v>
      </c>
      <c r="H67" s="219">
        <v>24</v>
      </c>
    </row>
    <row r="68" spans="5:8" ht="10.5" thickBot="1">
      <c r="E68" s="220" t="s">
        <v>348</v>
      </c>
      <c r="F68" s="219">
        <v>26</v>
      </c>
      <c r="G68" s="219">
        <v>31</v>
      </c>
      <c r="H68" s="219">
        <v>33</v>
      </c>
    </row>
    <row r="69" spans="5:8" ht="10.5" thickBot="1">
      <c r="E69" s="220">
        <v>4</v>
      </c>
      <c r="F69" s="219">
        <v>35</v>
      </c>
      <c r="G69" s="219">
        <v>42</v>
      </c>
      <c r="H69" s="219">
        <v>45</v>
      </c>
    </row>
    <row r="70" spans="5:8" ht="10.5" thickBot="1">
      <c r="E70" s="220">
        <v>6</v>
      </c>
      <c r="F70" s="219">
        <v>45</v>
      </c>
      <c r="G70" s="219">
        <v>54</v>
      </c>
      <c r="H70" s="219">
        <v>58</v>
      </c>
    </row>
    <row r="71" spans="5:8" ht="10.5" thickBot="1">
      <c r="E71" s="220">
        <v>10</v>
      </c>
      <c r="F71" s="219">
        <v>61</v>
      </c>
      <c r="G71" s="219">
        <v>75</v>
      </c>
      <c r="H71" s="219">
        <v>80</v>
      </c>
    </row>
    <row r="72" spans="5:8" ht="10.5" thickBot="1">
      <c r="E72" s="220">
        <v>16</v>
      </c>
      <c r="F72" s="219">
        <v>81</v>
      </c>
      <c r="G72" s="219">
        <v>100</v>
      </c>
      <c r="H72" s="219">
        <v>107</v>
      </c>
    </row>
    <row r="73" spans="5:8" ht="10.5" thickBot="1">
      <c r="E73" s="220">
        <v>25</v>
      </c>
      <c r="F73" s="219">
        <v>106</v>
      </c>
      <c r="G73" s="219">
        <v>133</v>
      </c>
      <c r="H73" s="219">
        <v>138</v>
      </c>
    </row>
    <row r="74" spans="5:8" ht="10.5" thickBot="1">
      <c r="E74" s="220">
        <v>35</v>
      </c>
      <c r="F74" s="219">
        <v>131</v>
      </c>
      <c r="G74" s="219">
        <v>164</v>
      </c>
      <c r="H74" s="219">
        <v>171</v>
      </c>
    </row>
    <row r="75" spans="5:8" ht="10.5" thickBot="1">
      <c r="E75" s="220">
        <v>50</v>
      </c>
      <c r="F75" s="219">
        <v>158</v>
      </c>
      <c r="G75" s="219">
        <v>198</v>
      </c>
      <c r="H75" s="219">
        <v>209</v>
      </c>
    </row>
    <row r="76" spans="5:8" ht="10.5" thickBot="1">
      <c r="E76" s="220">
        <v>70</v>
      </c>
      <c r="F76" s="219">
        <v>200</v>
      </c>
      <c r="G76" s="219">
        <v>253</v>
      </c>
      <c r="H76" s="219">
        <v>269</v>
      </c>
    </row>
    <row r="77" spans="5:8" ht="10.5" thickBot="1">
      <c r="E77" s="220">
        <v>95</v>
      </c>
      <c r="F77" s="219">
        <v>241</v>
      </c>
      <c r="G77" s="219">
        <v>306</v>
      </c>
      <c r="H77" s="219">
        <v>328</v>
      </c>
    </row>
    <row r="78" spans="5:8" ht="10.5" thickBot="1">
      <c r="E78" s="220">
        <v>120</v>
      </c>
      <c r="F78" s="219">
        <v>278</v>
      </c>
      <c r="G78" s="219">
        <v>354</v>
      </c>
      <c r="H78" s="219">
        <v>382</v>
      </c>
    </row>
    <row r="79" spans="5:8" ht="10.5" thickBot="1">
      <c r="E79" s="220">
        <v>150</v>
      </c>
      <c r="F79" s="219">
        <v>318</v>
      </c>
      <c r="G79" s="219" t="s">
        <v>190</v>
      </c>
      <c r="H79" s="219">
        <v>441</v>
      </c>
    </row>
    <row r="80" spans="5:8" ht="10.5" thickBot="1">
      <c r="E80" s="220">
        <v>185</v>
      </c>
      <c r="F80" s="219">
        <v>362</v>
      </c>
      <c r="G80" s="219" t="s">
        <v>190</v>
      </c>
      <c r="H80" s="219">
        <v>506</v>
      </c>
    </row>
    <row r="81" spans="5:8" ht="10.5" thickBot="1">
      <c r="E81" s="220">
        <v>240</v>
      </c>
      <c r="F81" s="219">
        <v>424</v>
      </c>
      <c r="G81" s="219" t="s">
        <v>190</v>
      </c>
      <c r="H81" s="219">
        <v>599</v>
      </c>
    </row>
    <row r="82" spans="5:8" ht="10.5" thickBot="1">
      <c r="E82" s="220">
        <v>300</v>
      </c>
      <c r="F82" s="219">
        <v>486</v>
      </c>
      <c r="G82" s="219" t="s">
        <v>190</v>
      </c>
      <c r="H82" s="219">
        <v>693</v>
      </c>
    </row>
    <row r="83" spans="5:8" ht="10.5" thickBot="1">
      <c r="E83" s="409" t="s">
        <v>356</v>
      </c>
      <c r="F83" s="410"/>
      <c r="G83" s="410"/>
      <c r="H83" s="411"/>
    </row>
    <row r="84" spans="5:8" ht="10.5" thickBot="1">
      <c r="E84" s="220" t="s">
        <v>348</v>
      </c>
      <c r="F84" s="219">
        <v>20</v>
      </c>
      <c r="G84" s="219">
        <v>25</v>
      </c>
      <c r="H84" s="219">
        <v>26</v>
      </c>
    </row>
    <row r="85" spans="5:8" ht="10.5" thickBot="1">
      <c r="E85" s="220">
        <v>4</v>
      </c>
      <c r="F85" s="219">
        <v>27</v>
      </c>
      <c r="G85" s="219">
        <v>33</v>
      </c>
      <c r="H85" s="219">
        <v>35</v>
      </c>
    </row>
    <row r="86" spans="5:8" ht="10.5" thickBot="1">
      <c r="E86" s="220">
        <v>6</v>
      </c>
      <c r="F86" s="219">
        <v>35</v>
      </c>
      <c r="G86" s="219">
        <v>43</v>
      </c>
      <c r="H86" s="219">
        <v>45</v>
      </c>
    </row>
    <row r="87" spans="5:8" ht="10.5" thickBot="1">
      <c r="E87" s="220">
        <v>10</v>
      </c>
      <c r="F87" s="219">
        <v>48</v>
      </c>
      <c r="G87" s="219">
        <v>59</v>
      </c>
      <c r="H87" s="219">
        <v>62</v>
      </c>
    </row>
    <row r="88" spans="5:8" ht="10.5" thickBot="1">
      <c r="E88" s="220">
        <v>16</v>
      </c>
      <c r="F88" s="219">
        <v>64</v>
      </c>
      <c r="G88" s="219">
        <v>79</v>
      </c>
      <c r="H88" s="219">
        <v>84</v>
      </c>
    </row>
    <row r="89" spans="5:8" ht="10.5" thickBot="1">
      <c r="E89" s="220">
        <v>25</v>
      </c>
      <c r="F89" s="219">
        <v>84</v>
      </c>
      <c r="G89" s="219">
        <v>105</v>
      </c>
      <c r="H89" s="219">
        <v>101</v>
      </c>
    </row>
    <row r="90" spans="5:8" ht="10.5" thickBot="1">
      <c r="E90" s="220">
        <v>35</v>
      </c>
      <c r="F90" s="219">
        <v>103</v>
      </c>
      <c r="G90" s="219">
        <v>130</v>
      </c>
      <c r="H90" s="219">
        <v>126</v>
      </c>
    </row>
    <row r="91" spans="5:8" ht="10.5" thickBot="1">
      <c r="E91" s="220">
        <v>50</v>
      </c>
      <c r="F91" s="219">
        <v>125</v>
      </c>
      <c r="G91" s="219">
        <v>157</v>
      </c>
      <c r="H91" s="219">
        <v>154</v>
      </c>
    </row>
    <row r="92" spans="5:8" ht="10.5" thickBot="1">
      <c r="E92" s="220">
        <v>70</v>
      </c>
      <c r="F92" s="219">
        <v>158</v>
      </c>
      <c r="G92" s="219">
        <v>200</v>
      </c>
      <c r="H92" s="219">
        <v>198</v>
      </c>
    </row>
    <row r="93" spans="5:8" ht="10.5" thickBot="1">
      <c r="E93" s="220">
        <v>95</v>
      </c>
      <c r="F93" s="219">
        <v>191</v>
      </c>
      <c r="G93" s="219">
        <v>242</v>
      </c>
      <c r="H93" s="219">
        <v>241</v>
      </c>
    </row>
    <row r="94" spans="5:8" ht="10.5" thickBot="1">
      <c r="E94" s="220">
        <v>120</v>
      </c>
      <c r="F94" s="219">
        <v>220</v>
      </c>
      <c r="G94" s="219">
        <v>281</v>
      </c>
      <c r="H94" s="219">
        <v>280</v>
      </c>
    </row>
    <row r="95" spans="5:8" ht="10.5" thickBot="1">
      <c r="E95" s="220">
        <v>150</v>
      </c>
      <c r="F95" s="219">
        <v>253</v>
      </c>
      <c r="G95" s="219" t="s">
        <v>190</v>
      </c>
      <c r="H95" s="219">
        <v>324</v>
      </c>
    </row>
    <row r="96" spans="5:8" ht="10.5" thickBot="1">
      <c r="E96" s="220">
        <v>185</v>
      </c>
      <c r="F96" s="219">
        <v>288</v>
      </c>
      <c r="G96" s="219" t="s">
        <v>190</v>
      </c>
      <c r="H96" s="219">
        <v>371</v>
      </c>
    </row>
    <row r="97" spans="5:8" ht="10.5" thickBot="1">
      <c r="E97" s="220">
        <v>240</v>
      </c>
      <c r="F97" s="219">
        <v>338</v>
      </c>
      <c r="G97" s="219" t="s">
        <v>190</v>
      </c>
      <c r="H97" s="219">
        <v>439</v>
      </c>
    </row>
    <row r="98" spans="5:8" ht="10.5" thickBot="1">
      <c r="E98" s="220">
        <v>300</v>
      </c>
      <c r="F98" s="219">
        <v>387</v>
      </c>
      <c r="G98" s="219" t="s">
        <v>190</v>
      </c>
      <c r="H98" s="219">
        <v>508</v>
      </c>
    </row>
    <row r="99" spans="5:8" ht="24" customHeight="1">
      <c r="E99" s="398" t="s">
        <v>373</v>
      </c>
      <c r="F99" s="399"/>
      <c r="G99" s="399"/>
      <c r="H99" s="400"/>
    </row>
    <row r="100" spans="5:8" ht="24" customHeight="1" thickBot="1">
      <c r="E100" s="392" t="s">
        <v>375</v>
      </c>
      <c r="F100" s="393"/>
      <c r="G100" s="393"/>
      <c r="H100" s="394"/>
    </row>
    <row r="101" spans="5:8" ht="24" customHeight="1">
      <c r="E101" s="229"/>
      <c r="F101" s="229"/>
      <c r="G101" s="229"/>
      <c r="H101" s="229"/>
    </row>
    <row r="103" spans="5:8">
      <c r="E103" s="228" t="s">
        <v>391</v>
      </c>
    </row>
    <row r="104" spans="5:8">
      <c r="E104" s="228" t="s">
        <v>328</v>
      </c>
    </row>
    <row r="105" spans="5:8">
      <c r="E105" s="227"/>
    </row>
    <row r="106" spans="5:8">
      <c r="E106" s="227" t="s">
        <v>329</v>
      </c>
    </row>
    <row r="107" spans="5:8">
      <c r="E107" s="227" t="s">
        <v>392</v>
      </c>
    </row>
    <row r="108" spans="5:8">
      <c r="E108" s="227" t="s">
        <v>386</v>
      </c>
    </row>
    <row r="109" spans="5:8">
      <c r="E109" s="227" t="s">
        <v>333</v>
      </c>
    </row>
    <row r="110" spans="5:8">
      <c r="E110" s="227" t="s">
        <v>334</v>
      </c>
    </row>
    <row r="111" spans="5:8" ht="10.5" thickBot="1">
      <c r="E111" s="235"/>
    </row>
    <row r="112" spans="5:8" ht="20">
      <c r="E112" s="226" t="s">
        <v>335</v>
      </c>
      <c r="F112" s="389" t="s">
        <v>336</v>
      </c>
      <c r="G112" s="390"/>
      <c r="H112" s="391"/>
    </row>
    <row r="113" spans="5:8" ht="20.5" thickBot="1">
      <c r="E113" s="225" t="s">
        <v>337</v>
      </c>
      <c r="F113" s="401"/>
      <c r="G113" s="402"/>
      <c r="H113" s="403"/>
    </row>
    <row r="114" spans="5:8" ht="10.5" thickBot="1">
      <c r="E114" s="220" t="s">
        <v>338</v>
      </c>
      <c r="F114" s="219" t="s">
        <v>339</v>
      </c>
      <c r="G114" s="223" t="s">
        <v>340</v>
      </c>
      <c r="H114" s="223" t="s">
        <v>389</v>
      </c>
    </row>
    <row r="115" spans="5:8" ht="10.5" thickBot="1">
      <c r="E115" s="409" t="s">
        <v>342</v>
      </c>
      <c r="F115" s="410"/>
      <c r="G115" s="410"/>
      <c r="H115" s="411"/>
    </row>
    <row r="116" spans="5:8" ht="10.5" thickBot="1">
      <c r="E116" s="220" t="s">
        <v>343</v>
      </c>
      <c r="F116" s="219" t="s">
        <v>393</v>
      </c>
      <c r="G116" s="219" t="s">
        <v>394</v>
      </c>
      <c r="H116" s="219" t="s">
        <v>345</v>
      </c>
    </row>
    <row r="117" spans="5:8" ht="10.5" thickBot="1">
      <c r="E117" s="220" t="s">
        <v>348</v>
      </c>
      <c r="F117" s="219" t="s">
        <v>395</v>
      </c>
      <c r="G117" s="219">
        <v>21</v>
      </c>
      <c r="H117" s="219">
        <v>24</v>
      </c>
    </row>
    <row r="118" spans="5:8" ht="10.5" thickBot="1">
      <c r="E118" s="220">
        <v>4</v>
      </c>
      <c r="F118" s="219">
        <v>24</v>
      </c>
      <c r="G118" s="219">
        <v>28</v>
      </c>
      <c r="H118" s="219">
        <v>32</v>
      </c>
    </row>
    <row r="119" spans="5:8" ht="10.5" thickBot="1">
      <c r="E119" s="220">
        <v>6</v>
      </c>
      <c r="F119" s="219">
        <v>31</v>
      </c>
      <c r="G119" s="219">
        <v>36</v>
      </c>
      <c r="H119" s="219">
        <v>41</v>
      </c>
    </row>
    <row r="120" spans="5:8" ht="10.5" thickBot="1">
      <c r="E120" s="220">
        <v>10</v>
      </c>
      <c r="F120" s="219">
        <v>42</v>
      </c>
      <c r="G120" s="219">
        <v>50</v>
      </c>
      <c r="H120" s="219">
        <v>57</v>
      </c>
    </row>
    <row r="121" spans="5:8" ht="10.5" thickBot="1">
      <c r="E121" s="220">
        <v>16</v>
      </c>
      <c r="F121" s="219">
        <v>56</v>
      </c>
      <c r="G121" s="219">
        <v>68</v>
      </c>
      <c r="H121" s="219">
        <v>76</v>
      </c>
    </row>
    <row r="122" spans="5:8" ht="10.5" thickBot="1">
      <c r="E122" s="220">
        <v>25</v>
      </c>
      <c r="F122" s="219">
        <v>73</v>
      </c>
      <c r="G122" s="219">
        <v>89</v>
      </c>
      <c r="H122" s="219">
        <v>96</v>
      </c>
    </row>
    <row r="123" spans="5:8" ht="10.5" thickBot="1">
      <c r="E123" s="220">
        <v>35</v>
      </c>
      <c r="F123" s="219">
        <v>89</v>
      </c>
      <c r="G123" s="219">
        <v>110</v>
      </c>
      <c r="H123" s="219">
        <v>119</v>
      </c>
    </row>
    <row r="124" spans="5:8" ht="10.5" thickBot="1">
      <c r="E124" s="220">
        <v>50</v>
      </c>
      <c r="F124" s="219">
        <v>108</v>
      </c>
      <c r="G124" s="219">
        <v>134</v>
      </c>
      <c r="H124" s="219">
        <v>144</v>
      </c>
    </row>
    <row r="125" spans="5:8" ht="10.5" thickBot="1">
      <c r="E125" s="220">
        <v>70</v>
      </c>
      <c r="F125" s="219">
        <v>136</v>
      </c>
      <c r="G125" s="219">
        <v>171</v>
      </c>
      <c r="H125" s="219">
        <v>184</v>
      </c>
    </row>
    <row r="126" spans="5:8" ht="10.5" thickBot="1">
      <c r="E126" s="220">
        <v>95</v>
      </c>
      <c r="F126" s="219">
        <v>164</v>
      </c>
      <c r="G126" s="219">
        <v>207</v>
      </c>
      <c r="H126" s="219">
        <v>223</v>
      </c>
    </row>
    <row r="127" spans="5:8" ht="10.5" thickBot="1">
      <c r="E127" s="220">
        <v>120</v>
      </c>
      <c r="F127" s="219">
        <v>188</v>
      </c>
      <c r="G127" s="219">
        <v>239</v>
      </c>
      <c r="H127" s="219">
        <v>259</v>
      </c>
    </row>
    <row r="128" spans="5:8" ht="10.5" thickBot="1">
      <c r="E128" s="220">
        <v>150</v>
      </c>
      <c r="F128" s="219">
        <v>216</v>
      </c>
      <c r="G128" s="219" t="s">
        <v>190</v>
      </c>
      <c r="H128" s="219">
        <v>299</v>
      </c>
    </row>
    <row r="129" spans="5:8" ht="10.5" thickBot="1">
      <c r="E129" s="220">
        <v>185</v>
      </c>
      <c r="F129" s="219">
        <v>245</v>
      </c>
      <c r="G129" s="219" t="s">
        <v>190</v>
      </c>
      <c r="H129" s="219">
        <v>341</v>
      </c>
    </row>
    <row r="130" spans="5:8" ht="10.5" thickBot="1">
      <c r="E130" s="220">
        <v>240</v>
      </c>
      <c r="F130" s="219">
        <v>286</v>
      </c>
      <c r="G130" s="219" t="s">
        <v>190</v>
      </c>
      <c r="H130" s="219">
        <v>403</v>
      </c>
    </row>
    <row r="131" spans="5:8" ht="10.5" thickBot="1">
      <c r="E131" s="220">
        <v>300</v>
      </c>
      <c r="F131" s="219">
        <v>328</v>
      </c>
      <c r="G131" s="219" t="s">
        <v>190</v>
      </c>
      <c r="H131" s="219">
        <v>464</v>
      </c>
    </row>
    <row r="132" spans="5:8" ht="10.5" thickBot="1">
      <c r="E132" s="409" t="s">
        <v>356</v>
      </c>
      <c r="F132" s="410"/>
      <c r="G132" s="410"/>
      <c r="H132" s="411"/>
    </row>
    <row r="133" spans="5:8" ht="10.5" thickBot="1">
      <c r="E133" s="220" t="s">
        <v>348</v>
      </c>
      <c r="F133" s="219">
        <v>14</v>
      </c>
      <c r="G133" s="219">
        <v>16.5</v>
      </c>
      <c r="H133" s="219">
        <v>18.5</v>
      </c>
    </row>
    <row r="134" spans="5:8" ht="10.5" thickBot="1">
      <c r="E134" s="220">
        <v>4</v>
      </c>
      <c r="F134" s="219">
        <v>18.5</v>
      </c>
      <c r="G134" s="219">
        <v>22</v>
      </c>
      <c r="H134" s="219">
        <v>25</v>
      </c>
    </row>
    <row r="135" spans="5:8" ht="10.5" thickBot="1">
      <c r="E135" s="220">
        <v>6</v>
      </c>
      <c r="F135" s="219">
        <v>24</v>
      </c>
      <c r="G135" s="219">
        <v>28</v>
      </c>
      <c r="H135" s="219">
        <v>32</v>
      </c>
    </row>
    <row r="136" spans="5:8" ht="10.5" thickBot="1">
      <c r="E136" s="220">
        <v>10</v>
      </c>
      <c r="F136" s="219">
        <v>32</v>
      </c>
      <c r="G136" s="219">
        <v>39</v>
      </c>
      <c r="H136" s="219">
        <v>44</v>
      </c>
    </row>
    <row r="137" spans="5:8" ht="10.5" thickBot="1">
      <c r="E137" s="220">
        <v>16</v>
      </c>
      <c r="F137" s="219">
        <v>43</v>
      </c>
      <c r="G137" s="219">
        <v>53</v>
      </c>
      <c r="H137" s="219">
        <v>59</v>
      </c>
    </row>
    <row r="138" spans="5:8" ht="10.5" thickBot="1">
      <c r="E138" s="220">
        <v>25</v>
      </c>
      <c r="F138" s="219">
        <v>57</v>
      </c>
      <c r="G138" s="219">
        <v>70</v>
      </c>
      <c r="H138" s="219">
        <v>73</v>
      </c>
    </row>
    <row r="139" spans="5:8" ht="10.5" thickBot="1">
      <c r="E139" s="220">
        <v>35</v>
      </c>
      <c r="F139" s="219">
        <v>70</v>
      </c>
      <c r="G139" s="219">
        <v>86</v>
      </c>
      <c r="H139" s="219">
        <v>90</v>
      </c>
    </row>
    <row r="140" spans="5:8" ht="10.5" thickBot="1">
      <c r="E140" s="220">
        <v>50</v>
      </c>
      <c r="F140" s="219">
        <v>84</v>
      </c>
      <c r="G140" s="219">
        <v>104</v>
      </c>
      <c r="H140" s="219">
        <v>110</v>
      </c>
    </row>
    <row r="141" spans="5:8" ht="10.5" thickBot="1">
      <c r="E141" s="220">
        <v>70</v>
      </c>
      <c r="F141" s="219">
        <v>107</v>
      </c>
      <c r="G141" s="219">
        <v>133</v>
      </c>
      <c r="H141" s="219">
        <v>140</v>
      </c>
    </row>
    <row r="142" spans="5:8" ht="10.5" thickBot="1">
      <c r="E142" s="220">
        <v>95</v>
      </c>
      <c r="F142" s="219">
        <v>129</v>
      </c>
      <c r="G142" s="219">
        <v>161</v>
      </c>
      <c r="H142" s="219">
        <v>170</v>
      </c>
    </row>
    <row r="143" spans="5:8" ht="10.5" thickBot="1">
      <c r="E143" s="220">
        <v>120</v>
      </c>
      <c r="F143" s="219">
        <v>149</v>
      </c>
      <c r="G143" s="219">
        <v>186</v>
      </c>
      <c r="H143" s="219">
        <v>197</v>
      </c>
    </row>
    <row r="144" spans="5:8" ht="10.5" thickBot="1">
      <c r="E144" s="220">
        <v>150</v>
      </c>
      <c r="F144" s="219">
        <v>170</v>
      </c>
      <c r="G144" s="219" t="s">
        <v>190</v>
      </c>
      <c r="H144" s="219">
        <v>227</v>
      </c>
    </row>
    <row r="145" spans="5:8" ht="10.5" thickBot="1">
      <c r="E145" s="220">
        <v>185</v>
      </c>
      <c r="F145" s="219">
        <v>194</v>
      </c>
      <c r="G145" s="219" t="s">
        <v>190</v>
      </c>
      <c r="H145" s="219">
        <v>259</v>
      </c>
    </row>
    <row r="146" spans="5:8" ht="10.5" thickBot="1">
      <c r="E146" s="220">
        <v>240</v>
      </c>
      <c r="F146" s="219">
        <v>227</v>
      </c>
      <c r="G146" s="219" t="s">
        <v>190</v>
      </c>
      <c r="H146" s="219">
        <v>305</v>
      </c>
    </row>
    <row r="147" spans="5:8" ht="10.5" thickBot="1">
      <c r="E147" s="220">
        <v>300</v>
      </c>
      <c r="F147" s="219">
        <v>261</v>
      </c>
      <c r="G147" s="219" t="s">
        <v>190</v>
      </c>
      <c r="H147" s="219">
        <v>351</v>
      </c>
    </row>
    <row r="148" spans="5:8" ht="30" customHeight="1">
      <c r="E148" s="398" t="s">
        <v>373</v>
      </c>
      <c r="F148" s="399"/>
      <c r="G148" s="399"/>
      <c r="H148" s="400"/>
    </row>
    <row r="149" spans="5:8" ht="28.5" customHeight="1" thickBot="1">
      <c r="E149" s="392" t="s">
        <v>375</v>
      </c>
      <c r="F149" s="393"/>
      <c r="G149" s="393"/>
      <c r="H149" s="394"/>
    </row>
    <row r="150" spans="5:8" ht="28.5" customHeight="1">
      <c r="E150" s="229"/>
      <c r="F150" s="229"/>
      <c r="G150" s="229"/>
      <c r="H150" s="229"/>
    </row>
    <row r="151" spans="5:8">
      <c r="E151" s="228" t="s">
        <v>396</v>
      </c>
    </row>
    <row r="152" spans="5:8">
      <c r="E152" s="228" t="s">
        <v>328</v>
      </c>
    </row>
    <row r="153" spans="5:8">
      <c r="E153" s="227" t="s">
        <v>383</v>
      </c>
    </row>
    <row r="154" spans="5:8">
      <c r="E154" s="227" t="s">
        <v>392</v>
      </c>
    </row>
    <row r="155" spans="5:8">
      <c r="E155" s="227" t="s">
        <v>386</v>
      </c>
    </row>
    <row r="156" spans="5:8">
      <c r="E156" s="227" t="s">
        <v>387</v>
      </c>
    </row>
    <row r="157" spans="5:8">
      <c r="E157" s="227" t="s">
        <v>334</v>
      </c>
    </row>
    <row r="158" spans="5:8" ht="10.5" thickBot="1">
      <c r="E158" s="235"/>
    </row>
    <row r="159" spans="5:8" ht="20">
      <c r="E159" s="226" t="s">
        <v>335</v>
      </c>
      <c r="F159" s="389" t="s">
        <v>336</v>
      </c>
      <c r="G159" s="390"/>
      <c r="H159" s="391"/>
    </row>
    <row r="160" spans="5:8" ht="20.5" thickBot="1">
      <c r="E160" s="225" t="s">
        <v>337</v>
      </c>
      <c r="F160" s="401"/>
      <c r="G160" s="402"/>
      <c r="H160" s="403"/>
    </row>
    <row r="161" spans="5:8" ht="10.5" thickBot="1">
      <c r="E161" s="220" t="s">
        <v>338</v>
      </c>
      <c r="F161" s="219" t="s">
        <v>339</v>
      </c>
      <c r="G161" s="223" t="s">
        <v>340</v>
      </c>
      <c r="H161" s="223" t="s">
        <v>389</v>
      </c>
    </row>
    <row r="162" spans="5:8" ht="10.5" thickBot="1">
      <c r="E162" s="409" t="s">
        <v>342</v>
      </c>
      <c r="F162" s="410"/>
      <c r="G162" s="410"/>
      <c r="H162" s="411"/>
    </row>
    <row r="163" spans="5:8" ht="10.5" thickBot="1">
      <c r="E163" s="220" t="s">
        <v>343</v>
      </c>
      <c r="F163" s="219" t="s">
        <v>397</v>
      </c>
      <c r="G163" s="219" t="s">
        <v>398</v>
      </c>
      <c r="H163" s="219">
        <v>22</v>
      </c>
    </row>
    <row r="164" spans="5:8" ht="10.5" thickBot="1">
      <c r="E164" s="220" t="s">
        <v>348</v>
      </c>
      <c r="F164" s="219">
        <v>23</v>
      </c>
      <c r="G164" s="219">
        <v>28</v>
      </c>
      <c r="H164" s="219">
        <v>30</v>
      </c>
    </row>
    <row r="165" spans="5:8" ht="10.5" thickBot="1">
      <c r="E165" s="220">
        <v>4</v>
      </c>
      <c r="F165" s="219">
        <v>31</v>
      </c>
      <c r="G165" s="219">
        <v>37</v>
      </c>
      <c r="H165" s="219">
        <v>40</v>
      </c>
    </row>
    <row r="166" spans="5:8" ht="10.5" thickBot="1">
      <c r="E166" s="220">
        <v>6</v>
      </c>
      <c r="F166" s="219">
        <v>40</v>
      </c>
      <c r="G166" s="219">
        <v>48</v>
      </c>
      <c r="H166" s="219">
        <v>52</v>
      </c>
    </row>
    <row r="167" spans="5:8" ht="10.5" thickBot="1">
      <c r="E167" s="220">
        <v>10</v>
      </c>
      <c r="F167" s="219">
        <v>54</v>
      </c>
      <c r="G167" s="219">
        <v>66</v>
      </c>
      <c r="H167" s="219">
        <v>71</v>
      </c>
    </row>
    <row r="168" spans="5:8" ht="10.5" thickBot="1">
      <c r="E168" s="220">
        <v>16</v>
      </c>
      <c r="F168" s="219">
        <v>73</v>
      </c>
      <c r="G168" s="219">
        <v>88</v>
      </c>
      <c r="H168" s="219">
        <v>96</v>
      </c>
    </row>
    <row r="169" spans="5:8" ht="10.5" thickBot="1">
      <c r="E169" s="220">
        <v>25</v>
      </c>
      <c r="F169" s="219">
        <v>95</v>
      </c>
      <c r="G169" s="219">
        <v>117</v>
      </c>
      <c r="H169" s="219">
        <v>119</v>
      </c>
    </row>
    <row r="170" spans="5:8" ht="10.5" thickBot="1">
      <c r="E170" s="220">
        <v>35</v>
      </c>
      <c r="F170" s="219">
        <v>117</v>
      </c>
      <c r="G170" s="219">
        <v>144</v>
      </c>
      <c r="H170" s="219">
        <v>147</v>
      </c>
    </row>
    <row r="171" spans="5:8" ht="10.5" thickBot="1">
      <c r="E171" s="220">
        <v>50</v>
      </c>
      <c r="F171" s="219">
        <v>141</v>
      </c>
      <c r="G171" s="219">
        <v>175</v>
      </c>
      <c r="H171" s="219">
        <v>179</v>
      </c>
    </row>
    <row r="172" spans="5:8" ht="10.5" thickBot="1">
      <c r="E172" s="220">
        <v>70</v>
      </c>
      <c r="F172" s="219">
        <v>179</v>
      </c>
      <c r="G172" s="219">
        <v>222</v>
      </c>
      <c r="H172" s="219">
        <v>229</v>
      </c>
    </row>
    <row r="173" spans="5:8" ht="10.5" thickBot="1">
      <c r="E173" s="220">
        <v>95</v>
      </c>
      <c r="F173" s="219">
        <v>216</v>
      </c>
      <c r="G173" s="219">
        <v>269</v>
      </c>
      <c r="H173" s="219">
        <v>278</v>
      </c>
    </row>
    <row r="174" spans="5:8" ht="10.5" thickBot="1">
      <c r="E174" s="220">
        <v>120</v>
      </c>
      <c r="F174" s="219">
        <v>249</v>
      </c>
      <c r="G174" s="219">
        <v>312</v>
      </c>
      <c r="H174" s="219">
        <v>322</v>
      </c>
    </row>
    <row r="175" spans="5:8" ht="10.5" thickBot="1">
      <c r="E175" s="220">
        <v>150</v>
      </c>
      <c r="F175" s="219">
        <v>285</v>
      </c>
      <c r="G175" s="219" t="s">
        <v>190</v>
      </c>
      <c r="H175" s="219">
        <v>371</v>
      </c>
    </row>
    <row r="176" spans="5:8" ht="10.5" thickBot="1">
      <c r="E176" s="220">
        <v>185</v>
      </c>
      <c r="F176" s="219">
        <v>324</v>
      </c>
      <c r="G176" s="219" t="s">
        <v>190</v>
      </c>
      <c r="H176" s="219">
        <v>424</v>
      </c>
    </row>
    <row r="177" spans="5:8" ht="10.5" thickBot="1">
      <c r="E177" s="220">
        <v>240</v>
      </c>
      <c r="F177" s="219">
        <v>380</v>
      </c>
      <c r="G177" s="219" t="s">
        <v>190</v>
      </c>
      <c r="H177" s="219">
        <v>500</v>
      </c>
    </row>
    <row r="178" spans="5:8" ht="10.5" thickBot="1">
      <c r="E178" s="220">
        <v>300</v>
      </c>
      <c r="F178" s="219">
        <v>435</v>
      </c>
      <c r="G178" s="219" t="s">
        <v>190</v>
      </c>
      <c r="H178" s="219">
        <v>576</v>
      </c>
    </row>
    <row r="179" spans="5:8" ht="10.5" thickBot="1">
      <c r="E179" s="409" t="s">
        <v>356</v>
      </c>
      <c r="F179" s="410"/>
      <c r="G179" s="410"/>
      <c r="H179" s="411"/>
    </row>
    <row r="180" spans="5:8" ht="10.5" thickBot="1">
      <c r="E180" s="220" t="s">
        <v>348</v>
      </c>
      <c r="F180" s="219">
        <v>19</v>
      </c>
      <c r="G180" s="219">
        <v>22</v>
      </c>
      <c r="H180" s="219">
        <v>24</v>
      </c>
    </row>
    <row r="181" spans="5:8" ht="10.5" thickBot="1">
      <c r="E181" s="220">
        <v>4</v>
      </c>
      <c r="F181" s="219">
        <v>25</v>
      </c>
      <c r="G181" s="219">
        <v>29</v>
      </c>
      <c r="H181" s="219">
        <v>32</v>
      </c>
    </row>
    <row r="182" spans="5:8" ht="10.5" thickBot="1">
      <c r="E182" s="220">
        <v>6</v>
      </c>
      <c r="F182" s="219">
        <v>32</v>
      </c>
      <c r="G182" s="219">
        <v>38</v>
      </c>
      <c r="H182" s="219">
        <v>41</v>
      </c>
    </row>
    <row r="183" spans="5:8" ht="10.5" thickBot="1">
      <c r="E183" s="220">
        <v>10</v>
      </c>
      <c r="F183" s="219">
        <v>44</v>
      </c>
      <c r="G183" s="219">
        <v>52</v>
      </c>
      <c r="H183" s="219">
        <v>57</v>
      </c>
    </row>
    <row r="184" spans="5:8" ht="10.5" thickBot="1">
      <c r="E184" s="220">
        <v>16</v>
      </c>
      <c r="F184" s="219">
        <v>58</v>
      </c>
      <c r="G184" s="219">
        <v>71</v>
      </c>
      <c r="H184" s="219">
        <v>76</v>
      </c>
    </row>
    <row r="185" spans="5:8" ht="10.5" thickBot="1">
      <c r="E185" s="220">
        <v>25</v>
      </c>
      <c r="F185" s="219">
        <v>76</v>
      </c>
      <c r="G185" s="219">
        <v>93</v>
      </c>
      <c r="H185" s="219">
        <v>90</v>
      </c>
    </row>
    <row r="186" spans="5:8" ht="10.5" thickBot="1">
      <c r="E186" s="220">
        <v>35</v>
      </c>
      <c r="F186" s="219">
        <v>94</v>
      </c>
      <c r="G186" s="219">
        <v>116</v>
      </c>
      <c r="H186" s="219">
        <v>112</v>
      </c>
    </row>
    <row r="187" spans="5:8" ht="10.5" thickBot="1">
      <c r="E187" s="220">
        <v>50</v>
      </c>
      <c r="F187" s="219">
        <v>113</v>
      </c>
      <c r="G187" s="219">
        <v>140</v>
      </c>
      <c r="H187" s="219">
        <v>136</v>
      </c>
    </row>
    <row r="188" spans="5:8" ht="10.5" thickBot="1">
      <c r="E188" s="220">
        <v>70</v>
      </c>
      <c r="F188" s="219">
        <v>142</v>
      </c>
      <c r="G188" s="219">
        <v>179</v>
      </c>
      <c r="H188" s="219">
        <v>174</v>
      </c>
    </row>
    <row r="189" spans="5:8" ht="10.5" thickBot="1">
      <c r="E189" s="220">
        <v>95</v>
      </c>
      <c r="F189" s="219">
        <v>171</v>
      </c>
      <c r="G189" s="219">
        <v>217</v>
      </c>
      <c r="H189" s="219">
        <v>211</v>
      </c>
    </row>
    <row r="190" spans="5:8" ht="10.5" thickBot="1">
      <c r="E190" s="220">
        <v>120</v>
      </c>
      <c r="F190" s="219">
        <v>197</v>
      </c>
      <c r="G190" s="219">
        <v>251</v>
      </c>
      <c r="H190" s="219">
        <v>245</v>
      </c>
    </row>
    <row r="191" spans="5:8" ht="10.5" thickBot="1">
      <c r="E191" s="220">
        <v>150</v>
      </c>
      <c r="F191" s="219">
        <v>226</v>
      </c>
      <c r="G191" s="219" t="s">
        <v>190</v>
      </c>
      <c r="H191" s="219">
        <v>283</v>
      </c>
    </row>
    <row r="192" spans="5:8" ht="10.5" thickBot="1">
      <c r="E192" s="220">
        <v>185</v>
      </c>
      <c r="F192" s="219">
        <v>256</v>
      </c>
      <c r="G192" s="219" t="s">
        <v>190</v>
      </c>
      <c r="H192" s="219">
        <v>323</v>
      </c>
    </row>
    <row r="193" spans="5:9" ht="10.5" thickBot="1">
      <c r="E193" s="220">
        <v>240</v>
      </c>
      <c r="F193" s="219">
        <v>300</v>
      </c>
      <c r="G193" s="219" t="s">
        <v>190</v>
      </c>
      <c r="H193" s="219">
        <v>382</v>
      </c>
    </row>
    <row r="194" spans="5:9" ht="10.5" thickBot="1">
      <c r="E194" s="220">
        <v>300</v>
      </c>
      <c r="F194" s="219">
        <v>344</v>
      </c>
      <c r="G194" s="219" t="s">
        <v>190</v>
      </c>
      <c r="H194" s="219">
        <v>440</v>
      </c>
    </row>
    <row r="195" spans="5:9" ht="27" customHeight="1">
      <c r="E195" s="398" t="s">
        <v>373</v>
      </c>
      <c r="F195" s="399"/>
      <c r="G195" s="399"/>
      <c r="H195" s="400"/>
    </row>
    <row r="196" spans="5:9" ht="26.25" customHeight="1" thickBot="1">
      <c r="E196" s="392" t="s">
        <v>375</v>
      </c>
      <c r="F196" s="393"/>
      <c r="G196" s="393"/>
      <c r="H196" s="394"/>
    </row>
    <row r="199" spans="5:9">
      <c r="E199" s="228" t="s">
        <v>399</v>
      </c>
    </row>
    <row r="200" spans="5:9">
      <c r="E200" s="228" t="s">
        <v>400</v>
      </c>
    </row>
    <row r="201" spans="5:9">
      <c r="E201" s="227" t="s">
        <v>401</v>
      </c>
    </row>
    <row r="202" spans="5:9">
      <c r="E202" s="227" t="s">
        <v>402</v>
      </c>
    </row>
    <row r="203" spans="5:9">
      <c r="E203" s="227" t="s">
        <v>403</v>
      </c>
    </row>
    <row r="204" spans="5:9">
      <c r="E204" s="227" t="s">
        <v>404</v>
      </c>
    </row>
    <row r="205" spans="5:9" ht="10.5" thickBot="1">
      <c r="E205" s="227" t="s">
        <v>334</v>
      </c>
    </row>
    <row r="206" spans="5:9" ht="10.75" customHeight="1" thickBot="1">
      <c r="E206" s="226" t="s">
        <v>147</v>
      </c>
      <c r="F206" s="404" t="s">
        <v>405</v>
      </c>
      <c r="G206" s="415"/>
      <c r="H206" s="415"/>
      <c r="I206" s="405"/>
    </row>
    <row r="207" spans="5:9" ht="21" customHeight="1" thickBot="1">
      <c r="E207" s="234" t="s">
        <v>406</v>
      </c>
      <c r="F207" s="226" t="s">
        <v>407</v>
      </c>
      <c r="G207" s="404" t="s">
        <v>408</v>
      </c>
      <c r="H207" s="415"/>
      <c r="I207" s="405"/>
    </row>
    <row r="208" spans="5:9" ht="20">
      <c r="E208" s="234" t="s">
        <v>409</v>
      </c>
      <c r="F208" s="225" t="s">
        <v>410</v>
      </c>
      <c r="G208" s="389" t="s">
        <v>411</v>
      </c>
      <c r="H208" s="391"/>
      <c r="I208" s="408" t="s">
        <v>412</v>
      </c>
    </row>
    <row r="209" spans="5:9" ht="50.5" thickBot="1">
      <c r="E209" s="234" t="s">
        <v>413</v>
      </c>
      <c r="F209" s="225" t="s">
        <v>414</v>
      </c>
      <c r="G209" s="401"/>
      <c r="H209" s="403"/>
      <c r="I209" s="407"/>
    </row>
    <row r="210" spans="5:9" ht="10.5" thickBot="1">
      <c r="E210" s="233" t="s">
        <v>415</v>
      </c>
      <c r="F210" s="232">
        <v>1</v>
      </c>
      <c r="G210" s="404">
        <v>2</v>
      </c>
      <c r="H210" s="405"/>
      <c r="I210" s="219">
        <v>3</v>
      </c>
    </row>
    <row r="211" spans="5:9" ht="11.25" customHeight="1" thickBot="1">
      <c r="E211" s="409" t="s">
        <v>416</v>
      </c>
      <c r="F211" s="410"/>
      <c r="G211" s="410"/>
      <c r="H211" s="410"/>
      <c r="I211" s="411"/>
    </row>
    <row r="212" spans="5:9" ht="10.5" thickBot="1">
      <c r="E212" s="232" t="s">
        <v>343</v>
      </c>
      <c r="F212" s="223">
        <v>23</v>
      </c>
      <c r="G212" s="404">
        <v>19</v>
      </c>
      <c r="H212" s="405"/>
      <c r="I212" s="223">
        <v>21</v>
      </c>
    </row>
    <row r="213" spans="5:9" ht="10.5" thickBot="1">
      <c r="E213" s="220" t="s">
        <v>348</v>
      </c>
      <c r="F213" s="219">
        <v>31</v>
      </c>
      <c r="G213" s="404">
        <v>26</v>
      </c>
      <c r="H213" s="405"/>
      <c r="I213" s="219">
        <v>29</v>
      </c>
    </row>
    <row r="214" spans="5:9" ht="10.5" thickBot="1">
      <c r="E214" s="220">
        <v>4</v>
      </c>
      <c r="F214" s="219">
        <v>40</v>
      </c>
      <c r="G214" s="404">
        <v>35</v>
      </c>
      <c r="H214" s="405"/>
      <c r="I214" s="219">
        <v>38</v>
      </c>
    </row>
    <row r="215" spans="5:9" ht="11.25" customHeight="1" thickBot="1">
      <c r="E215" s="409" t="s">
        <v>417</v>
      </c>
      <c r="F215" s="410"/>
      <c r="G215" s="410"/>
      <c r="H215" s="410"/>
      <c r="I215" s="411"/>
    </row>
    <row r="216" spans="5:9" ht="10.5" thickBot="1">
      <c r="E216" s="220" t="s">
        <v>343</v>
      </c>
      <c r="F216" s="219">
        <v>25</v>
      </c>
      <c r="G216" s="404">
        <v>21</v>
      </c>
      <c r="H216" s="405"/>
      <c r="I216" s="219">
        <v>23</v>
      </c>
    </row>
    <row r="217" spans="5:9" ht="10.5" thickBot="1">
      <c r="E217" s="220" t="s">
        <v>348</v>
      </c>
      <c r="F217" s="219">
        <v>34</v>
      </c>
      <c r="G217" s="404">
        <v>28</v>
      </c>
      <c r="H217" s="405"/>
      <c r="I217" s="219">
        <v>31</v>
      </c>
    </row>
    <row r="218" spans="5:9" ht="10.5" thickBot="1">
      <c r="E218" s="220">
        <v>4</v>
      </c>
      <c r="F218" s="219">
        <v>45</v>
      </c>
      <c r="G218" s="404">
        <v>37</v>
      </c>
      <c r="H218" s="405"/>
      <c r="I218" s="219">
        <v>41</v>
      </c>
    </row>
    <row r="219" spans="5:9" ht="10.5" thickBot="1">
      <c r="E219" s="220">
        <v>6</v>
      </c>
      <c r="F219" s="219">
        <v>57</v>
      </c>
      <c r="G219" s="404">
        <v>48</v>
      </c>
      <c r="H219" s="405"/>
      <c r="I219" s="219">
        <v>52</v>
      </c>
    </row>
    <row r="220" spans="5:9" ht="10.5" thickBot="1">
      <c r="E220" s="220">
        <v>10</v>
      </c>
      <c r="F220" s="219">
        <v>77</v>
      </c>
      <c r="G220" s="404">
        <v>65</v>
      </c>
      <c r="H220" s="405"/>
      <c r="I220" s="219">
        <v>70</v>
      </c>
    </row>
    <row r="221" spans="5:9" ht="10.5" thickBot="1">
      <c r="E221" s="220">
        <v>16</v>
      </c>
      <c r="F221" s="219">
        <v>102</v>
      </c>
      <c r="G221" s="404">
        <v>86</v>
      </c>
      <c r="H221" s="405"/>
      <c r="I221" s="219">
        <v>92</v>
      </c>
    </row>
    <row r="222" spans="5:9" ht="13.5" customHeight="1" thickBot="1">
      <c r="E222" s="220">
        <v>25</v>
      </c>
      <c r="F222" s="219">
        <v>133</v>
      </c>
      <c r="G222" s="404">
        <v>112</v>
      </c>
      <c r="H222" s="405"/>
      <c r="I222" s="219">
        <v>120</v>
      </c>
    </row>
    <row r="223" spans="5:9" ht="13.5" customHeight="1" thickBot="1">
      <c r="E223" s="220">
        <v>35</v>
      </c>
      <c r="F223" s="219">
        <v>163</v>
      </c>
      <c r="G223" s="404">
        <v>137</v>
      </c>
      <c r="H223" s="405"/>
      <c r="I223" s="219">
        <v>147</v>
      </c>
    </row>
    <row r="224" spans="5:9" ht="13.5" customHeight="1" thickBot="1">
      <c r="E224" s="220">
        <v>50</v>
      </c>
      <c r="F224" s="219">
        <v>202</v>
      </c>
      <c r="G224" s="404">
        <v>169</v>
      </c>
      <c r="H224" s="405"/>
      <c r="I224" s="219">
        <v>181</v>
      </c>
    </row>
    <row r="225" spans="5:9" ht="13.5" customHeight="1" thickBot="1">
      <c r="E225" s="220">
        <v>70</v>
      </c>
      <c r="F225" s="219">
        <v>247</v>
      </c>
      <c r="G225" s="404">
        <v>207</v>
      </c>
      <c r="H225" s="405"/>
      <c r="I225" s="219">
        <v>221</v>
      </c>
    </row>
    <row r="226" spans="5:9" ht="13.5" customHeight="1" thickBot="1">
      <c r="E226" s="220">
        <v>95</v>
      </c>
      <c r="F226" s="219">
        <v>296</v>
      </c>
      <c r="G226" s="404">
        <v>249</v>
      </c>
      <c r="H226" s="405"/>
      <c r="I226" s="219">
        <v>264</v>
      </c>
    </row>
    <row r="227" spans="5:9" ht="13.5" customHeight="1" thickBot="1">
      <c r="E227" s="220">
        <v>120</v>
      </c>
      <c r="F227" s="219">
        <v>340</v>
      </c>
      <c r="G227" s="404">
        <v>286</v>
      </c>
      <c r="H227" s="405"/>
      <c r="I227" s="219">
        <v>303</v>
      </c>
    </row>
    <row r="228" spans="5:9" ht="13.5" customHeight="1" thickBot="1">
      <c r="E228" s="220">
        <v>150</v>
      </c>
      <c r="F228" s="219">
        <v>388</v>
      </c>
      <c r="G228" s="404">
        <v>327</v>
      </c>
      <c r="H228" s="405"/>
      <c r="I228" s="219">
        <v>346</v>
      </c>
    </row>
    <row r="229" spans="5:9" ht="13.5" customHeight="1" thickBot="1">
      <c r="E229" s="220">
        <v>185</v>
      </c>
      <c r="F229" s="219">
        <v>440</v>
      </c>
      <c r="G229" s="404">
        <v>371</v>
      </c>
      <c r="H229" s="405"/>
      <c r="I229" s="219">
        <v>392</v>
      </c>
    </row>
    <row r="230" spans="5:9" ht="13.5" customHeight="1" thickBot="1">
      <c r="E230" s="220">
        <v>240</v>
      </c>
      <c r="F230" s="219">
        <v>514</v>
      </c>
      <c r="G230" s="404">
        <v>434</v>
      </c>
      <c r="H230" s="405"/>
      <c r="I230" s="219">
        <v>457</v>
      </c>
    </row>
    <row r="231" spans="5:9" ht="32.25" customHeight="1">
      <c r="E231" s="398" t="s">
        <v>418</v>
      </c>
      <c r="F231" s="399"/>
      <c r="G231" s="399"/>
      <c r="H231" s="399"/>
      <c r="I231" s="400"/>
    </row>
    <row r="232" spans="5:9" ht="27.75" customHeight="1" thickBot="1">
      <c r="E232" s="392" t="s">
        <v>419</v>
      </c>
      <c r="F232" s="393"/>
      <c r="G232" s="393"/>
      <c r="H232" s="393"/>
      <c r="I232" s="394"/>
    </row>
    <row r="233" spans="5:9">
      <c r="E233" s="221"/>
      <c r="F233" s="221"/>
      <c r="G233" s="221"/>
      <c r="H233" s="221"/>
      <c r="I233" s="221"/>
    </row>
    <row r="235" spans="5:9">
      <c r="E235" s="228" t="s">
        <v>420</v>
      </c>
    </row>
    <row r="236" spans="5:9">
      <c r="E236" s="228" t="s">
        <v>400</v>
      </c>
    </row>
    <row r="237" spans="5:9">
      <c r="E237" s="227" t="s">
        <v>401</v>
      </c>
    </row>
    <row r="238" spans="5:9">
      <c r="E238" s="227" t="s">
        <v>402</v>
      </c>
    </row>
    <row r="239" spans="5:9">
      <c r="E239" s="227" t="s">
        <v>421</v>
      </c>
    </row>
    <row r="240" spans="5:9">
      <c r="E240" s="227" t="s">
        <v>422</v>
      </c>
    </row>
    <row r="241" spans="5:8" ht="10.5" thickBot="1">
      <c r="E241" s="227" t="s">
        <v>334</v>
      </c>
    </row>
    <row r="242" spans="5:8" ht="10.5" thickBot="1">
      <c r="E242" s="226" t="s">
        <v>147</v>
      </c>
      <c r="F242" s="404" t="s">
        <v>405</v>
      </c>
      <c r="G242" s="415"/>
      <c r="H242" s="405"/>
    </row>
    <row r="243" spans="5:8" ht="10.5" thickBot="1">
      <c r="E243" s="225" t="s">
        <v>406</v>
      </c>
      <c r="F243" s="408" t="s">
        <v>423</v>
      </c>
      <c r="G243" s="404" t="s">
        <v>408</v>
      </c>
      <c r="H243" s="405"/>
    </row>
    <row r="244" spans="5:8" ht="70.5" thickBot="1">
      <c r="E244" s="225" t="s">
        <v>424</v>
      </c>
      <c r="F244" s="407"/>
      <c r="G244" s="219" t="s">
        <v>411</v>
      </c>
      <c r="H244" s="223" t="s">
        <v>412</v>
      </c>
    </row>
    <row r="245" spans="5:8" ht="10.5" thickBot="1">
      <c r="E245" s="233" t="s">
        <v>415</v>
      </c>
      <c r="F245" s="232">
        <v>1</v>
      </c>
      <c r="G245" s="219">
        <v>2</v>
      </c>
      <c r="H245" s="219">
        <v>3</v>
      </c>
    </row>
    <row r="246" spans="5:8" ht="10.5" thickBot="1">
      <c r="E246" s="409" t="s">
        <v>416</v>
      </c>
      <c r="F246" s="410"/>
      <c r="G246" s="410"/>
      <c r="H246" s="411"/>
    </row>
    <row r="247" spans="5:8" ht="10.5" thickBot="1">
      <c r="E247" s="232" t="s">
        <v>343</v>
      </c>
      <c r="F247" s="223">
        <v>28</v>
      </c>
      <c r="G247" s="223">
        <v>24</v>
      </c>
      <c r="H247" s="223">
        <v>27</v>
      </c>
    </row>
    <row r="248" spans="5:8" ht="10.5" thickBot="1">
      <c r="E248" s="220" t="s">
        <v>348</v>
      </c>
      <c r="F248" s="219">
        <v>38</v>
      </c>
      <c r="G248" s="219">
        <v>33</v>
      </c>
      <c r="H248" s="219">
        <v>36</v>
      </c>
    </row>
    <row r="249" spans="5:8" ht="10.5" thickBot="1">
      <c r="E249" s="220">
        <v>4</v>
      </c>
      <c r="F249" s="219">
        <v>51</v>
      </c>
      <c r="G249" s="219">
        <v>44</v>
      </c>
      <c r="H249" s="219">
        <v>47</v>
      </c>
    </row>
    <row r="250" spans="5:8" ht="10.5" thickBot="1">
      <c r="E250" s="409" t="s">
        <v>417</v>
      </c>
      <c r="F250" s="410"/>
      <c r="G250" s="410"/>
      <c r="H250" s="411"/>
    </row>
    <row r="251" spans="5:8" ht="10.5" thickBot="1">
      <c r="E251" s="220" t="s">
        <v>343</v>
      </c>
      <c r="F251" s="219">
        <v>31</v>
      </c>
      <c r="G251" s="219">
        <v>26</v>
      </c>
      <c r="H251" s="219">
        <v>30</v>
      </c>
    </row>
    <row r="252" spans="5:8" ht="10.5" thickBot="1">
      <c r="E252" s="220" t="s">
        <v>348</v>
      </c>
      <c r="F252" s="219">
        <v>42</v>
      </c>
      <c r="G252" s="219">
        <v>35</v>
      </c>
      <c r="H252" s="219">
        <v>41</v>
      </c>
    </row>
    <row r="253" spans="5:8" ht="10.5" thickBot="1">
      <c r="E253" s="220">
        <v>4</v>
      </c>
      <c r="F253" s="219">
        <v>55</v>
      </c>
      <c r="G253" s="219">
        <v>47</v>
      </c>
      <c r="H253" s="219">
        <v>53</v>
      </c>
    </row>
    <row r="254" spans="5:8" ht="10.5" thickBot="1">
      <c r="E254" s="220">
        <v>6</v>
      </c>
      <c r="F254" s="219">
        <v>70</v>
      </c>
      <c r="G254" s="219">
        <v>59</v>
      </c>
      <c r="H254" s="219">
        <v>67</v>
      </c>
    </row>
    <row r="255" spans="5:8" ht="10.5" thickBot="1">
      <c r="E255" s="220">
        <v>10</v>
      </c>
      <c r="F255" s="219">
        <v>96</v>
      </c>
      <c r="G255" s="219">
        <v>81</v>
      </c>
      <c r="H255" s="219">
        <v>91</v>
      </c>
    </row>
    <row r="256" spans="5:8" ht="10.5" thickBot="1">
      <c r="E256" s="220">
        <v>16</v>
      </c>
      <c r="F256" s="219">
        <v>127</v>
      </c>
      <c r="G256" s="219">
        <v>107</v>
      </c>
      <c r="H256" s="219">
        <v>119</v>
      </c>
    </row>
    <row r="257" spans="5:8" ht="10.5" thickBot="1">
      <c r="E257" s="220">
        <v>25</v>
      </c>
      <c r="F257" s="219">
        <v>166</v>
      </c>
      <c r="G257" s="219">
        <v>140</v>
      </c>
      <c r="H257" s="219">
        <v>154</v>
      </c>
    </row>
    <row r="258" spans="5:8" ht="10.5" thickBot="1">
      <c r="E258" s="220">
        <v>35</v>
      </c>
      <c r="F258" s="219">
        <v>203</v>
      </c>
      <c r="G258" s="219">
        <v>171</v>
      </c>
      <c r="H258" s="219">
        <v>187</v>
      </c>
    </row>
    <row r="259" spans="5:8" ht="10.5" thickBot="1">
      <c r="E259" s="220">
        <v>50</v>
      </c>
      <c r="F259" s="219">
        <v>251</v>
      </c>
      <c r="G259" s="219">
        <v>212</v>
      </c>
      <c r="H259" s="219">
        <v>230</v>
      </c>
    </row>
    <row r="260" spans="5:8" ht="10.5" thickBot="1">
      <c r="E260" s="220">
        <v>70</v>
      </c>
      <c r="F260" s="219">
        <v>307</v>
      </c>
      <c r="G260" s="219">
        <v>260</v>
      </c>
      <c r="H260" s="219">
        <v>280</v>
      </c>
    </row>
    <row r="261" spans="5:8" ht="10.5" thickBot="1">
      <c r="E261" s="220">
        <v>95</v>
      </c>
      <c r="F261" s="219">
        <v>369</v>
      </c>
      <c r="G261" s="219">
        <v>312</v>
      </c>
      <c r="H261" s="219">
        <v>334</v>
      </c>
    </row>
    <row r="262" spans="5:8" ht="10.5" thickBot="1">
      <c r="E262" s="220">
        <v>120</v>
      </c>
      <c r="F262" s="219">
        <v>424</v>
      </c>
      <c r="G262" s="219">
        <v>359</v>
      </c>
      <c r="H262" s="219">
        <v>383</v>
      </c>
    </row>
    <row r="263" spans="5:8" ht="10.5" thickBot="1">
      <c r="E263" s="220">
        <v>150</v>
      </c>
      <c r="F263" s="219">
        <v>485</v>
      </c>
      <c r="G263" s="219">
        <v>410</v>
      </c>
      <c r="H263" s="219">
        <v>435</v>
      </c>
    </row>
    <row r="264" spans="5:8" ht="10.5" thickBot="1">
      <c r="E264" s="220">
        <v>185</v>
      </c>
      <c r="F264" s="219">
        <v>550</v>
      </c>
      <c r="G264" s="219">
        <v>465</v>
      </c>
      <c r="H264" s="219">
        <v>492</v>
      </c>
    </row>
    <row r="265" spans="5:8" ht="10.5" thickBot="1">
      <c r="E265" s="220">
        <v>240</v>
      </c>
      <c r="F265" s="219">
        <v>643</v>
      </c>
      <c r="G265" s="219">
        <v>544</v>
      </c>
      <c r="H265" s="219">
        <v>572</v>
      </c>
    </row>
    <row r="266" spans="5:8" ht="37.5" customHeight="1">
      <c r="E266" s="398" t="s">
        <v>425</v>
      </c>
      <c r="F266" s="399"/>
      <c r="G266" s="399"/>
      <c r="H266" s="400"/>
    </row>
    <row r="267" spans="5:8" ht="24.75" customHeight="1" thickBot="1">
      <c r="E267" s="392" t="s">
        <v>419</v>
      </c>
      <c r="F267" s="393"/>
      <c r="G267" s="393"/>
      <c r="H267" s="394"/>
    </row>
    <row r="268" spans="5:8" ht="24.75" customHeight="1">
      <c r="E268" s="229"/>
      <c r="F268" s="229"/>
      <c r="G268" s="229"/>
      <c r="H268" s="229"/>
    </row>
    <row r="270" spans="5:8">
      <c r="E270" s="228" t="s">
        <v>426</v>
      </c>
    </row>
    <row r="271" spans="5:8">
      <c r="E271" s="228" t="s">
        <v>427</v>
      </c>
    </row>
    <row r="272" spans="5:8">
      <c r="E272" s="227"/>
    </row>
    <row r="273" spans="5:10">
      <c r="E273" s="227" t="s">
        <v>401</v>
      </c>
    </row>
    <row r="274" spans="5:10">
      <c r="E274" s="227" t="s">
        <v>402</v>
      </c>
    </row>
    <row r="275" spans="5:10">
      <c r="E275" s="227" t="s">
        <v>403</v>
      </c>
    </row>
    <row r="276" spans="5:10">
      <c r="E276" s="227" t="s">
        <v>404</v>
      </c>
    </row>
    <row r="277" spans="5:10" ht="10.5" thickBot="1">
      <c r="E277" s="227" t="s">
        <v>334</v>
      </c>
    </row>
    <row r="278" spans="5:10" ht="10.75" customHeight="1" thickBot="1">
      <c r="E278" s="226"/>
      <c r="F278" s="404" t="s">
        <v>405</v>
      </c>
      <c r="G278" s="415"/>
      <c r="H278" s="415"/>
      <c r="I278" s="415"/>
      <c r="J278" s="405"/>
    </row>
    <row r="279" spans="5:10" ht="40">
      <c r="E279" s="225" t="s">
        <v>428</v>
      </c>
      <c r="F279" s="231" t="s">
        <v>429</v>
      </c>
      <c r="G279" s="389" t="s">
        <v>408</v>
      </c>
      <c r="H279" s="390"/>
      <c r="I279" s="390"/>
      <c r="J279" s="391"/>
    </row>
    <row r="280" spans="5:10" ht="30">
      <c r="E280" s="225"/>
      <c r="F280" s="231" t="s">
        <v>430</v>
      </c>
      <c r="G280" s="413"/>
      <c r="H280" s="416"/>
      <c r="I280" s="416"/>
      <c r="J280" s="414"/>
    </row>
    <row r="281" spans="5:10" ht="10.5" thickBot="1">
      <c r="E281" s="225"/>
      <c r="F281" s="231" t="s">
        <v>431</v>
      </c>
      <c r="G281" s="401"/>
      <c r="H281" s="402"/>
      <c r="I281" s="402"/>
      <c r="J281" s="403"/>
    </row>
    <row r="282" spans="5:10" ht="40.5" customHeight="1">
      <c r="E282" s="225"/>
      <c r="F282" s="231" t="s">
        <v>432</v>
      </c>
      <c r="G282" s="408" t="s">
        <v>433</v>
      </c>
      <c r="H282" s="408" t="s">
        <v>434</v>
      </c>
      <c r="I282" s="230" t="s">
        <v>435</v>
      </c>
      <c r="J282" s="408" t="s">
        <v>436</v>
      </c>
    </row>
    <row r="283" spans="5:10" ht="40.5" thickBot="1">
      <c r="E283" s="225"/>
      <c r="F283" s="231"/>
      <c r="G283" s="407"/>
      <c r="H283" s="407"/>
      <c r="I283" s="231" t="s">
        <v>437</v>
      </c>
      <c r="J283" s="407"/>
    </row>
    <row r="284" spans="5:10" ht="10.5" thickBot="1">
      <c r="E284" s="232" t="s">
        <v>438</v>
      </c>
      <c r="F284" s="223" t="s">
        <v>439</v>
      </c>
      <c r="G284" s="223" t="s">
        <v>439</v>
      </c>
      <c r="H284" s="223" t="s">
        <v>106</v>
      </c>
      <c r="I284" s="223" t="s">
        <v>440</v>
      </c>
      <c r="J284" s="223" t="s">
        <v>440</v>
      </c>
    </row>
    <row r="285" spans="5:10" ht="10.5" thickBot="1">
      <c r="E285" s="220" t="s">
        <v>441</v>
      </c>
      <c r="F285" s="219">
        <v>1</v>
      </c>
      <c r="G285" s="219">
        <v>2</v>
      </c>
      <c r="H285" s="219">
        <v>3</v>
      </c>
      <c r="I285" s="219">
        <v>4</v>
      </c>
      <c r="J285" s="219">
        <v>5</v>
      </c>
    </row>
    <row r="286" spans="5:10" ht="11.25" customHeight="1" thickBot="1">
      <c r="E286" s="409" t="s">
        <v>416</v>
      </c>
      <c r="F286" s="410"/>
      <c r="G286" s="410"/>
      <c r="H286" s="410"/>
      <c r="I286" s="410"/>
      <c r="J286" s="411"/>
    </row>
    <row r="287" spans="5:10" ht="10.5" thickBot="1">
      <c r="E287" s="220" t="s">
        <v>343</v>
      </c>
      <c r="F287" s="219">
        <v>25</v>
      </c>
      <c r="G287" s="219">
        <v>21</v>
      </c>
      <c r="H287" s="219">
        <v>23</v>
      </c>
      <c r="I287" s="219">
        <v>26</v>
      </c>
      <c r="J287" s="219">
        <v>29</v>
      </c>
    </row>
    <row r="288" spans="5:10" ht="10.5" thickBot="1">
      <c r="E288" s="220" t="s">
        <v>348</v>
      </c>
      <c r="F288" s="219">
        <v>33</v>
      </c>
      <c r="G288" s="219">
        <v>28</v>
      </c>
      <c r="H288" s="219">
        <v>31</v>
      </c>
      <c r="I288" s="219">
        <v>34</v>
      </c>
      <c r="J288" s="219">
        <v>39</v>
      </c>
    </row>
    <row r="289" spans="5:10" ht="10.5" thickBot="1">
      <c r="E289" s="220">
        <v>4</v>
      </c>
      <c r="F289" s="219">
        <v>44</v>
      </c>
      <c r="G289" s="219">
        <v>37</v>
      </c>
      <c r="H289" s="219">
        <v>41</v>
      </c>
      <c r="I289" s="219">
        <v>45</v>
      </c>
      <c r="J289" s="219">
        <v>51</v>
      </c>
    </row>
    <row r="290" spans="5:10" ht="11.25" customHeight="1" thickBot="1">
      <c r="E290" s="409" t="s">
        <v>417</v>
      </c>
      <c r="F290" s="410"/>
      <c r="G290" s="410"/>
      <c r="H290" s="410"/>
      <c r="I290" s="410"/>
      <c r="J290" s="411"/>
    </row>
    <row r="291" spans="5:10" ht="10.5" thickBot="1">
      <c r="E291" s="220" t="s">
        <v>343</v>
      </c>
      <c r="F291" s="219">
        <v>26</v>
      </c>
      <c r="G291" s="219">
        <v>22</v>
      </c>
      <c r="H291" s="219">
        <v>26</v>
      </c>
      <c r="I291" s="219">
        <v>28</v>
      </c>
      <c r="J291" s="219">
        <v>32</v>
      </c>
    </row>
    <row r="292" spans="5:10" ht="10.5" thickBot="1">
      <c r="E292" s="220" t="s">
        <v>348</v>
      </c>
      <c r="F292" s="219">
        <v>36</v>
      </c>
      <c r="G292" s="219">
        <v>30</v>
      </c>
      <c r="H292" s="219">
        <v>34</v>
      </c>
      <c r="I292" s="219">
        <v>37</v>
      </c>
      <c r="J292" s="219">
        <v>43</v>
      </c>
    </row>
    <row r="293" spans="5:10" ht="10.5" thickBot="1">
      <c r="E293" s="220">
        <v>4</v>
      </c>
      <c r="F293" s="219">
        <v>47</v>
      </c>
      <c r="G293" s="219">
        <v>40</v>
      </c>
      <c r="H293" s="219">
        <v>45</v>
      </c>
      <c r="I293" s="219">
        <v>49</v>
      </c>
      <c r="J293" s="219">
        <v>56</v>
      </c>
    </row>
    <row r="294" spans="5:10" ht="10.5" thickBot="1">
      <c r="E294" s="220">
        <v>6</v>
      </c>
      <c r="F294" s="219">
        <v>60</v>
      </c>
      <c r="G294" s="219">
        <v>51</v>
      </c>
      <c r="H294" s="219">
        <v>57</v>
      </c>
      <c r="I294" s="219">
        <v>62</v>
      </c>
      <c r="J294" s="219">
        <v>71</v>
      </c>
    </row>
    <row r="295" spans="5:10" ht="10.5" thickBot="1">
      <c r="E295" s="220">
        <v>10</v>
      </c>
      <c r="F295" s="219">
        <v>82</v>
      </c>
      <c r="G295" s="219">
        <v>69</v>
      </c>
      <c r="H295" s="219">
        <v>77</v>
      </c>
      <c r="I295" s="219">
        <v>84</v>
      </c>
      <c r="J295" s="219">
        <v>95</v>
      </c>
    </row>
    <row r="296" spans="5:10" ht="10.5" thickBot="1">
      <c r="E296" s="220">
        <v>16</v>
      </c>
      <c r="F296" s="219">
        <v>109</v>
      </c>
      <c r="G296" s="219">
        <v>92</v>
      </c>
      <c r="H296" s="219">
        <v>102</v>
      </c>
      <c r="I296" s="219">
        <v>110</v>
      </c>
      <c r="J296" s="219">
        <v>125</v>
      </c>
    </row>
    <row r="297" spans="5:10" ht="10.5" thickBot="1">
      <c r="E297" s="220">
        <v>25</v>
      </c>
      <c r="F297" s="219">
        <v>142</v>
      </c>
      <c r="G297" s="219">
        <v>120</v>
      </c>
      <c r="H297" s="219">
        <v>132</v>
      </c>
      <c r="I297" s="219">
        <v>142</v>
      </c>
      <c r="J297" s="219">
        <v>162</v>
      </c>
    </row>
    <row r="298" spans="5:10" ht="10.5" thickBot="1">
      <c r="E298" s="220">
        <v>35</v>
      </c>
      <c r="F298" s="219">
        <v>174</v>
      </c>
      <c r="G298" s="219">
        <v>147</v>
      </c>
      <c r="H298" s="219">
        <v>161</v>
      </c>
      <c r="I298" s="219">
        <v>173</v>
      </c>
      <c r="J298" s="219">
        <v>197</v>
      </c>
    </row>
    <row r="299" spans="5:10" ht="10.5" thickBot="1">
      <c r="E299" s="220">
        <v>50</v>
      </c>
      <c r="F299" s="219">
        <v>215</v>
      </c>
      <c r="G299" s="219">
        <v>182</v>
      </c>
      <c r="H299" s="219">
        <v>198</v>
      </c>
      <c r="I299" s="219">
        <v>213</v>
      </c>
      <c r="J299" s="219">
        <v>242</v>
      </c>
    </row>
    <row r="300" spans="5:10" ht="10.5" thickBot="1">
      <c r="E300" s="220">
        <v>70</v>
      </c>
      <c r="F300" s="219">
        <v>264</v>
      </c>
      <c r="G300" s="219">
        <v>223</v>
      </c>
      <c r="H300" s="219">
        <v>241</v>
      </c>
      <c r="I300" s="219">
        <v>259</v>
      </c>
      <c r="J300" s="219">
        <v>294</v>
      </c>
    </row>
    <row r="301" spans="5:10" ht="10.5" thickBot="1">
      <c r="E301" s="220">
        <v>95</v>
      </c>
      <c r="F301" s="219">
        <v>317</v>
      </c>
      <c r="G301" s="219">
        <v>267</v>
      </c>
      <c r="H301" s="219">
        <v>289</v>
      </c>
      <c r="I301" s="219">
        <v>309</v>
      </c>
      <c r="J301" s="219">
        <v>351</v>
      </c>
    </row>
    <row r="302" spans="5:10" ht="10.5" thickBot="1">
      <c r="E302" s="220">
        <v>120</v>
      </c>
      <c r="F302" s="219">
        <v>364</v>
      </c>
      <c r="G302" s="219">
        <v>308</v>
      </c>
      <c r="H302" s="219">
        <v>331</v>
      </c>
      <c r="I302" s="219">
        <v>353</v>
      </c>
      <c r="J302" s="219">
        <v>402</v>
      </c>
    </row>
    <row r="303" spans="5:10" ht="10.5" thickBot="1">
      <c r="E303" s="220">
        <v>150</v>
      </c>
      <c r="F303" s="219">
        <v>416</v>
      </c>
      <c r="G303" s="219">
        <v>352</v>
      </c>
      <c r="H303" s="219">
        <v>377</v>
      </c>
      <c r="I303" s="219">
        <v>400</v>
      </c>
      <c r="J303" s="219">
        <v>454</v>
      </c>
    </row>
    <row r="304" spans="5:10" ht="10.5" thickBot="1">
      <c r="E304" s="220">
        <v>185</v>
      </c>
      <c r="F304" s="219">
        <v>462</v>
      </c>
      <c r="G304" s="219">
        <v>399</v>
      </c>
      <c r="H304" s="219">
        <v>426</v>
      </c>
      <c r="I304" s="219">
        <v>448</v>
      </c>
      <c r="J304" s="219">
        <v>507</v>
      </c>
    </row>
    <row r="305" spans="5:10" ht="10.5" thickBot="1">
      <c r="E305" s="220">
        <v>240</v>
      </c>
      <c r="F305" s="219">
        <v>552</v>
      </c>
      <c r="G305" s="219">
        <v>466</v>
      </c>
      <c r="H305" s="219">
        <v>496</v>
      </c>
      <c r="I305" s="219">
        <v>497</v>
      </c>
      <c r="J305" s="219">
        <v>565</v>
      </c>
    </row>
    <row r="306" spans="5:10" ht="10.75" customHeight="1">
      <c r="E306" s="398" t="s">
        <v>418</v>
      </c>
      <c r="F306" s="399"/>
      <c r="G306" s="399"/>
      <c r="H306" s="399"/>
      <c r="I306" s="399"/>
      <c r="J306" s="400"/>
    </row>
    <row r="307" spans="5:10" ht="10.75" customHeight="1">
      <c r="E307" s="395" t="s">
        <v>442</v>
      </c>
      <c r="F307" s="396"/>
      <c r="G307" s="396"/>
      <c r="H307" s="396"/>
      <c r="I307" s="396"/>
      <c r="J307" s="397"/>
    </row>
    <row r="308" spans="5:10" ht="10.75" customHeight="1">
      <c r="E308" s="395" t="s">
        <v>443</v>
      </c>
      <c r="F308" s="396"/>
      <c r="G308" s="396"/>
      <c r="H308" s="396"/>
      <c r="I308" s="396"/>
      <c r="J308" s="397"/>
    </row>
    <row r="309" spans="5:10" ht="11.25" customHeight="1" thickBot="1">
      <c r="E309" s="392" t="s">
        <v>444</v>
      </c>
      <c r="F309" s="393"/>
      <c r="G309" s="393"/>
      <c r="H309" s="393"/>
      <c r="I309" s="393"/>
      <c r="J309" s="394"/>
    </row>
    <row r="310" spans="5:10">
      <c r="E310" s="229"/>
      <c r="F310" s="229"/>
      <c r="G310" s="229"/>
      <c r="H310" s="229"/>
      <c r="I310" s="229"/>
      <c r="J310" s="229"/>
    </row>
    <row r="312" spans="5:10">
      <c r="E312" s="228" t="s">
        <v>445</v>
      </c>
    </row>
    <row r="313" spans="5:10">
      <c r="E313" s="228" t="s">
        <v>427</v>
      </c>
    </row>
    <row r="314" spans="5:10">
      <c r="E314" s="227"/>
    </row>
    <row r="315" spans="5:10">
      <c r="E315" s="227" t="s">
        <v>401</v>
      </c>
    </row>
    <row r="316" spans="5:10">
      <c r="E316" s="227" t="s">
        <v>402</v>
      </c>
    </row>
    <row r="317" spans="5:10">
      <c r="E317" s="227" t="s">
        <v>421</v>
      </c>
    </row>
    <row r="318" spans="5:10">
      <c r="E318" s="227" t="s">
        <v>422</v>
      </c>
    </row>
    <row r="319" spans="5:10">
      <c r="E319" s="227" t="s">
        <v>334</v>
      </c>
    </row>
    <row r="320" spans="5:10" ht="10.5" thickBot="1">
      <c r="E320" s="228"/>
    </row>
    <row r="321" spans="5:10" ht="10.5" customHeight="1">
      <c r="E321" s="226"/>
      <c r="F321" s="389" t="s">
        <v>405</v>
      </c>
      <c r="G321" s="390"/>
      <c r="H321" s="390"/>
      <c r="I321" s="390"/>
      <c r="J321" s="391"/>
    </row>
    <row r="322" spans="5:10">
      <c r="E322" s="225" t="s">
        <v>147</v>
      </c>
      <c r="F322" s="413"/>
      <c r="G322" s="416"/>
      <c r="H322" s="416"/>
      <c r="I322" s="416"/>
      <c r="J322" s="414"/>
    </row>
    <row r="323" spans="5:10">
      <c r="E323" s="225" t="s">
        <v>406</v>
      </c>
      <c r="F323" s="413"/>
      <c r="G323" s="416"/>
      <c r="H323" s="416"/>
      <c r="I323" s="416"/>
      <c r="J323" s="414"/>
    </row>
    <row r="324" spans="5:10" ht="10.5" thickBot="1">
      <c r="E324" s="225" t="s">
        <v>409</v>
      </c>
      <c r="F324" s="401"/>
      <c r="G324" s="402"/>
      <c r="H324" s="402"/>
      <c r="I324" s="402"/>
      <c r="J324" s="403"/>
    </row>
    <row r="325" spans="5:10" ht="10.5" customHeight="1">
      <c r="E325" s="225" t="s">
        <v>446</v>
      </c>
      <c r="F325" s="231" t="s">
        <v>429</v>
      </c>
      <c r="G325" s="389" t="s">
        <v>408</v>
      </c>
      <c r="H325" s="390"/>
      <c r="I325" s="390"/>
      <c r="J325" s="391"/>
    </row>
    <row r="326" spans="5:10">
      <c r="E326" s="225" t="s">
        <v>338</v>
      </c>
      <c r="F326" s="231" t="s">
        <v>447</v>
      </c>
      <c r="G326" s="413"/>
      <c r="H326" s="416"/>
      <c r="I326" s="416"/>
      <c r="J326" s="414"/>
    </row>
    <row r="327" spans="5:10" ht="20">
      <c r="E327" s="225"/>
      <c r="F327" s="231" t="s">
        <v>410</v>
      </c>
      <c r="G327" s="413"/>
      <c r="H327" s="416"/>
      <c r="I327" s="416"/>
      <c r="J327" s="414"/>
    </row>
    <row r="328" spans="5:10" ht="10.5" thickBot="1">
      <c r="E328" s="225"/>
      <c r="F328" s="231" t="s">
        <v>431</v>
      </c>
      <c r="G328" s="401"/>
      <c r="H328" s="402"/>
      <c r="I328" s="402"/>
      <c r="J328" s="403"/>
    </row>
    <row r="329" spans="5:10" ht="32.25" customHeight="1">
      <c r="E329" s="225"/>
      <c r="F329" s="231" t="s">
        <v>432</v>
      </c>
      <c r="G329" s="408" t="s">
        <v>433</v>
      </c>
      <c r="H329" s="408" t="s">
        <v>434</v>
      </c>
      <c r="I329" s="230" t="s">
        <v>435</v>
      </c>
      <c r="J329" s="408" t="s">
        <v>436</v>
      </c>
    </row>
    <row r="330" spans="5:10" ht="40.5" thickBot="1">
      <c r="E330" s="225"/>
      <c r="F330" s="231"/>
      <c r="G330" s="407"/>
      <c r="H330" s="407"/>
      <c r="I330" s="231" t="s">
        <v>448</v>
      </c>
      <c r="J330" s="407"/>
    </row>
    <row r="331" spans="5:10" ht="10.5" thickBot="1">
      <c r="E331" s="232" t="s">
        <v>438</v>
      </c>
      <c r="F331" s="223" t="s">
        <v>439</v>
      </c>
      <c r="G331" s="223" t="s">
        <v>439</v>
      </c>
      <c r="H331" s="223" t="s">
        <v>106</v>
      </c>
      <c r="I331" s="223" t="s">
        <v>440</v>
      </c>
      <c r="J331" s="223" t="s">
        <v>440</v>
      </c>
    </row>
    <row r="332" spans="5:10" ht="10.5" thickBot="1">
      <c r="E332" s="220" t="s">
        <v>441</v>
      </c>
      <c r="F332" s="219">
        <v>1</v>
      </c>
      <c r="G332" s="219">
        <v>2</v>
      </c>
      <c r="H332" s="219">
        <v>3</v>
      </c>
      <c r="I332" s="219">
        <v>4</v>
      </c>
      <c r="J332" s="219">
        <v>5</v>
      </c>
    </row>
    <row r="333" spans="5:10" ht="11.25" customHeight="1" thickBot="1">
      <c r="E333" s="409" t="s">
        <v>416</v>
      </c>
      <c r="F333" s="410"/>
      <c r="G333" s="410"/>
      <c r="H333" s="410"/>
      <c r="I333" s="410"/>
      <c r="J333" s="411"/>
    </row>
    <row r="334" spans="5:10" ht="10.5" thickBot="1">
      <c r="E334" s="220" t="s">
        <v>343</v>
      </c>
      <c r="F334" s="219">
        <v>25</v>
      </c>
      <c r="G334" s="219">
        <v>21</v>
      </c>
      <c r="H334" s="219">
        <v>23</v>
      </c>
      <c r="I334" s="219">
        <v>26</v>
      </c>
      <c r="J334" s="219">
        <v>29</v>
      </c>
    </row>
    <row r="335" spans="5:10" ht="10.5" thickBot="1">
      <c r="E335" s="220" t="s">
        <v>348</v>
      </c>
      <c r="F335" s="219">
        <v>33</v>
      </c>
      <c r="G335" s="219">
        <v>28</v>
      </c>
      <c r="H335" s="219">
        <v>31</v>
      </c>
      <c r="I335" s="219">
        <v>34</v>
      </c>
      <c r="J335" s="219">
        <v>39</v>
      </c>
    </row>
    <row r="336" spans="5:10" ht="10.5" thickBot="1">
      <c r="E336" s="220">
        <v>4</v>
      </c>
      <c r="F336" s="219">
        <v>44</v>
      </c>
      <c r="G336" s="219">
        <v>37</v>
      </c>
      <c r="H336" s="219">
        <v>41</v>
      </c>
      <c r="I336" s="219">
        <v>45</v>
      </c>
      <c r="J336" s="219">
        <v>51</v>
      </c>
    </row>
    <row r="337" spans="5:10" ht="11.25" customHeight="1" thickBot="1">
      <c r="E337" s="409" t="s">
        <v>417</v>
      </c>
      <c r="F337" s="410"/>
      <c r="G337" s="410"/>
      <c r="H337" s="410"/>
      <c r="I337" s="410"/>
      <c r="J337" s="411"/>
    </row>
    <row r="338" spans="5:10" ht="10.5" thickBot="1">
      <c r="E338" s="220" t="s">
        <v>343</v>
      </c>
      <c r="F338" s="219">
        <v>26</v>
      </c>
      <c r="G338" s="219">
        <v>22</v>
      </c>
      <c r="H338" s="219">
        <v>26</v>
      </c>
      <c r="I338" s="219">
        <v>28</v>
      </c>
      <c r="J338" s="219">
        <v>32</v>
      </c>
    </row>
    <row r="339" spans="5:10" ht="10.5" thickBot="1">
      <c r="E339" s="220" t="s">
        <v>348</v>
      </c>
      <c r="F339" s="219">
        <v>36</v>
      </c>
      <c r="G339" s="219">
        <v>30</v>
      </c>
      <c r="H339" s="219">
        <v>34</v>
      </c>
      <c r="I339" s="219">
        <v>37</v>
      </c>
      <c r="J339" s="219">
        <v>43</v>
      </c>
    </row>
    <row r="340" spans="5:10" ht="10.5" thickBot="1">
      <c r="E340" s="220">
        <v>4</v>
      </c>
      <c r="F340" s="219">
        <v>47</v>
      </c>
      <c r="G340" s="219">
        <v>40</v>
      </c>
      <c r="H340" s="219">
        <v>45</v>
      </c>
      <c r="I340" s="219">
        <v>49</v>
      </c>
      <c r="J340" s="219">
        <v>56</v>
      </c>
    </row>
    <row r="341" spans="5:10" ht="10.5" thickBot="1">
      <c r="E341" s="220">
        <v>6</v>
      </c>
      <c r="F341" s="219">
        <v>60</v>
      </c>
      <c r="G341" s="219">
        <v>51</v>
      </c>
      <c r="H341" s="219">
        <v>57</v>
      </c>
      <c r="I341" s="219">
        <v>62</v>
      </c>
      <c r="J341" s="219">
        <v>71</v>
      </c>
    </row>
    <row r="342" spans="5:10" ht="10.5" thickBot="1">
      <c r="E342" s="220">
        <v>10</v>
      </c>
      <c r="F342" s="219">
        <v>82</v>
      </c>
      <c r="G342" s="219">
        <v>69</v>
      </c>
      <c r="H342" s="219">
        <v>77</v>
      </c>
      <c r="I342" s="219">
        <v>84</v>
      </c>
      <c r="J342" s="219">
        <v>95</v>
      </c>
    </row>
    <row r="343" spans="5:10" ht="10.5" thickBot="1">
      <c r="E343" s="220">
        <v>16</v>
      </c>
      <c r="F343" s="219">
        <v>109</v>
      </c>
      <c r="G343" s="219">
        <v>92</v>
      </c>
      <c r="H343" s="219">
        <v>102</v>
      </c>
      <c r="I343" s="219">
        <v>110</v>
      </c>
      <c r="J343" s="219">
        <v>125</v>
      </c>
    </row>
    <row r="344" spans="5:10" ht="10.5" thickBot="1">
      <c r="E344" s="220">
        <v>25</v>
      </c>
      <c r="F344" s="219">
        <v>142</v>
      </c>
      <c r="G344" s="219">
        <v>120</v>
      </c>
      <c r="H344" s="219">
        <v>132</v>
      </c>
      <c r="I344" s="219">
        <v>142</v>
      </c>
      <c r="J344" s="219">
        <v>162</v>
      </c>
    </row>
    <row r="345" spans="5:10" ht="10.5" thickBot="1">
      <c r="E345" s="220">
        <v>35</v>
      </c>
      <c r="F345" s="219">
        <v>174</v>
      </c>
      <c r="G345" s="219">
        <v>147</v>
      </c>
      <c r="H345" s="219">
        <v>161</v>
      </c>
      <c r="I345" s="219">
        <v>173</v>
      </c>
      <c r="J345" s="219">
        <v>197</v>
      </c>
    </row>
    <row r="346" spans="5:10" ht="10.5" thickBot="1">
      <c r="E346" s="220">
        <v>50</v>
      </c>
      <c r="F346" s="219">
        <v>215</v>
      </c>
      <c r="G346" s="219">
        <v>182</v>
      </c>
      <c r="H346" s="219">
        <v>198</v>
      </c>
      <c r="I346" s="219">
        <v>213</v>
      </c>
      <c r="J346" s="219">
        <v>242</v>
      </c>
    </row>
    <row r="347" spans="5:10" ht="10.5" thickBot="1">
      <c r="E347" s="220">
        <v>70</v>
      </c>
      <c r="F347" s="219">
        <v>264</v>
      </c>
      <c r="G347" s="219">
        <v>223</v>
      </c>
      <c r="H347" s="219">
        <v>241</v>
      </c>
      <c r="I347" s="219">
        <v>259</v>
      </c>
      <c r="J347" s="219">
        <v>294</v>
      </c>
    </row>
    <row r="348" spans="5:10" ht="10.5" thickBot="1">
      <c r="E348" s="220">
        <v>95</v>
      </c>
      <c r="F348" s="219">
        <v>317</v>
      </c>
      <c r="G348" s="219">
        <v>267</v>
      </c>
      <c r="H348" s="219">
        <v>289</v>
      </c>
      <c r="I348" s="219">
        <v>309</v>
      </c>
      <c r="J348" s="219">
        <v>351</v>
      </c>
    </row>
    <row r="349" spans="5:10" ht="10.5" thickBot="1">
      <c r="E349" s="220">
        <v>120</v>
      </c>
      <c r="F349" s="219">
        <v>364</v>
      </c>
      <c r="G349" s="219">
        <v>308</v>
      </c>
      <c r="H349" s="219">
        <v>331</v>
      </c>
      <c r="I349" s="219">
        <v>353</v>
      </c>
      <c r="J349" s="219">
        <v>402</v>
      </c>
    </row>
    <row r="350" spans="5:10" ht="10.5" thickBot="1">
      <c r="E350" s="220">
        <v>150</v>
      </c>
      <c r="F350" s="219">
        <v>416</v>
      </c>
      <c r="G350" s="219">
        <v>352</v>
      </c>
      <c r="H350" s="219">
        <v>377</v>
      </c>
      <c r="I350" s="219">
        <v>400</v>
      </c>
      <c r="J350" s="219">
        <v>454</v>
      </c>
    </row>
    <row r="351" spans="5:10" ht="10.5" thickBot="1">
      <c r="E351" s="220">
        <v>185</v>
      </c>
      <c r="F351" s="219">
        <v>462</v>
      </c>
      <c r="G351" s="219">
        <v>399</v>
      </c>
      <c r="H351" s="219">
        <v>426</v>
      </c>
      <c r="I351" s="219">
        <v>448</v>
      </c>
      <c r="J351" s="219">
        <v>507</v>
      </c>
    </row>
    <row r="352" spans="5:10" ht="10.5" thickBot="1">
      <c r="E352" s="220">
        <v>240</v>
      </c>
      <c r="F352" s="219">
        <v>552</v>
      </c>
      <c r="G352" s="219">
        <v>466</v>
      </c>
      <c r="H352" s="219">
        <v>496</v>
      </c>
      <c r="I352" s="219">
        <v>497</v>
      </c>
      <c r="J352" s="219">
        <v>565</v>
      </c>
    </row>
    <row r="353" spans="5:12" ht="10.75" customHeight="1">
      <c r="E353" s="398" t="s">
        <v>418</v>
      </c>
      <c r="F353" s="399"/>
      <c r="G353" s="399"/>
      <c r="H353" s="399"/>
      <c r="I353" s="399"/>
      <c r="J353" s="400"/>
    </row>
    <row r="354" spans="5:12" ht="24" customHeight="1">
      <c r="E354" s="395" t="s">
        <v>419</v>
      </c>
      <c r="F354" s="396"/>
      <c r="G354" s="396"/>
      <c r="H354" s="396"/>
      <c r="I354" s="396"/>
      <c r="J354" s="397"/>
    </row>
    <row r="355" spans="5:12" ht="23.25" customHeight="1" thickBot="1">
      <c r="E355" s="392" t="s">
        <v>444</v>
      </c>
      <c r="F355" s="393"/>
      <c r="G355" s="393"/>
      <c r="H355" s="393"/>
      <c r="I355" s="393"/>
      <c r="J355" s="394"/>
    </row>
    <row r="356" spans="5:12" ht="23.25" customHeight="1">
      <c r="E356" s="229"/>
      <c r="F356" s="229"/>
      <c r="G356" s="229"/>
      <c r="H356" s="229"/>
      <c r="I356" s="229"/>
      <c r="J356" s="229"/>
    </row>
    <row r="358" spans="5:12">
      <c r="E358" s="228" t="s">
        <v>449</v>
      </c>
    </row>
    <row r="359" spans="5:12">
      <c r="E359" s="228" t="s">
        <v>427</v>
      </c>
    </row>
    <row r="360" spans="5:12">
      <c r="E360" s="227" t="s">
        <v>329</v>
      </c>
    </row>
    <row r="361" spans="5:12">
      <c r="E361" s="227" t="s">
        <v>450</v>
      </c>
    </row>
    <row r="362" spans="5:12">
      <c r="E362" s="227" t="s">
        <v>333</v>
      </c>
    </row>
    <row r="363" spans="5:12" ht="10.5" thickBot="1">
      <c r="E363" s="227" t="s">
        <v>334</v>
      </c>
    </row>
    <row r="364" spans="5:12" ht="10.5" customHeight="1">
      <c r="E364" s="226"/>
      <c r="F364" s="389" t="s">
        <v>451</v>
      </c>
      <c r="G364" s="391"/>
      <c r="H364" s="389" t="s">
        <v>452</v>
      </c>
      <c r="I364" s="390"/>
      <c r="J364" s="390"/>
      <c r="K364" s="390"/>
      <c r="L364" s="391"/>
    </row>
    <row r="365" spans="5:12" ht="10.5" thickBot="1">
      <c r="E365" s="225" t="s">
        <v>147</v>
      </c>
      <c r="F365" s="401"/>
      <c r="G365" s="403"/>
      <c r="H365" s="401"/>
      <c r="I365" s="402"/>
      <c r="J365" s="402"/>
      <c r="K365" s="402"/>
      <c r="L365" s="403"/>
    </row>
    <row r="366" spans="5:12" ht="20">
      <c r="E366" s="225" t="s">
        <v>453</v>
      </c>
      <c r="F366" s="231"/>
      <c r="G366" s="230"/>
      <c r="H366" s="231"/>
      <c r="I366" s="231" t="s">
        <v>454</v>
      </c>
      <c r="J366" s="389" t="s">
        <v>408</v>
      </c>
      <c r="K366" s="390"/>
      <c r="L366" s="391"/>
    </row>
    <row r="367" spans="5:12" ht="20.5" thickBot="1">
      <c r="E367" s="225" t="s">
        <v>446</v>
      </c>
      <c r="F367" s="231" t="s">
        <v>455</v>
      </c>
      <c r="G367" s="231" t="s">
        <v>454</v>
      </c>
      <c r="H367" s="231" t="s">
        <v>456</v>
      </c>
      <c r="I367" s="231" t="s">
        <v>457</v>
      </c>
      <c r="J367" s="401" t="s">
        <v>458</v>
      </c>
      <c r="K367" s="402"/>
      <c r="L367" s="403"/>
    </row>
    <row r="368" spans="5:12" ht="20.5" thickBot="1">
      <c r="E368" s="225" t="s">
        <v>338</v>
      </c>
      <c r="F368" s="231" t="s">
        <v>457</v>
      </c>
      <c r="G368" s="231" t="s">
        <v>457</v>
      </c>
      <c r="H368" s="231" t="s">
        <v>457</v>
      </c>
      <c r="I368" s="231" t="s">
        <v>459</v>
      </c>
      <c r="J368" s="231" t="s">
        <v>460</v>
      </c>
      <c r="K368" s="404" t="s">
        <v>461</v>
      </c>
      <c r="L368" s="405"/>
    </row>
    <row r="369" spans="5:12">
      <c r="E369" s="225"/>
      <c r="F369" s="231" t="s">
        <v>462</v>
      </c>
      <c r="G369" s="231" t="s">
        <v>462</v>
      </c>
      <c r="H369" s="231" t="s">
        <v>409</v>
      </c>
      <c r="I369" s="231"/>
      <c r="J369" s="406" t="s">
        <v>463</v>
      </c>
      <c r="K369" s="408" t="s">
        <v>464</v>
      </c>
      <c r="L369" s="230"/>
    </row>
    <row r="370" spans="5:12" ht="10.5" thickBot="1">
      <c r="E370" s="220"/>
      <c r="F370" s="219"/>
      <c r="G370" s="219"/>
      <c r="H370" s="219"/>
      <c r="I370" s="219"/>
      <c r="J370" s="407"/>
      <c r="K370" s="407"/>
      <c r="L370" s="219" t="s">
        <v>465</v>
      </c>
    </row>
    <row r="371" spans="5:12" ht="10.5" thickBot="1">
      <c r="E371" s="220" t="s">
        <v>438</v>
      </c>
      <c r="F371" s="219" t="s">
        <v>466</v>
      </c>
      <c r="G371" s="219" t="s">
        <v>466</v>
      </c>
      <c r="H371" s="219" t="s">
        <v>106</v>
      </c>
      <c r="I371" s="219" t="s">
        <v>106</v>
      </c>
      <c r="J371" s="219" t="s">
        <v>106</v>
      </c>
      <c r="K371" s="219" t="s">
        <v>440</v>
      </c>
      <c r="L371" s="219" t="s">
        <v>440</v>
      </c>
    </row>
    <row r="372" spans="5:12" ht="10.5" thickBot="1">
      <c r="E372" s="220" t="s">
        <v>441</v>
      </c>
      <c r="F372" s="219">
        <v>1</v>
      </c>
      <c r="G372" s="219">
        <v>2</v>
      </c>
      <c r="H372" s="219">
        <v>3</v>
      </c>
      <c r="I372" s="219">
        <v>4</v>
      </c>
      <c r="J372" s="219">
        <v>5</v>
      </c>
      <c r="K372" s="219">
        <v>6</v>
      </c>
      <c r="L372" s="219">
        <v>7</v>
      </c>
    </row>
    <row r="373" spans="5:12" ht="10.5" thickBot="1">
      <c r="E373" s="220" t="s">
        <v>343</v>
      </c>
      <c r="F373" s="219">
        <v>22</v>
      </c>
      <c r="G373" s="219" t="s">
        <v>467</v>
      </c>
      <c r="H373" s="219" t="s">
        <v>190</v>
      </c>
      <c r="I373" s="219" t="s">
        <v>190</v>
      </c>
      <c r="J373" s="219" t="s">
        <v>190</v>
      </c>
      <c r="K373" s="219" t="s">
        <v>190</v>
      </c>
      <c r="L373" s="219" t="s">
        <v>190</v>
      </c>
    </row>
    <row r="374" spans="5:12" ht="10.5" thickBot="1">
      <c r="E374" s="220" t="s">
        <v>348</v>
      </c>
      <c r="F374" s="219">
        <v>30</v>
      </c>
      <c r="G374" s="219">
        <v>25</v>
      </c>
      <c r="H374" s="219" t="s">
        <v>190</v>
      </c>
      <c r="I374" s="219" t="s">
        <v>190</v>
      </c>
      <c r="J374" s="219" t="s">
        <v>190</v>
      </c>
      <c r="K374" s="219" t="s">
        <v>190</v>
      </c>
      <c r="L374" s="219" t="s">
        <v>190</v>
      </c>
    </row>
    <row r="375" spans="5:12" ht="10.5" thickBot="1">
      <c r="E375" s="220">
        <v>4</v>
      </c>
      <c r="F375" s="219">
        <v>40</v>
      </c>
      <c r="G375" s="219">
        <v>34</v>
      </c>
      <c r="H375" s="219" t="s">
        <v>190</v>
      </c>
      <c r="I375" s="219" t="s">
        <v>190</v>
      </c>
      <c r="J375" s="219" t="s">
        <v>190</v>
      </c>
      <c r="K375" s="219" t="s">
        <v>190</v>
      </c>
      <c r="L375" s="219" t="s">
        <v>190</v>
      </c>
    </row>
    <row r="376" spans="5:12" ht="10.5" thickBot="1">
      <c r="E376" s="220">
        <v>6</v>
      </c>
      <c r="F376" s="219">
        <v>51</v>
      </c>
      <c r="G376" s="219">
        <v>43</v>
      </c>
      <c r="H376" s="219" t="s">
        <v>190</v>
      </c>
      <c r="I376" s="219" t="s">
        <v>190</v>
      </c>
      <c r="J376" s="219" t="s">
        <v>190</v>
      </c>
      <c r="K376" s="219" t="s">
        <v>190</v>
      </c>
      <c r="L376" s="219" t="s">
        <v>190</v>
      </c>
    </row>
    <row r="377" spans="5:12" ht="10.5" thickBot="1">
      <c r="E377" s="220">
        <v>10</v>
      </c>
      <c r="F377" s="219">
        <v>70</v>
      </c>
      <c r="G377" s="219">
        <v>60</v>
      </c>
      <c r="H377" s="219" t="s">
        <v>190</v>
      </c>
      <c r="I377" s="219" t="s">
        <v>190</v>
      </c>
      <c r="J377" s="219" t="s">
        <v>190</v>
      </c>
      <c r="K377" s="219" t="s">
        <v>190</v>
      </c>
      <c r="L377" s="219" t="s">
        <v>190</v>
      </c>
    </row>
    <row r="378" spans="5:12" ht="10.5" thickBot="1">
      <c r="E378" s="220">
        <v>16</v>
      </c>
      <c r="F378" s="219">
        <v>94</v>
      </c>
      <c r="G378" s="219">
        <v>80</v>
      </c>
      <c r="H378" s="219" t="s">
        <v>190</v>
      </c>
      <c r="I378" s="219" t="s">
        <v>190</v>
      </c>
      <c r="J378" s="219" t="s">
        <v>190</v>
      </c>
      <c r="K378" s="219" t="s">
        <v>190</v>
      </c>
      <c r="L378" s="219" t="s">
        <v>190</v>
      </c>
    </row>
    <row r="379" spans="5:12" ht="10.5" thickBot="1">
      <c r="E379" s="220">
        <v>25</v>
      </c>
      <c r="F379" s="219">
        <v>119</v>
      </c>
      <c r="G379" s="219">
        <v>101</v>
      </c>
      <c r="H379" s="219">
        <v>131</v>
      </c>
      <c r="I379" s="219">
        <v>110</v>
      </c>
      <c r="J379" s="219">
        <v>114</v>
      </c>
      <c r="K379" s="219">
        <v>146</v>
      </c>
      <c r="L379" s="219">
        <v>130</v>
      </c>
    </row>
    <row r="380" spans="5:12" ht="10.5" thickBot="1">
      <c r="E380" s="220">
        <v>35</v>
      </c>
      <c r="F380" s="219">
        <v>148</v>
      </c>
      <c r="G380" s="219">
        <v>126</v>
      </c>
      <c r="H380" s="219">
        <v>162</v>
      </c>
      <c r="I380" s="219">
        <v>137</v>
      </c>
      <c r="J380" s="219">
        <v>143</v>
      </c>
      <c r="K380" s="219">
        <v>181</v>
      </c>
      <c r="L380" s="219">
        <v>162</v>
      </c>
    </row>
    <row r="381" spans="5:12" ht="10.5" thickBot="1">
      <c r="E381" s="220">
        <v>50</v>
      </c>
      <c r="F381" s="219">
        <v>180</v>
      </c>
      <c r="G381" s="219">
        <v>153</v>
      </c>
      <c r="H381" s="219">
        <v>196</v>
      </c>
      <c r="I381" s="219">
        <v>167</v>
      </c>
      <c r="J381" s="219">
        <v>174</v>
      </c>
      <c r="K381" s="219">
        <v>219</v>
      </c>
      <c r="L381" s="219">
        <v>197</v>
      </c>
    </row>
    <row r="382" spans="5:12" ht="10.5" thickBot="1">
      <c r="E382" s="220">
        <v>70</v>
      </c>
      <c r="F382" s="219">
        <v>232</v>
      </c>
      <c r="G382" s="219">
        <v>196</v>
      </c>
      <c r="H382" s="219">
        <v>251</v>
      </c>
      <c r="I382" s="219">
        <v>216</v>
      </c>
      <c r="J382" s="219">
        <v>225</v>
      </c>
      <c r="K382" s="219">
        <v>281</v>
      </c>
      <c r="L382" s="219">
        <v>254</v>
      </c>
    </row>
    <row r="383" spans="5:12" ht="10.5" thickBot="1">
      <c r="E383" s="220">
        <v>95</v>
      </c>
      <c r="F383" s="219">
        <v>282</v>
      </c>
      <c r="G383" s="219">
        <v>238</v>
      </c>
      <c r="H383" s="219">
        <v>304</v>
      </c>
      <c r="I383" s="219">
        <v>264</v>
      </c>
      <c r="J383" s="219">
        <v>275</v>
      </c>
      <c r="K383" s="219">
        <v>341</v>
      </c>
      <c r="L383" s="219">
        <v>311</v>
      </c>
    </row>
    <row r="384" spans="5:12" ht="10.5" thickBot="1">
      <c r="E384" s="220">
        <v>120</v>
      </c>
      <c r="F384" s="219">
        <v>328</v>
      </c>
      <c r="G384" s="219">
        <v>276</v>
      </c>
      <c r="H384" s="219">
        <v>352</v>
      </c>
      <c r="I384" s="219">
        <v>308</v>
      </c>
      <c r="J384" s="219">
        <v>321</v>
      </c>
      <c r="K384" s="219">
        <v>396</v>
      </c>
      <c r="L384" s="219">
        <v>362</v>
      </c>
    </row>
    <row r="385" spans="5:12" ht="10.5" thickBot="1">
      <c r="E385" s="220">
        <v>150</v>
      </c>
      <c r="F385" s="219">
        <v>379</v>
      </c>
      <c r="G385" s="219">
        <v>319</v>
      </c>
      <c r="H385" s="219">
        <v>406</v>
      </c>
      <c r="I385" s="219">
        <v>356</v>
      </c>
      <c r="J385" s="219">
        <v>372</v>
      </c>
      <c r="K385" s="219">
        <v>456</v>
      </c>
      <c r="L385" s="219">
        <v>419</v>
      </c>
    </row>
    <row r="386" spans="5:12" ht="10.5" thickBot="1">
      <c r="E386" s="220">
        <v>185</v>
      </c>
      <c r="F386" s="219">
        <v>434</v>
      </c>
      <c r="G386" s="219">
        <v>364</v>
      </c>
      <c r="H386" s="219">
        <v>463</v>
      </c>
      <c r="I386" s="219">
        <v>409</v>
      </c>
      <c r="J386" s="219">
        <v>427</v>
      </c>
      <c r="K386" s="219">
        <v>521</v>
      </c>
      <c r="L386" s="219">
        <v>480</v>
      </c>
    </row>
    <row r="387" spans="5:12" ht="10.5" thickBot="1">
      <c r="E387" s="220">
        <v>240</v>
      </c>
      <c r="F387" s="219">
        <v>514</v>
      </c>
      <c r="G387" s="219">
        <v>430</v>
      </c>
      <c r="H387" s="219">
        <v>546</v>
      </c>
      <c r="I387" s="219">
        <v>485</v>
      </c>
      <c r="J387" s="219">
        <v>507</v>
      </c>
      <c r="K387" s="219">
        <v>615</v>
      </c>
      <c r="L387" s="219">
        <v>569</v>
      </c>
    </row>
    <row r="388" spans="5:12" ht="10.5" thickBot="1">
      <c r="E388" s="220">
        <v>300</v>
      </c>
      <c r="F388" s="219">
        <v>593</v>
      </c>
      <c r="G388" s="219">
        <v>497</v>
      </c>
      <c r="H388" s="219">
        <v>629</v>
      </c>
      <c r="I388" s="219">
        <v>561</v>
      </c>
      <c r="J388" s="219">
        <v>587</v>
      </c>
      <c r="K388" s="219">
        <v>709</v>
      </c>
      <c r="L388" s="219">
        <v>659</v>
      </c>
    </row>
    <row r="389" spans="5:12" ht="10.5" thickBot="1">
      <c r="E389" s="220">
        <v>400</v>
      </c>
      <c r="F389" s="219" t="s">
        <v>190</v>
      </c>
      <c r="G389" s="219" t="s">
        <v>190</v>
      </c>
      <c r="H389" s="219">
        <v>754</v>
      </c>
      <c r="I389" s="219">
        <v>656</v>
      </c>
      <c r="J389" s="219">
        <v>689</v>
      </c>
      <c r="K389" s="219">
        <v>852</v>
      </c>
      <c r="L389" s="219">
        <v>795</v>
      </c>
    </row>
    <row r="390" spans="5:12" ht="10.5" thickBot="1">
      <c r="E390" s="220">
        <v>500</v>
      </c>
      <c r="F390" s="219" t="s">
        <v>190</v>
      </c>
      <c r="G390" s="219" t="s">
        <v>190</v>
      </c>
      <c r="H390" s="219">
        <v>868</v>
      </c>
      <c r="I390" s="219">
        <v>749</v>
      </c>
      <c r="J390" s="219">
        <v>789</v>
      </c>
      <c r="K390" s="219">
        <v>982</v>
      </c>
      <c r="L390" s="219">
        <v>920</v>
      </c>
    </row>
    <row r="391" spans="5:12" ht="10.5" thickBot="1">
      <c r="E391" s="220">
        <v>630</v>
      </c>
      <c r="F391" s="219" t="s">
        <v>190</v>
      </c>
      <c r="G391" s="219" t="s">
        <v>190</v>
      </c>
      <c r="H391" s="219" t="s">
        <v>468</v>
      </c>
      <c r="I391" s="219">
        <v>855</v>
      </c>
      <c r="J391" s="219">
        <v>905</v>
      </c>
      <c r="K391" s="219" t="s">
        <v>469</v>
      </c>
      <c r="L391" s="219" t="s">
        <v>470</v>
      </c>
    </row>
    <row r="392" spans="5:12" ht="10.75" customHeight="1">
      <c r="E392" s="398" t="s">
        <v>471</v>
      </c>
      <c r="F392" s="399"/>
      <c r="G392" s="399"/>
      <c r="H392" s="399"/>
      <c r="I392" s="399"/>
      <c r="J392" s="399"/>
      <c r="K392" s="399"/>
      <c r="L392" s="400"/>
    </row>
    <row r="393" spans="5:12" ht="10.75" customHeight="1">
      <c r="E393" s="395" t="s">
        <v>472</v>
      </c>
      <c r="F393" s="396"/>
      <c r="G393" s="396"/>
      <c r="H393" s="396"/>
      <c r="I393" s="396"/>
      <c r="J393" s="396"/>
      <c r="K393" s="396"/>
      <c r="L393" s="397"/>
    </row>
    <row r="394" spans="5:12" ht="11.25" customHeight="1" thickBot="1">
      <c r="E394" s="392" t="s">
        <v>473</v>
      </c>
      <c r="F394" s="393"/>
      <c r="G394" s="393"/>
      <c r="H394" s="393"/>
      <c r="I394" s="393"/>
      <c r="J394" s="393"/>
      <c r="K394" s="393"/>
      <c r="L394" s="394"/>
    </row>
    <row r="395" spans="5:12">
      <c r="E395" s="229"/>
      <c r="F395" s="229"/>
      <c r="G395" s="229"/>
      <c r="H395" s="229"/>
      <c r="I395" s="229"/>
      <c r="J395" s="229"/>
      <c r="K395" s="229"/>
      <c r="L395" s="229"/>
    </row>
    <row r="397" spans="5:12">
      <c r="E397" s="228" t="s">
        <v>474</v>
      </c>
    </row>
    <row r="398" spans="5:12">
      <c r="E398" s="228" t="s">
        <v>427</v>
      </c>
    </row>
    <row r="399" spans="5:12">
      <c r="E399" s="227" t="s">
        <v>383</v>
      </c>
    </row>
    <row r="400" spans="5:12">
      <c r="E400" s="227" t="s">
        <v>450</v>
      </c>
    </row>
    <row r="401" spans="5:13">
      <c r="E401" s="227" t="s">
        <v>387</v>
      </c>
    </row>
    <row r="402" spans="5:13" ht="10.5" thickBot="1">
      <c r="E402" s="227" t="s">
        <v>334</v>
      </c>
    </row>
    <row r="403" spans="5:13" ht="10.5" customHeight="1">
      <c r="E403" s="226"/>
      <c r="F403" s="389" t="s">
        <v>451</v>
      </c>
      <c r="G403" s="391"/>
      <c r="H403" s="389" t="s">
        <v>452</v>
      </c>
      <c r="I403" s="390"/>
      <c r="J403" s="390"/>
      <c r="K403" s="390"/>
      <c r="L403" s="391"/>
    </row>
    <row r="404" spans="5:13" ht="10.5" thickBot="1">
      <c r="E404" s="225" t="s">
        <v>147</v>
      </c>
      <c r="F404" s="401"/>
      <c r="G404" s="403"/>
      <c r="H404" s="401"/>
      <c r="I404" s="402"/>
      <c r="J404" s="402"/>
      <c r="K404" s="402"/>
      <c r="L404" s="403"/>
    </row>
    <row r="405" spans="5:13" ht="11.25" customHeight="1">
      <c r="E405" s="225" t="s">
        <v>453</v>
      </c>
      <c r="F405" s="408" t="s">
        <v>456</v>
      </c>
      <c r="G405" s="408" t="s">
        <v>454</v>
      </c>
      <c r="H405" s="408" t="s">
        <v>456</v>
      </c>
      <c r="I405" s="408" t="s">
        <v>454</v>
      </c>
      <c r="J405" s="389" t="s">
        <v>408</v>
      </c>
      <c r="K405" s="390"/>
      <c r="L405" s="391"/>
      <c r="M405" s="408" t="s">
        <v>475</v>
      </c>
    </row>
    <row r="406" spans="5:13" ht="13.5" customHeight="1" thickBot="1">
      <c r="E406" s="225" t="s">
        <v>446</v>
      </c>
      <c r="F406" s="406"/>
      <c r="G406" s="406"/>
      <c r="H406" s="406"/>
      <c r="I406" s="406"/>
      <c r="J406" s="401" t="s">
        <v>458</v>
      </c>
      <c r="K406" s="402"/>
      <c r="L406" s="403"/>
      <c r="M406" s="406"/>
    </row>
    <row r="407" spans="5:13" ht="13.5" customHeight="1" thickBot="1">
      <c r="E407" s="225" t="s">
        <v>338</v>
      </c>
      <c r="F407" s="231" t="s">
        <v>457</v>
      </c>
      <c r="G407" s="231" t="s">
        <v>457</v>
      </c>
      <c r="H407" s="231" t="s">
        <v>457</v>
      </c>
      <c r="I407" s="231" t="s">
        <v>457</v>
      </c>
      <c r="J407" s="231" t="s">
        <v>460</v>
      </c>
      <c r="K407" s="404" t="s">
        <v>461</v>
      </c>
      <c r="L407" s="405"/>
      <c r="M407" s="406"/>
    </row>
    <row r="408" spans="5:13" ht="12.75" customHeight="1">
      <c r="E408" s="225"/>
      <c r="F408" s="406" t="s">
        <v>462</v>
      </c>
      <c r="G408" s="406" t="s">
        <v>462</v>
      </c>
      <c r="H408" s="406" t="s">
        <v>409</v>
      </c>
      <c r="I408" s="406" t="s">
        <v>459</v>
      </c>
      <c r="J408" s="406" t="s">
        <v>463</v>
      </c>
      <c r="K408" s="408" t="s">
        <v>464</v>
      </c>
      <c r="L408" s="230"/>
      <c r="M408" s="406"/>
    </row>
    <row r="409" spans="5:13" ht="13.5" customHeight="1" thickBot="1">
      <c r="E409" s="220"/>
      <c r="F409" s="407"/>
      <c r="G409" s="407"/>
      <c r="H409" s="407"/>
      <c r="I409" s="407"/>
      <c r="J409" s="407"/>
      <c r="K409" s="407"/>
      <c r="L409" s="219" t="s">
        <v>465</v>
      </c>
      <c r="M409" s="407"/>
    </row>
    <row r="410" spans="5:13" ht="10.5" thickBot="1">
      <c r="E410" s="220" t="s">
        <v>438</v>
      </c>
      <c r="F410" s="219" t="s">
        <v>466</v>
      </c>
      <c r="G410" s="219" t="s">
        <v>466</v>
      </c>
      <c r="H410" s="219" t="s">
        <v>106</v>
      </c>
      <c r="I410" s="219" t="s">
        <v>106</v>
      </c>
      <c r="J410" s="219" t="s">
        <v>106</v>
      </c>
      <c r="K410" s="219" t="s">
        <v>440</v>
      </c>
      <c r="L410" s="219" t="s">
        <v>440</v>
      </c>
      <c r="M410" s="219" t="s">
        <v>106</v>
      </c>
    </row>
    <row r="411" spans="5:13" ht="10.5" thickBot="1">
      <c r="E411" s="220" t="s">
        <v>441</v>
      </c>
      <c r="F411" s="219">
        <v>1</v>
      </c>
      <c r="G411" s="219">
        <v>2</v>
      </c>
      <c r="H411" s="219">
        <v>3</v>
      </c>
      <c r="I411" s="219">
        <v>4</v>
      </c>
      <c r="J411" s="219">
        <v>5</v>
      </c>
      <c r="K411" s="219">
        <v>6</v>
      </c>
      <c r="L411" s="219">
        <v>7</v>
      </c>
      <c r="M411" s="219">
        <v>3</v>
      </c>
    </row>
    <row r="412" spans="5:13" ht="10.5" thickBot="1">
      <c r="E412" s="220" t="s">
        <v>343</v>
      </c>
      <c r="F412" s="219">
        <v>26</v>
      </c>
      <c r="G412" s="219">
        <v>23</v>
      </c>
      <c r="H412" s="219" t="s">
        <v>190</v>
      </c>
      <c r="I412" s="219" t="s">
        <v>190</v>
      </c>
      <c r="J412" s="219" t="s">
        <v>190</v>
      </c>
      <c r="K412" s="219" t="s">
        <v>190</v>
      </c>
      <c r="L412" s="219" t="s">
        <v>190</v>
      </c>
      <c r="M412" s="219" t="s">
        <v>190</v>
      </c>
    </row>
    <row r="413" spans="5:13" ht="10.5" thickBot="1">
      <c r="E413" s="220" t="s">
        <v>348</v>
      </c>
      <c r="F413" s="219">
        <v>36</v>
      </c>
      <c r="G413" s="219">
        <v>32</v>
      </c>
      <c r="H413" s="219" t="s">
        <v>190</v>
      </c>
      <c r="I413" s="219" t="s">
        <v>190</v>
      </c>
      <c r="J413" s="219" t="s">
        <v>190</v>
      </c>
      <c r="K413" s="219" t="s">
        <v>190</v>
      </c>
      <c r="L413" s="219" t="s">
        <v>190</v>
      </c>
      <c r="M413" s="219" t="s">
        <v>190</v>
      </c>
    </row>
    <row r="414" spans="5:13" ht="10.5" thickBot="1">
      <c r="E414" s="220">
        <v>4</v>
      </c>
      <c r="F414" s="219">
        <v>49</v>
      </c>
      <c r="G414" s="219">
        <v>42</v>
      </c>
      <c r="H414" s="219" t="s">
        <v>190</v>
      </c>
      <c r="I414" s="219" t="s">
        <v>190</v>
      </c>
      <c r="J414" s="219" t="s">
        <v>190</v>
      </c>
      <c r="K414" s="219" t="s">
        <v>190</v>
      </c>
      <c r="L414" s="219" t="s">
        <v>190</v>
      </c>
      <c r="M414" s="219">
        <v>57</v>
      </c>
    </row>
    <row r="415" spans="5:13" ht="10.5" thickBot="1">
      <c r="E415" s="220">
        <v>6</v>
      </c>
      <c r="F415" s="219">
        <v>63</v>
      </c>
      <c r="G415" s="219">
        <v>54</v>
      </c>
      <c r="H415" s="219" t="s">
        <v>190</v>
      </c>
      <c r="I415" s="219" t="s">
        <v>190</v>
      </c>
      <c r="J415" s="219" t="s">
        <v>190</v>
      </c>
      <c r="K415" s="219" t="s">
        <v>190</v>
      </c>
      <c r="L415" s="219" t="s">
        <v>190</v>
      </c>
      <c r="M415" s="219" t="s">
        <v>190</v>
      </c>
    </row>
    <row r="416" spans="5:13" ht="10.5" thickBot="1">
      <c r="E416" s="220">
        <v>10</v>
      </c>
      <c r="F416" s="219">
        <v>86</v>
      </c>
      <c r="G416" s="219">
        <v>75</v>
      </c>
      <c r="H416" s="219" t="s">
        <v>190</v>
      </c>
      <c r="I416" s="219" t="s">
        <v>190</v>
      </c>
      <c r="J416" s="219" t="s">
        <v>190</v>
      </c>
      <c r="K416" s="219" t="s">
        <v>190</v>
      </c>
      <c r="L416" s="219" t="s">
        <v>190</v>
      </c>
      <c r="M416" s="219" t="s">
        <v>190</v>
      </c>
    </row>
    <row r="417" spans="5:13" ht="10.5" thickBot="1">
      <c r="E417" s="220">
        <v>16</v>
      </c>
      <c r="F417" s="219">
        <v>115</v>
      </c>
      <c r="G417" s="219">
        <v>100</v>
      </c>
      <c r="H417" s="219" t="s">
        <v>190</v>
      </c>
      <c r="I417" s="219" t="s">
        <v>190</v>
      </c>
      <c r="J417" s="219" t="s">
        <v>190</v>
      </c>
      <c r="K417" s="219" t="s">
        <v>190</v>
      </c>
      <c r="L417" s="219" t="s">
        <v>190</v>
      </c>
      <c r="M417" s="219" t="s">
        <v>190</v>
      </c>
    </row>
    <row r="418" spans="5:13" ht="10.5" thickBot="1">
      <c r="E418" s="220">
        <v>25</v>
      </c>
      <c r="F418" s="219">
        <v>149</v>
      </c>
      <c r="G418" s="219">
        <v>127</v>
      </c>
      <c r="H418" s="219">
        <v>161</v>
      </c>
      <c r="I418" s="219">
        <v>135</v>
      </c>
      <c r="J418" s="219">
        <v>141</v>
      </c>
      <c r="K418" s="219">
        <v>182</v>
      </c>
      <c r="L418" s="219">
        <v>161</v>
      </c>
      <c r="M418" s="219">
        <v>161</v>
      </c>
    </row>
    <row r="419" spans="5:13" ht="10.5" thickBot="1">
      <c r="E419" s="220">
        <v>35</v>
      </c>
      <c r="F419" s="219">
        <v>185</v>
      </c>
      <c r="G419" s="219">
        <v>158</v>
      </c>
      <c r="H419" s="219">
        <v>200</v>
      </c>
      <c r="I419" s="219">
        <v>169</v>
      </c>
      <c r="J419" s="219">
        <v>176</v>
      </c>
      <c r="K419" s="219">
        <v>226</v>
      </c>
      <c r="L419" s="219">
        <v>201</v>
      </c>
      <c r="M419" s="219">
        <v>200</v>
      </c>
    </row>
    <row r="420" spans="5:13" ht="10.5" thickBot="1">
      <c r="E420" s="220">
        <v>50</v>
      </c>
      <c r="F420" s="219">
        <v>225</v>
      </c>
      <c r="G420" s="219">
        <v>192</v>
      </c>
      <c r="H420" s="219">
        <v>242</v>
      </c>
      <c r="I420" s="219">
        <v>207</v>
      </c>
      <c r="J420" s="219">
        <v>216</v>
      </c>
      <c r="K420" s="219">
        <v>275</v>
      </c>
      <c r="L420" s="219">
        <v>246</v>
      </c>
      <c r="M420" s="219">
        <v>242</v>
      </c>
    </row>
    <row r="421" spans="5:13" ht="10.5" thickBot="1">
      <c r="E421" s="220">
        <v>70</v>
      </c>
      <c r="F421" s="219">
        <v>289</v>
      </c>
      <c r="G421" s="219">
        <v>246</v>
      </c>
      <c r="H421" s="219">
        <v>310</v>
      </c>
      <c r="I421" s="219">
        <v>268</v>
      </c>
      <c r="J421" s="219">
        <v>279</v>
      </c>
      <c r="K421" s="219">
        <v>353</v>
      </c>
      <c r="L421" s="219">
        <v>318</v>
      </c>
      <c r="M421" s="219">
        <v>310</v>
      </c>
    </row>
    <row r="422" spans="5:13" ht="10.5" thickBot="1">
      <c r="E422" s="220">
        <v>95</v>
      </c>
      <c r="F422" s="219">
        <v>352</v>
      </c>
      <c r="G422" s="219">
        <v>298</v>
      </c>
      <c r="H422" s="219">
        <v>377</v>
      </c>
      <c r="I422" s="219">
        <v>328</v>
      </c>
      <c r="J422" s="219">
        <v>342</v>
      </c>
      <c r="K422" s="219">
        <v>430</v>
      </c>
      <c r="L422" s="219">
        <v>389</v>
      </c>
      <c r="M422" s="219">
        <v>377</v>
      </c>
    </row>
    <row r="423" spans="5:13" ht="10.5" thickBot="1">
      <c r="E423" s="220">
        <v>120</v>
      </c>
      <c r="F423" s="219">
        <v>410</v>
      </c>
      <c r="G423" s="219">
        <v>346</v>
      </c>
      <c r="H423" s="219">
        <v>437</v>
      </c>
      <c r="I423" s="219">
        <v>383</v>
      </c>
      <c r="J423" s="219">
        <v>400</v>
      </c>
      <c r="K423" s="219">
        <v>500</v>
      </c>
      <c r="L423" s="219">
        <v>454</v>
      </c>
      <c r="M423" s="219">
        <v>437</v>
      </c>
    </row>
    <row r="424" spans="5:13" ht="10.5" thickBot="1">
      <c r="E424" s="220">
        <v>150</v>
      </c>
      <c r="F424" s="219">
        <v>473</v>
      </c>
      <c r="G424" s="219">
        <v>399</v>
      </c>
      <c r="H424" s="219">
        <v>504</v>
      </c>
      <c r="I424" s="219">
        <v>444</v>
      </c>
      <c r="J424" s="219">
        <v>464</v>
      </c>
      <c r="K424" s="219">
        <v>577</v>
      </c>
      <c r="L424" s="219">
        <v>527</v>
      </c>
      <c r="M424" s="219">
        <v>504</v>
      </c>
    </row>
    <row r="425" spans="5:13" ht="10.5" thickBot="1">
      <c r="E425" s="220">
        <v>185</v>
      </c>
      <c r="F425" s="219">
        <v>542</v>
      </c>
      <c r="G425" s="219">
        <v>456</v>
      </c>
      <c r="H425" s="219">
        <v>575</v>
      </c>
      <c r="I425" s="219">
        <v>510</v>
      </c>
      <c r="J425" s="219">
        <v>533</v>
      </c>
      <c r="K425" s="219">
        <v>661</v>
      </c>
      <c r="L425" s="219">
        <v>605</v>
      </c>
      <c r="M425" s="219">
        <v>575</v>
      </c>
    </row>
    <row r="426" spans="5:13" ht="10.5" thickBot="1">
      <c r="E426" s="220">
        <v>240</v>
      </c>
      <c r="F426" s="219">
        <v>641</v>
      </c>
      <c r="G426" s="219">
        <v>538</v>
      </c>
      <c r="H426" s="219">
        <v>679</v>
      </c>
      <c r="I426" s="219">
        <v>607</v>
      </c>
      <c r="J426" s="219">
        <v>634</v>
      </c>
      <c r="K426" s="219">
        <v>781</v>
      </c>
      <c r="L426" s="219">
        <v>719</v>
      </c>
      <c r="M426" s="219">
        <v>679</v>
      </c>
    </row>
    <row r="427" spans="5:13" ht="10.5" thickBot="1">
      <c r="E427" s="220">
        <v>300</v>
      </c>
      <c r="F427" s="219">
        <v>741</v>
      </c>
      <c r="G427" s="219">
        <v>621</v>
      </c>
      <c r="H427" s="219">
        <v>783</v>
      </c>
      <c r="I427" s="219">
        <v>703</v>
      </c>
      <c r="J427" s="219">
        <v>736</v>
      </c>
      <c r="K427" s="219">
        <v>902</v>
      </c>
      <c r="L427" s="219">
        <v>833</v>
      </c>
      <c r="M427" s="219">
        <v>783</v>
      </c>
    </row>
    <row r="428" spans="5:13" ht="10.5" thickBot="1">
      <c r="E428" s="220">
        <v>400</v>
      </c>
      <c r="F428" s="219" t="s">
        <v>190</v>
      </c>
      <c r="G428" s="219" t="s">
        <v>190</v>
      </c>
      <c r="H428" s="219">
        <v>940</v>
      </c>
      <c r="I428" s="219">
        <v>823</v>
      </c>
      <c r="J428" s="219">
        <v>868</v>
      </c>
      <c r="K428" s="219" t="s">
        <v>476</v>
      </c>
      <c r="L428" s="219" t="s">
        <v>477</v>
      </c>
      <c r="M428" s="219">
        <v>940</v>
      </c>
    </row>
    <row r="429" spans="5:13" ht="10.5" thickBot="1">
      <c r="E429" s="220">
        <v>500</v>
      </c>
      <c r="F429" s="219" t="s">
        <v>190</v>
      </c>
      <c r="G429" s="219" t="s">
        <v>190</v>
      </c>
      <c r="H429" s="219" t="s">
        <v>478</v>
      </c>
      <c r="I429" s="219">
        <v>946</v>
      </c>
      <c r="J429" s="219">
        <v>998</v>
      </c>
      <c r="K429" s="219" t="s">
        <v>479</v>
      </c>
      <c r="L429" s="219" t="s">
        <v>480</v>
      </c>
      <c r="M429" s="219" t="s">
        <v>478</v>
      </c>
    </row>
    <row r="430" spans="5:13" ht="10.5" thickBot="1">
      <c r="E430" s="220">
        <v>630</v>
      </c>
      <c r="F430" s="219" t="s">
        <v>190</v>
      </c>
      <c r="G430" s="219" t="s">
        <v>190</v>
      </c>
      <c r="H430" s="219" t="s">
        <v>481</v>
      </c>
      <c r="I430" s="219" t="s">
        <v>482</v>
      </c>
      <c r="J430" s="219" t="s">
        <v>483</v>
      </c>
      <c r="K430" s="219" t="s">
        <v>484</v>
      </c>
      <c r="L430" s="219" t="s">
        <v>485</v>
      </c>
      <c r="M430" s="219" t="s">
        <v>481</v>
      </c>
    </row>
    <row r="434" spans="5:12">
      <c r="E434" s="228" t="s">
        <v>486</v>
      </c>
    </row>
    <row r="435" spans="5:12">
      <c r="E435" s="228" t="s">
        <v>487</v>
      </c>
    </row>
    <row r="436" spans="5:12">
      <c r="E436" s="227"/>
    </row>
    <row r="437" spans="5:12">
      <c r="E437" s="227" t="s">
        <v>383</v>
      </c>
    </row>
    <row r="438" spans="5:12">
      <c r="E438" s="227" t="s">
        <v>488</v>
      </c>
    </row>
    <row r="439" spans="5:12">
      <c r="E439" s="227" t="s">
        <v>387</v>
      </c>
    </row>
    <row r="440" spans="5:12" ht="10.5" thickBot="1">
      <c r="E440" s="227" t="s">
        <v>334</v>
      </c>
    </row>
    <row r="441" spans="5:12" ht="10.5" customHeight="1">
      <c r="E441" s="226"/>
      <c r="F441" s="389" t="s">
        <v>451</v>
      </c>
      <c r="G441" s="391"/>
      <c r="H441" s="389" t="s">
        <v>452</v>
      </c>
      <c r="I441" s="390"/>
      <c r="J441" s="390"/>
      <c r="K441" s="390"/>
      <c r="L441" s="391"/>
    </row>
    <row r="442" spans="5:12" ht="10.5" thickBot="1">
      <c r="E442" s="225" t="s">
        <v>147</v>
      </c>
      <c r="F442" s="401"/>
      <c r="G442" s="403"/>
      <c r="H442" s="401"/>
      <c r="I442" s="402"/>
      <c r="J442" s="402"/>
      <c r="K442" s="402"/>
      <c r="L442" s="403"/>
    </row>
    <row r="443" spans="5:12">
      <c r="E443" s="225" t="s">
        <v>453</v>
      </c>
      <c r="F443" s="408" t="s">
        <v>456</v>
      </c>
      <c r="G443" s="408" t="s">
        <v>454</v>
      </c>
      <c r="H443" s="408" t="s">
        <v>456</v>
      </c>
      <c r="I443" s="408" t="s">
        <v>454</v>
      </c>
      <c r="J443" s="389" t="s">
        <v>408</v>
      </c>
      <c r="K443" s="390"/>
      <c r="L443" s="391"/>
    </row>
    <row r="444" spans="5:12" ht="10.5" thickBot="1">
      <c r="E444" s="225" t="s">
        <v>446</v>
      </c>
      <c r="F444" s="406"/>
      <c r="G444" s="406"/>
      <c r="H444" s="406"/>
      <c r="I444" s="406"/>
      <c r="J444" s="401" t="s">
        <v>458</v>
      </c>
      <c r="K444" s="402"/>
      <c r="L444" s="403"/>
    </row>
    <row r="445" spans="5:12" ht="10.5" thickBot="1">
      <c r="E445" s="225" t="s">
        <v>338</v>
      </c>
      <c r="F445" s="231" t="s">
        <v>457</v>
      </c>
      <c r="G445" s="231" t="s">
        <v>457</v>
      </c>
      <c r="H445" s="231" t="s">
        <v>457</v>
      </c>
      <c r="I445" s="231" t="s">
        <v>457</v>
      </c>
      <c r="J445" s="231" t="s">
        <v>460</v>
      </c>
      <c r="K445" s="404" t="s">
        <v>461</v>
      </c>
      <c r="L445" s="405"/>
    </row>
    <row r="446" spans="5:12">
      <c r="E446" s="225"/>
      <c r="F446" s="406" t="s">
        <v>462</v>
      </c>
      <c r="G446" s="406" t="s">
        <v>462</v>
      </c>
      <c r="H446" s="406" t="s">
        <v>409</v>
      </c>
      <c r="I446" s="406" t="s">
        <v>459</v>
      </c>
      <c r="J446" s="406" t="s">
        <v>463</v>
      </c>
      <c r="K446" s="408" t="s">
        <v>464</v>
      </c>
      <c r="L446" s="230"/>
    </row>
    <row r="447" spans="5:12" ht="10.5" thickBot="1">
      <c r="E447" s="220"/>
      <c r="F447" s="407"/>
      <c r="G447" s="407"/>
      <c r="H447" s="407"/>
      <c r="I447" s="407"/>
      <c r="J447" s="407"/>
      <c r="K447" s="407"/>
      <c r="L447" s="219" t="s">
        <v>465</v>
      </c>
    </row>
    <row r="448" spans="5:12" ht="10.5" thickBot="1">
      <c r="E448" s="220" t="s">
        <v>438</v>
      </c>
      <c r="F448" s="219" t="s">
        <v>466</v>
      </c>
      <c r="G448" s="219" t="s">
        <v>466</v>
      </c>
      <c r="H448" s="219" t="s">
        <v>106</v>
      </c>
      <c r="I448" s="219" t="s">
        <v>106</v>
      </c>
      <c r="J448" s="219" t="s">
        <v>106</v>
      </c>
      <c r="K448" s="219" t="s">
        <v>440</v>
      </c>
      <c r="L448" s="219" t="s">
        <v>440</v>
      </c>
    </row>
    <row r="449" spans="5:12" ht="10.5" thickBot="1">
      <c r="E449" s="220" t="s">
        <v>441</v>
      </c>
      <c r="F449" s="219">
        <v>1</v>
      </c>
      <c r="G449" s="219">
        <v>2</v>
      </c>
      <c r="H449" s="219">
        <v>3</v>
      </c>
      <c r="I449" s="219">
        <v>4</v>
      </c>
      <c r="J449" s="219">
        <v>5</v>
      </c>
      <c r="K449" s="219">
        <v>6</v>
      </c>
      <c r="L449" s="219">
        <v>7</v>
      </c>
    </row>
    <row r="450" spans="5:12" ht="10.5" thickBot="1">
      <c r="E450" s="220" t="s">
        <v>348</v>
      </c>
      <c r="F450" s="219">
        <v>28</v>
      </c>
      <c r="G450" s="219">
        <v>24</v>
      </c>
      <c r="H450" s="219" t="s">
        <v>190</v>
      </c>
      <c r="I450" s="219" t="s">
        <v>190</v>
      </c>
      <c r="J450" s="219" t="s">
        <v>190</v>
      </c>
      <c r="K450" s="219" t="s">
        <v>190</v>
      </c>
      <c r="L450" s="219" t="s">
        <v>190</v>
      </c>
    </row>
    <row r="451" spans="5:12" ht="10.5" thickBot="1">
      <c r="E451" s="220">
        <v>4</v>
      </c>
      <c r="F451" s="219">
        <v>38</v>
      </c>
      <c r="G451" s="219">
        <v>32</v>
      </c>
      <c r="H451" s="219" t="s">
        <v>190</v>
      </c>
      <c r="I451" s="219" t="s">
        <v>190</v>
      </c>
      <c r="J451" s="219" t="s">
        <v>190</v>
      </c>
      <c r="K451" s="219" t="s">
        <v>190</v>
      </c>
      <c r="L451" s="219" t="s">
        <v>190</v>
      </c>
    </row>
    <row r="452" spans="5:12" ht="10.5" thickBot="1">
      <c r="E452" s="220">
        <v>6</v>
      </c>
      <c r="F452" s="219">
        <v>49</v>
      </c>
      <c r="G452" s="219">
        <v>42</v>
      </c>
      <c r="H452" s="219" t="s">
        <v>190</v>
      </c>
      <c r="I452" s="219" t="s">
        <v>190</v>
      </c>
      <c r="J452" s="219" t="s">
        <v>190</v>
      </c>
      <c r="K452" s="219" t="s">
        <v>190</v>
      </c>
      <c r="L452" s="219" t="s">
        <v>190</v>
      </c>
    </row>
    <row r="453" spans="5:12" ht="10.5" thickBot="1">
      <c r="E453" s="220">
        <v>10</v>
      </c>
      <c r="F453" s="219">
        <v>67</v>
      </c>
      <c r="G453" s="219">
        <v>58</v>
      </c>
      <c r="H453" s="219" t="s">
        <v>190</v>
      </c>
      <c r="I453" s="219" t="s">
        <v>190</v>
      </c>
      <c r="J453" s="219" t="s">
        <v>190</v>
      </c>
      <c r="K453" s="219" t="s">
        <v>190</v>
      </c>
      <c r="L453" s="219" t="s">
        <v>190</v>
      </c>
    </row>
    <row r="454" spans="5:12" ht="10.5" thickBot="1">
      <c r="E454" s="220">
        <v>16</v>
      </c>
      <c r="F454" s="219">
        <v>91</v>
      </c>
      <c r="G454" s="219">
        <v>77</v>
      </c>
      <c r="H454" s="219" t="s">
        <v>190</v>
      </c>
      <c r="I454" s="219" t="s">
        <v>190</v>
      </c>
      <c r="J454" s="219" t="s">
        <v>190</v>
      </c>
      <c r="K454" s="219" t="s">
        <v>190</v>
      </c>
      <c r="L454" s="219" t="s">
        <v>190</v>
      </c>
    </row>
    <row r="455" spans="5:12" ht="10.5" thickBot="1">
      <c r="E455" s="220">
        <v>25</v>
      </c>
      <c r="F455" s="219">
        <v>108</v>
      </c>
      <c r="G455" s="219">
        <v>97</v>
      </c>
      <c r="H455" s="219">
        <v>121</v>
      </c>
      <c r="I455" s="219">
        <v>103</v>
      </c>
      <c r="J455" s="219">
        <v>107</v>
      </c>
      <c r="K455" s="219">
        <v>138</v>
      </c>
      <c r="L455" s="219">
        <v>122</v>
      </c>
    </row>
    <row r="456" spans="5:12" ht="10.5" thickBot="1">
      <c r="E456" s="220">
        <v>35</v>
      </c>
      <c r="F456" s="219">
        <v>135</v>
      </c>
      <c r="G456" s="219">
        <v>120</v>
      </c>
      <c r="H456" s="219">
        <v>150</v>
      </c>
      <c r="I456" s="219">
        <v>129</v>
      </c>
      <c r="J456" s="219">
        <v>135</v>
      </c>
      <c r="K456" s="219">
        <v>172</v>
      </c>
      <c r="L456" s="219">
        <v>153</v>
      </c>
    </row>
    <row r="457" spans="5:12" ht="10.5" thickBot="1">
      <c r="E457" s="220">
        <v>50</v>
      </c>
      <c r="F457" s="219">
        <v>164</v>
      </c>
      <c r="G457" s="219">
        <v>146</v>
      </c>
      <c r="H457" s="219">
        <v>184</v>
      </c>
      <c r="I457" s="219">
        <v>159</v>
      </c>
      <c r="J457" s="219">
        <v>165</v>
      </c>
      <c r="K457" s="219">
        <v>210</v>
      </c>
      <c r="L457" s="219">
        <v>188</v>
      </c>
    </row>
    <row r="458" spans="5:12" ht="10.5" thickBot="1">
      <c r="E458" s="220">
        <v>70</v>
      </c>
      <c r="F458" s="219">
        <v>211</v>
      </c>
      <c r="G458" s="219">
        <v>187</v>
      </c>
      <c r="H458" s="219">
        <v>237</v>
      </c>
      <c r="I458" s="219">
        <v>206</v>
      </c>
      <c r="J458" s="219">
        <v>215</v>
      </c>
      <c r="K458" s="219">
        <v>271</v>
      </c>
      <c r="L458" s="219">
        <v>244</v>
      </c>
    </row>
    <row r="459" spans="5:12" ht="10.5" thickBot="1">
      <c r="E459" s="220">
        <v>95</v>
      </c>
      <c r="F459" s="219">
        <v>257</v>
      </c>
      <c r="G459" s="219">
        <v>227</v>
      </c>
      <c r="H459" s="219">
        <v>289</v>
      </c>
      <c r="I459" s="219">
        <v>253</v>
      </c>
      <c r="J459" s="219">
        <v>264</v>
      </c>
      <c r="K459" s="219">
        <v>332</v>
      </c>
      <c r="L459" s="219">
        <v>300</v>
      </c>
    </row>
    <row r="460" spans="5:12" ht="10.5" thickBot="1">
      <c r="E460" s="220">
        <v>120</v>
      </c>
      <c r="F460" s="219">
        <v>300</v>
      </c>
      <c r="G460" s="219">
        <v>263</v>
      </c>
      <c r="H460" s="219">
        <v>337</v>
      </c>
      <c r="I460" s="219">
        <v>296</v>
      </c>
      <c r="J460" s="219">
        <v>308</v>
      </c>
      <c r="K460" s="219">
        <v>387</v>
      </c>
      <c r="L460" s="219">
        <v>351</v>
      </c>
    </row>
    <row r="461" spans="5:12" ht="10.5" thickBot="1">
      <c r="E461" s="220">
        <v>150</v>
      </c>
      <c r="F461" s="219">
        <v>346</v>
      </c>
      <c r="G461" s="219">
        <v>304</v>
      </c>
      <c r="H461" s="219">
        <v>389</v>
      </c>
      <c r="I461" s="219">
        <v>343</v>
      </c>
      <c r="J461" s="219">
        <v>358</v>
      </c>
      <c r="K461" s="219">
        <v>448</v>
      </c>
      <c r="L461" s="219">
        <v>408</v>
      </c>
    </row>
    <row r="462" spans="5:12" ht="10.5" thickBot="1">
      <c r="E462" s="220">
        <v>185</v>
      </c>
      <c r="F462" s="219">
        <v>397</v>
      </c>
      <c r="G462" s="219">
        <v>347</v>
      </c>
      <c r="H462" s="219">
        <v>447</v>
      </c>
      <c r="I462" s="219">
        <v>395</v>
      </c>
      <c r="J462" s="219">
        <v>413</v>
      </c>
      <c r="K462" s="219">
        <v>515</v>
      </c>
      <c r="L462" s="219">
        <v>470</v>
      </c>
    </row>
    <row r="463" spans="5:12" ht="10.5" thickBot="1">
      <c r="E463" s="220">
        <v>240</v>
      </c>
      <c r="F463" s="219">
        <v>470</v>
      </c>
      <c r="G463" s="219">
        <v>407</v>
      </c>
      <c r="H463" s="219">
        <v>530</v>
      </c>
      <c r="I463" s="219">
        <v>471</v>
      </c>
      <c r="J463" s="219">
        <v>492</v>
      </c>
      <c r="K463" s="219">
        <v>611</v>
      </c>
      <c r="L463" s="219">
        <v>561</v>
      </c>
    </row>
    <row r="464" spans="5:12" ht="10.5" thickBot="1">
      <c r="E464" s="220">
        <v>300</v>
      </c>
      <c r="F464" s="219">
        <v>543</v>
      </c>
      <c r="G464" s="219">
        <v>471</v>
      </c>
      <c r="H464" s="219">
        <v>613</v>
      </c>
      <c r="I464" s="219">
        <v>547</v>
      </c>
      <c r="J464" s="219">
        <v>571</v>
      </c>
      <c r="K464" s="219">
        <v>708</v>
      </c>
      <c r="L464" s="219">
        <v>652</v>
      </c>
    </row>
    <row r="465" spans="5:12" ht="10.5" thickBot="1">
      <c r="E465" s="220">
        <v>400</v>
      </c>
      <c r="F465" s="219" t="s">
        <v>190</v>
      </c>
      <c r="G465" s="219" t="s">
        <v>190</v>
      </c>
      <c r="H465" s="219">
        <v>740</v>
      </c>
      <c r="I465" s="219">
        <v>663</v>
      </c>
      <c r="J465" s="219">
        <v>694</v>
      </c>
      <c r="K465" s="219">
        <v>856</v>
      </c>
      <c r="L465" s="219">
        <v>792</v>
      </c>
    </row>
    <row r="466" spans="5:12" ht="10.5" thickBot="1">
      <c r="E466" s="220">
        <v>500</v>
      </c>
      <c r="F466" s="219" t="s">
        <v>190</v>
      </c>
      <c r="G466" s="219" t="s">
        <v>190</v>
      </c>
      <c r="H466" s="219">
        <v>856</v>
      </c>
      <c r="I466" s="219">
        <v>770</v>
      </c>
      <c r="J466" s="219">
        <v>806</v>
      </c>
      <c r="K466" s="219">
        <v>991</v>
      </c>
      <c r="L466" s="219">
        <v>921</v>
      </c>
    </row>
    <row r="467" spans="5:12" ht="10.5" thickBot="1">
      <c r="E467" s="220">
        <v>630</v>
      </c>
      <c r="F467" s="219" t="s">
        <v>190</v>
      </c>
      <c r="G467" s="219" t="s">
        <v>190</v>
      </c>
      <c r="H467" s="219">
        <v>996</v>
      </c>
      <c r="I467" s="219">
        <v>899</v>
      </c>
      <c r="J467" s="219">
        <v>942</v>
      </c>
      <c r="K467" s="219" t="s">
        <v>489</v>
      </c>
      <c r="L467" s="219" t="s">
        <v>490</v>
      </c>
    </row>
    <row r="468" spans="5:12" ht="10.75" customHeight="1">
      <c r="E468" s="398" t="s">
        <v>471</v>
      </c>
      <c r="F468" s="399"/>
      <c r="G468" s="399"/>
      <c r="H468" s="399"/>
      <c r="I468" s="399"/>
      <c r="J468" s="399"/>
      <c r="K468" s="399"/>
      <c r="L468" s="400"/>
    </row>
    <row r="469" spans="5:12" ht="10.75" customHeight="1">
      <c r="E469" s="395" t="s">
        <v>472</v>
      </c>
      <c r="F469" s="396"/>
      <c r="G469" s="396"/>
      <c r="H469" s="396"/>
      <c r="I469" s="396"/>
      <c r="J469" s="396"/>
      <c r="K469" s="396"/>
      <c r="L469" s="397"/>
    </row>
    <row r="470" spans="5:12" ht="11.25" customHeight="1" thickBot="1">
      <c r="E470" s="392" t="s">
        <v>473</v>
      </c>
      <c r="F470" s="393"/>
      <c r="G470" s="393"/>
      <c r="H470" s="393"/>
      <c r="I470" s="393"/>
      <c r="J470" s="393"/>
      <c r="K470" s="393"/>
      <c r="L470" s="394"/>
    </row>
    <row r="471" spans="5:12">
      <c r="E471" s="229"/>
      <c r="F471" s="229"/>
      <c r="G471" s="229"/>
      <c r="H471" s="229"/>
      <c r="I471" s="229"/>
      <c r="J471" s="229"/>
      <c r="K471" s="229"/>
      <c r="L471" s="229"/>
    </row>
    <row r="473" spans="5:12">
      <c r="E473" s="228" t="s">
        <v>491</v>
      </c>
    </row>
    <row r="474" spans="5:12">
      <c r="E474" s="228" t="s">
        <v>492</v>
      </c>
    </row>
    <row r="475" spans="5:12">
      <c r="E475" s="227"/>
    </row>
    <row r="476" spans="5:12">
      <c r="E476" s="227" t="s">
        <v>329</v>
      </c>
    </row>
    <row r="477" spans="5:12">
      <c r="E477" s="227" t="s">
        <v>493</v>
      </c>
    </row>
    <row r="478" spans="5:12">
      <c r="E478" s="227" t="s">
        <v>332</v>
      </c>
    </row>
    <row r="479" spans="5:12">
      <c r="E479" s="227" t="s">
        <v>333</v>
      </c>
    </row>
    <row r="480" spans="5:12">
      <c r="E480" s="227" t="s">
        <v>334</v>
      </c>
    </row>
    <row r="481" spans="5:9" ht="10.5" thickBot="1">
      <c r="E481" s="227"/>
    </row>
    <row r="482" spans="5:9" ht="20.9" customHeight="1">
      <c r="E482" s="226" t="s">
        <v>335</v>
      </c>
      <c r="F482" s="389" t="s">
        <v>494</v>
      </c>
      <c r="G482" s="391"/>
      <c r="H482" s="389" t="s">
        <v>408</v>
      </c>
      <c r="I482" s="391"/>
    </row>
    <row r="483" spans="5:9" ht="20">
      <c r="E483" s="225" t="s">
        <v>337</v>
      </c>
      <c r="F483" s="413"/>
      <c r="G483" s="414"/>
      <c r="H483" s="413"/>
      <c r="I483" s="414"/>
    </row>
    <row r="484" spans="5:9" ht="10.5" thickBot="1">
      <c r="E484" s="220" t="s">
        <v>338</v>
      </c>
      <c r="F484" s="401"/>
      <c r="G484" s="403"/>
      <c r="H484" s="401"/>
      <c r="I484" s="403"/>
    </row>
    <row r="485" spans="5:9" ht="10.5" thickBot="1">
      <c r="E485" s="220" t="s">
        <v>438</v>
      </c>
      <c r="F485" s="219" t="s">
        <v>495</v>
      </c>
      <c r="G485" s="219" t="s">
        <v>496</v>
      </c>
      <c r="H485" s="219" t="s">
        <v>495</v>
      </c>
      <c r="I485" s="219" t="s">
        <v>496</v>
      </c>
    </row>
    <row r="486" spans="5:9" ht="10.5" thickBot="1">
      <c r="E486" s="220" t="s">
        <v>441</v>
      </c>
      <c r="F486" s="219">
        <v>2</v>
      </c>
      <c r="G486" s="219">
        <v>3</v>
      </c>
      <c r="H486" s="219">
        <v>4</v>
      </c>
      <c r="I486" s="219">
        <v>5</v>
      </c>
    </row>
    <row r="487" spans="5:9" ht="11.25" customHeight="1" thickBot="1">
      <c r="E487" s="409" t="s">
        <v>342</v>
      </c>
      <c r="F487" s="410"/>
      <c r="G487" s="410"/>
      <c r="H487" s="410"/>
      <c r="I487" s="411"/>
    </row>
    <row r="488" spans="5:9" ht="10.5" thickBot="1">
      <c r="E488" s="220" t="s">
        <v>343</v>
      </c>
      <c r="F488" s="219">
        <v>14</v>
      </c>
      <c r="G488" s="219" t="s">
        <v>497</v>
      </c>
      <c r="H488" s="219">
        <v>13</v>
      </c>
      <c r="I488" s="219">
        <v>15</v>
      </c>
    </row>
    <row r="489" spans="5:9" ht="10.5" thickBot="1">
      <c r="E489" s="220" t="s">
        <v>348</v>
      </c>
      <c r="F489" s="219" t="s">
        <v>467</v>
      </c>
      <c r="G489" s="219">
        <v>23</v>
      </c>
      <c r="H489" s="219" t="s">
        <v>345</v>
      </c>
      <c r="I489" s="219">
        <v>20</v>
      </c>
    </row>
    <row r="490" spans="5:9" ht="10.5" thickBot="1">
      <c r="E490" s="220">
        <v>4</v>
      </c>
      <c r="F490" s="219">
        <v>25</v>
      </c>
      <c r="G490" s="219">
        <v>30</v>
      </c>
      <c r="H490" s="219">
        <v>23</v>
      </c>
      <c r="I490" s="219">
        <v>27</v>
      </c>
    </row>
    <row r="491" spans="5:9" ht="10.5" thickBot="1">
      <c r="E491" s="220">
        <v>6</v>
      </c>
      <c r="F491" s="219">
        <v>32</v>
      </c>
      <c r="G491" s="219">
        <v>38</v>
      </c>
      <c r="H491" s="219">
        <v>29</v>
      </c>
      <c r="I491" s="219">
        <v>34</v>
      </c>
    </row>
    <row r="492" spans="5:9" ht="10.5" thickBot="1">
      <c r="E492" s="220">
        <v>10</v>
      </c>
      <c r="F492" s="219">
        <v>43</v>
      </c>
      <c r="G492" s="219">
        <v>52</v>
      </c>
      <c r="H492" s="219">
        <v>39</v>
      </c>
      <c r="I492" s="219">
        <v>46</v>
      </c>
    </row>
    <row r="493" spans="5:9" ht="10.5" thickBot="1">
      <c r="E493" s="220">
        <v>16</v>
      </c>
      <c r="F493" s="219">
        <v>57</v>
      </c>
      <c r="G493" s="219">
        <v>69</v>
      </c>
      <c r="H493" s="219">
        <v>52</v>
      </c>
      <c r="I493" s="219">
        <v>62</v>
      </c>
    </row>
    <row r="494" spans="5:9" ht="10.5" thickBot="1">
      <c r="E494" s="220">
        <v>25</v>
      </c>
      <c r="F494" s="219">
        <v>75</v>
      </c>
      <c r="G494" s="219">
        <v>90</v>
      </c>
      <c r="H494" s="219">
        <v>68</v>
      </c>
      <c r="I494" s="219">
        <v>80</v>
      </c>
    </row>
    <row r="495" spans="5:9" ht="10.5" thickBot="1">
      <c r="E495" s="220">
        <v>35</v>
      </c>
      <c r="F495" s="219">
        <v>92</v>
      </c>
      <c r="G495" s="219">
        <v>111</v>
      </c>
      <c r="H495" s="219">
        <v>83</v>
      </c>
      <c r="I495" s="219">
        <v>99</v>
      </c>
    </row>
    <row r="496" spans="5:9" ht="10.5" thickBot="1">
      <c r="E496" s="220">
        <v>50</v>
      </c>
      <c r="F496" s="219">
        <v>110</v>
      </c>
      <c r="G496" s="219">
        <v>133</v>
      </c>
      <c r="H496" s="219">
        <v>99</v>
      </c>
      <c r="I496" s="219">
        <v>118</v>
      </c>
    </row>
    <row r="497" spans="5:9" ht="10.5" thickBot="1">
      <c r="E497" s="220">
        <v>70</v>
      </c>
      <c r="F497" s="219">
        <v>139</v>
      </c>
      <c r="G497" s="219">
        <v>168</v>
      </c>
      <c r="H497" s="219">
        <v>125</v>
      </c>
      <c r="I497" s="219">
        <v>149</v>
      </c>
    </row>
    <row r="498" spans="5:9" ht="10.5" thickBot="1">
      <c r="E498" s="220">
        <v>95</v>
      </c>
      <c r="F498" s="219">
        <v>167</v>
      </c>
      <c r="G498" s="219">
        <v>291</v>
      </c>
      <c r="H498" s="219">
        <v>150</v>
      </c>
      <c r="I498" s="219">
        <v>179</v>
      </c>
    </row>
    <row r="499" spans="5:9" ht="10.5" thickBot="1">
      <c r="E499" s="220">
        <v>120</v>
      </c>
      <c r="F499" s="219">
        <v>192</v>
      </c>
      <c r="G499" s="219">
        <v>232</v>
      </c>
      <c r="H499" s="219">
        <v>172</v>
      </c>
      <c r="I499" s="219">
        <v>206</v>
      </c>
    </row>
    <row r="500" spans="5:9" ht="10.5" thickBot="1">
      <c r="E500" s="220">
        <v>150</v>
      </c>
      <c r="F500" s="219">
        <v>219</v>
      </c>
      <c r="G500" s="219" t="s">
        <v>190</v>
      </c>
      <c r="H500" s="219">
        <v>196</v>
      </c>
      <c r="I500" s="219" t="s">
        <v>190</v>
      </c>
    </row>
    <row r="501" spans="5:9" ht="10.5" thickBot="1">
      <c r="E501" s="220">
        <v>185</v>
      </c>
      <c r="F501" s="219">
        <v>248</v>
      </c>
      <c r="G501" s="219" t="s">
        <v>190</v>
      </c>
      <c r="H501" s="219">
        <v>223</v>
      </c>
      <c r="I501" s="219" t="s">
        <v>190</v>
      </c>
    </row>
    <row r="502" spans="5:9" ht="10.5" thickBot="1">
      <c r="E502" s="220">
        <v>240</v>
      </c>
      <c r="F502" s="219">
        <v>291</v>
      </c>
      <c r="G502" s="219" t="s">
        <v>190</v>
      </c>
      <c r="H502" s="219">
        <v>261</v>
      </c>
      <c r="I502" s="219" t="s">
        <v>190</v>
      </c>
    </row>
    <row r="503" spans="5:9" ht="10.5" thickBot="1">
      <c r="E503" s="220">
        <v>300</v>
      </c>
      <c r="F503" s="219">
        <v>334</v>
      </c>
      <c r="G503" s="219" t="s">
        <v>190</v>
      </c>
      <c r="H503" s="219">
        <v>298</v>
      </c>
      <c r="I503" s="219" t="s">
        <v>190</v>
      </c>
    </row>
    <row r="504" spans="5:9" ht="10.5" thickBot="1">
      <c r="E504" s="409" t="s">
        <v>498</v>
      </c>
      <c r="F504" s="410"/>
      <c r="G504" s="410"/>
      <c r="H504" s="410"/>
      <c r="I504" s="411"/>
    </row>
    <row r="505" spans="5:9" ht="10.5" thickBot="1">
      <c r="E505" s="220" t="s">
        <v>348</v>
      </c>
      <c r="F505" s="219">
        <v>14.5</v>
      </c>
      <c r="G505" s="219">
        <v>17.5</v>
      </c>
      <c r="H505" s="219">
        <v>13.5</v>
      </c>
      <c r="I505" s="219">
        <v>15.5</v>
      </c>
    </row>
    <row r="506" spans="5:9" ht="10.5" thickBot="1">
      <c r="E506" s="220">
        <v>4</v>
      </c>
      <c r="F506" s="219">
        <v>19.5</v>
      </c>
      <c r="G506" s="219">
        <v>24</v>
      </c>
      <c r="H506" s="219">
        <v>17.5</v>
      </c>
      <c r="I506" s="219">
        <v>21</v>
      </c>
    </row>
    <row r="507" spans="5:9" ht="10.5" thickBot="1">
      <c r="E507" s="220">
        <v>6</v>
      </c>
      <c r="F507" s="219">
        <v>25</v>
      </c>
      <c r="G507" s="219">
        <v>30</v>
      </c>
      <c r="H507" s="219">
        <v>23</v>
      </c>
      <c r="I507" s="219">
        <v>27</v>
      </c>
    </row>
    <row r="508" spans="5:9" ht="10.5" thickBot="1">
      <c r="E508" s="220">
        <v>10</v>
      </c>
      <c r="F508" s="219">
        <v>33</v>
      </c>
      <c r="G508" s="219">
        <v>41</v>
      </c>
      <c r="H508" s="219">
        <v>31</v>
      </c>
      <c r="I508" s="219">
        <v>36</v>
      </c>
    </row>
    <row r="509" spans="5:9" ht="10.5" thickBot="1">
      <c r="E509" s="220">
        <v>16</v>
      </c>
      <c r="F509" s="219">
        <v>44</v>
      </c>
      <c r="G509" s="219">
        <v>54</v>
      </c>
      <c r="H509" s="219">
        <v>41</v>
      </c>
      <c r="I509" s="219">
        <v>48</v>
      </c>
    </row>
    <row r="510" spans="5:9" ht="10.5" thickBot="1">
      <c r="E510" s="220">
        <v>25</v>
      </c>
      <c r="F510" s="219">
        <v>58</v>
      </c>
      <c r="G510" s="219">
        <v>71</v>
      </c>
      <c r="H510" s="219">
        <v>53</v>
      </c>
      <c r="I510" s="219">
        <v>62</v>
      </c>
    </row>
    <row r="511" spans="5:9" ht="10.5" thickBot="1">
      <c r="E511" s="220">
        <v>35</v>
      </c>
      <c r="F511" s="219">
        <v>71</v>
      </c>
      <c r="G511" s="219">
        <v>86</v>
      </c>
      <c r="H511" s="219">
        <v>65</v>
      </c>
      <c r="I511" s="219">
        <v>77</v>
      </c>
    </row>
    <row r="512" spans="5:9" ht="10.5" thickBot="1">
      <c r="E512" s="220">
        <v>50</v>
      </c>
      <c r="F512" s="219">
        <v>86</v>
      </c>
      <c r="G512" s="219">
        <v>104</v>
      </c>
      <c r="H512" s="219">
        <v>78</v>
      </c>
      <c r="I512" s="219">
        <v>92</v>
      </c>
    </row>
    <row r="513" spans="5:9" ht="10.5" thickBot="1">
      <c r="E513" s="220">
        <v>70</v>
      </c>
      <c r="F513" s="219">
        <v>108</v>
      </c>
      <c r="G513" s="219">
        <v>131</v>
      </c>
      <c r="H513" s="219">
        <v>98</v>
      </c>
      <c r="I513" s="219">
        <v>116</v>
      </c>
    </row>
    <row r="514" spans="5:9" ht="10.5" thickBot="1">
      <c r="E514" s="220">
        <v>95</v>
      </c>
      <c r="F514" s="219">
        <v>130</v>
      </c>
      <c r="G514" s="219">
        <v>157</v>
      </c>
      <c r="H514" s="219">
        <v>118</v>
      </c>
      <c r="I514" s="219">
        <v>139</v>
      </c>
    </row>
    <row r="515" spans="5:9" ht="10.5" thickBot="1">
      <c r="E515" s="220">
        <v>120</v>
      </c>
      <c r="F515" s="219">
        <v>150</v>
      </c>
      <c r="G515" s="219">
        <v>181</v>
      </c>
      <c r="H515" s="219">
        <v>135</v>
      </c>
      <c r="I515" s="219">
        <v>160</v>
      </c>
    </row>
    <row r="516" spans="5:9" ht="10.5" thickBot="1">
      <c r="E516" s="220">
        <v>150</v>
      </c>
      <c r="F516" s="219">
        <v>172</v>
      </c>
      <c r="G516" s="219" t="s">
        <v>190</v>
      </c>
      <c r="H516" s="219">
        <v>155</v>
      </c>
      <c r="I516" s="219" t="s">
        <v>190</v>
      </c>
    </row>
    <row r="517" spans="5:9" ht="10.5" thickBot="1">
      <c r="E517" s="220">
        <v>185</v>
      </c>
      <c r="F517" s="219">
        <v>195</v>
      </c>
      <c r="G517" s="219" t="s">
        <v>190</v>
      </c>
      <c r="H517" s="219">
        <v>176</v>
      </c>
      <c r="I517" s="219" t="s">
        <v>190</v>
      </c>
    </row>
    <row r="518" spans="5:9" ht="10.5" thickBot="1">
      <c r="E518" s="220">
        <v>240</v>
      </c>
      <c r="F518" s="219">
        <v>229</v>
      </c>
      <c r="G518" s="219" t="s">
        <v>190</v>
      </c>
      <c r="H518" s="219">
        <v>207</v>
      </c>
      <c r="I518" s="219" t="s">
        <v>190</v>
      </c>
    </row>
    <row r="519" spans="5:9" ht="10.5" thickBot="1">
      <c r="E519" s="220">
        <v>300</v>
      </c>
      <c r="F519" s="219">
        <v>263</v>
      </c>
      <c r="G519" s="219" t="s">
        <v>190</v>
      </c>
      <c r="H519" s="219">
        <v>237</v>
      </c>
      <c r="I519" s="219" t="s">
        <v>190</v>
      </c>
    </row>
    <row r="520" spans="5:9" ht="11.25" customHeight="1"/>
    <row r="522" spans="5:9">
      <c r="E522" s="228" t="s">
        <v>499</v>
      </c>
    </row>
    <row r="523" spans="5:9">
      <c r="E523" s="228" t="s">
        <v>492</v>
      </c>
    </row>
    <row r="524" spans="5:9">
      <c r="E524" s="227"/>
    </row>
    <row r="525" spans="5:9">
      <c r="E525" s="227" t="s">
        <v>383</v>
      </c>
    </row>
    <row r="526" spans="5:9">
      <c r="E526" s="227" t="s">
        <v>493</v>
      </c>
    </row>
    <row r="527" spans="5:9">
      <c r="E527" s="227" t="s">
        <v>332</v>
      </c>
    </row>
    <row r="528" spans="5:9">
      <c r="E528" s="227" t="s">
        <v>387</v>
      </c>
    </row>
    <row r="529" spans="5:10">
      <c r="E529" s="227" t="s">
        <v>334</v>
      </c>
    </row>
    <row r="530" spans="5:10" ht="10.5" thickBot="1">
      <c r="E530" s="227"/>
    </row>
    <row r="531" spans="5:10" ht="20">
      <c r="E531" s="226" t="s">
        <v>335</v>
      </c>
      <c r="F531" s="389"/>
      <c r="G531" s="391"/>
      <c r="H531" s="389"/>
      <c r="I531" s="391"/>
    </row>
    <row r="532" spans="5:10" ht="20">
      <c r="E532" s="225" t="s">
        <v>337</v>
      </c>
      <c r="F532" s="413" t="s">
        <v>494</v>
      </c>
      <c r="G532" s="414"/>
      <c r="H532" s="413" t="s">
        <v>408</v>
      </c>
      <c r="I532" s="414"/>
    </row>
    <row r="533" spans="5:10" ht="10.5" thickBot="1">
      <c r="E533" s="220" t="s">
        <v>338</v>
      </c>
      <c r="F533" s="401"/>
      <c r="G533" s="403"/>
      <c r="H533" s="401"/>
      <c r="I533" s="403"/>
    </row>
    <row r="534" spans="5:10" ht="10.5" thickBot="1">
      <c r="E534" s="220" t="s">
        <v>438</v>
      </c>
      <c r="F534" s="219" t="s">
        <v>495</v>
      </c>
      <c r="G534" s="219" t="s">
        <v>496</v>
      </c>
      <c r="H534" s="219" t="s">
        <v>495</v>
      </c>
      <c r="I534" s="219" t="s">
        <v>496</v>
      </c>
    </row>
    <row r="535" spans="5:10" ht="10.5" thickBot="1">
      <c r="E535" s="220" t="s">
        <v>441</v>
      </c>
      <c r="F535" s="219">
        <v>2</v>
      </c>
      <c r="G535" s="219">
        <v>3</v>
      </c>
      <c r="H535" s="219">
        <v>4</v>
      </c>
      <c r="I535" s="219">
        <v>5</v>
      </c>
    </row>
    <row r="536" spans="5:10" ht="10.5" thickBot="1">
      <c r="E536" s="409" t="s">
        <v>342</v>
      </c>
      <c r="F536" s="410"/>
      <c r="G536" s="410"/>
      <c r="H536" s="410"/>
      <c r="I536" s="411"/>
    </row>
    <row r="537" spans="5:10" ht="10.5" thickBot="1">
      <c r="E537" s="220" t="s">
        <v>343</v>
      </c>
      <c r="F537" s="219" t="s">
        <v>467</v>
      </c>
      <c r="G537" s="219">
        <v>22</v>
      </c>
      <c r="H537" s="219" t="s">
        <v>497</v>
      </c>
      <c r="I537" s="219" t="s">
        <v>346</v>
      </c>
    </row>
    <row r="538" spans="5:10" ht="10.5" thickBot="1">
      <c r="E538" s="220" t="s">
        <v>348</v>
      </c>
      <c r="F538" s="219">
        <v>25</v>
      </c>
      <c r="G538" s="219">
        <v>30</v>
      </c>
      <c r="H538" s="219">
        <v>22</v>
      </c>
      <c r="I538" s="219">
        <v>26</v>
      </c>
    </row>
    <row r="539" spans="5:10" ht="10.5" thickBot="1">
      <c r="E539" s="220">
        <v>4</v>
      </c>
      <c r="F539" s="219">
        <v>33</v>
      </c>
      <c r="G539" s="219">
        <v>40</v>
      </c>
      <c r="H539" s="219">
        <v>30</v>
      </c>
      <c r="I539" s="219">
        <v>35</v>
      </c>
    </row>
    <row r="540" spans="5:10" ht="10.5" thickBot="1">
      <c r="E540" s="220">
        <v>6</v>
      </c>
      <c r="F540" s="219">
        <v>42</v>
      </c>
      <c r="G540" s="219">
        <v>51</v>
      </c>
      <c r="H540" s="219">
        <v>38</v>
      </c>
      <c r="I540" s="219">
        <v>44</v>
      </c>
    </row>
    <row r="541" spans="5:10" ht="10.5" thickBot="1">
      <c r="E541" s="220">
        <v>10</v>
      </c>
      <c r="F541" s="219">
        <v>57</v>
      </c>
      <c r="G541" s="219">
        <v>69</v>
      </c>
      <c r="H541" s="219">
        <v>51</v>
      </c>
      <c r="I541" s="219">
        <v>60</v>
      </c>
    </row>
    <row r="542" spans="5:10" ht="10.5" thickBot="1">
      <c r="E542" s="220">
        <v>16</v>
      </c>
      <c r="F542" s="219">
        <v>76</v>
      </c>
      <c r="G542" s="219">
        <v>91</v>
      </c>
      <c r="H542" s="219">
        <v>68</v>
      </c>
      <c r="I542" s="219">
        <v>80</v>
      </c>
    </row>
    <row r="543" spans="5:10" ht="20.9" customHeight="1" thickBot="1">
      <c r="E543" s="220">
        <v>25</v>
      </c>
      <c r="F543" s="219">
        <v>99</v>
      </c>
      <c r="G543" s="219">
        <v>119</v>
      </c>
      <c r="H543" s="219">
        <v>89</v>
      </c>
      <c r="I543" s="219">
        <v>105</v>
      </c>
      <c r="J543" s="412"/>
    </row>
    <row r="544" spans="5:10" ht="21" customHeight="1" thickBot="1">
      <c r="E544" s="220">
        <v>35</v>
      </c>
      <c r="F544" s="219">
        <v>121</v>
      </c>
      <c r="G544" s="219">
        <v>146</v>
      </c>
      <c r="H544" s="219">
        <v>109</v>
      </c>
      <c r="I544" s="219">
        <v>128</v>
      </c>
      <c r="J544" s="412"/>
    </row>
    <row r="545" spans="5:10" ht="10.5" thickBot="1">
      <c r="E545" s="220">
        <v>50</v>
      </c>
      <c r="F545" s="219">
        <v>145</v>
      </c>
      <c r="G545" s="219">
        <v>175</v>
      </c>
      <c r="H545" s="219">
        <v>130</v>
      </c>
      <c r="I545" s="219">
        <v>154</v>
      </c>
      <c r="J545" s="221"/>
    </row>
    <row r="546" spans="5:10" ht="11.25" customHeight="1" thickBot="1">
      <c r="E546" s="220">
        <v>70</v>
      </c>
      <c r="F546" s="219">
        <v>183</v>
      </c>
      <c r="G546" s="219">
        <v>221</v>
      </c>
      <c r="H546" s="219">
        <v>164</v>
      </c>
      <c r="I546" s="219">
        <v>194</v>
      </c>
      <c r="J546" s="221"/>
    </row>
    <row r="547" spans="5:10" ht="10.5" thickBot="1">
      <c r="E547" s="220">
        <v>95</v>
      </c>
      <c r="F547" s="219">
        <v>220</v>
      </c>
      <c r="G547" s="219">
        <v>265</v>
      </c>
      <c r="H547" s="219">
        <v>197</v>
      </c>
      <c r="I547" s="219">
        <v>233</v>
      </c>
      <c r="J547" s="221"/>
    </row>
    <row r="548" spans="5:10" ht="10.5" thickBot="1">
      <c r="E548" s="220">
        <v>120</v>
      </c>
      <c r="F548" s="219">
        <v>253</v>
      </c>
      <c r="G548" s="219">
        <v>305</v>
      </c>
      <c r="H548" s="219">
        <v>227</v>
      </c>
      <c r="I548" s="219">
        <v>268</v>
      </c>
      <c r="J548" s="221"/>
    </row>
    <row r="549" spans="5:10" ht="10.5" thickBot="1">
      <c r="E549" s="220">
        <v>150</v>
      </c>
      <c r="F549" s="219">
        <v>290</v>
      </c>
      <c r="G549" s="219" t="s">
        <v>190</v>
      </c>
      <c r="H549" s="219">
        <v>259</v>
      </c>
      <c r="I549" s="219" t="s">
        <v>190</v>
      </c>
      <c r="J549" s="221"/>
    </row>
    <row r="550" spans="5:10" ht="10.5" thickBot="1">
      <c r="E550" s="220">
        <v>185</v>
      </c>
      <c r="F550" s="219">
        <v>329</v>
      </c>
      <c r="G550" s="219" t="s">
        <v>190</v>
      </c>
      <c r="H550" s="219">
        <v>295</v>
      </c>
      <c r="I550" s="219" t="s">
        <v>190</v>
      </c>
      <c r="J550" s="221"/>
    </row>
    <row r="551" spans="5:10" ht="10.5" thickBot="1">
      <c r="E551" s="220">
        <v>240</v>
      </c>
      <c r="F551" s="219">
        <v>386</v>
      </c>
      <c r="G551" s="219" t="s">
        <v>190</v>
      </c>
      <c r="H551" s="219">
        <v>346</v>
      </c>
      <c r="I551" s="219" t="s">
        <v>190</v>
      </c>
      <c r="J551" s="221"/>
    </row>
    <row r="552" spans="5:10" ht="10.5" thickBot="1">
      <c r="E552" s="220">
        <v>300</v>
      </c>
      <c r="F552" s="219">
        <v>442</v>
      </c>
      <c r="G552" s="219" t="s">
        <v>190</v>
      </c>
      <c r="H552" s="219">
        <v>396</v>
      </c>
      <c r="I552" s="219" t="s">
        <v>190</v>
      </c>
      <c r="J552" s="221"/>
    </row>
    <row r="553" spans="5:10" ht="10.5" thickBot="1">
      <c r="E553" s="409" t="s">
        <v>498</v>
      </c>
      <c r="F553" s="410"/>
      <c r="G553" s="410"/>
      <c r="H553" s="410"/>
      <c r="I553" s="411"/>
      <c r="J553" s="221"/>
    </row>
    <row r="554" spans="5:10" ht="10.5" thickBot="1">
      <c r="E554" s="220" t="s">
        <v>348</v>
      </c>
      <c r="F554" s="219">
        <v>19.5</v>
      </c>
      <c r="G554" s="219">
        <v>23</v>
      </c>
      <c r="H554" s="219">
        <v>18</v>
      </c>
      <c r="I554" s="219">
        <v>21</v>
      </c>
      <c r="J554" s="221"/>
    </row>
    <row r="555" spans="5:10" ht="10.5" thickBot="1">
      <c r="E555" s="220">
        <v>4</v>
      </c>
      <c r="F555" s="219">
        <v>26</v>
      </c>
      <c r="G555" s="219">
        <v>31</v>
      </c>
      <c r="H555" s="219">
        <v>24</v>
      </c>
      <c r="I555" s="219">
        <v>28</v>
      </c>
      <c r="J555" s="221"/>
    </row>
    <row r="556" spans="5:10" ht="10.5" thickBot="1">
      <c r="E556" s="220">
        <v>6</v>
      </c>
      <c r="F556" s="219">
        <v>33</v>
      </c>
      <c r="G556" s="219">
        <v>40</v>
      </c>
      <c r="H556" s="219">
        <v>31</v>
      </c>
      <c r="I556" s="219">
        <v>35</v>
      </c>
      <c r="J556" s="221"/>
    </row>
    <row r="557" spans="5:10" ht="10.5" thickBot="1">
      <c r="E557" s="220">
        <v>10</v>
      </c>
      <c r="F557" s="219">
        <v>45</v>
      </c>
      <c r="G557" s="219">
        <v>54</v>
      </c>
      <c r="H557" s="219">
        <v>41</v>
      </c>
      <c r="I557" s="219">
        <v>48</v>
      </c>
      <c r="J557" s="221"/>
    </row>
    <row r="558" spans="5:10" ht="10.5" thickBot="1">
      <c r="E558" s="220">
        <v>16</v>
      </c>
      <c r="F558" s="219">
        <v>60</v>
      </c>
      <c r="G558" s="219">
        <v>72</v>
      </c>
      <c r="H558" s="219">
        <v>55</v>
      </c>
      <c r="I558" s="219">
        <v>64</v>
      </c>
      <c r="J558" s="221"/>
    </row>
    <row r="559" spans="5:10" ht="10.5" thickBot="1">
      <c r="E559" s="220">
        <v>25</v>
      </c>
      <c r="F559" s="219">
        <v>78</v>
      </c>
      <c r="G559" s="219">
        <v>94</v>
      </c>
      <c r="H559" s="219">
        <v>71</v>
      </c>
      <c r="I559" s="219">
        <v>84</v>
      </c>
      <c r="J559" s="221"/>
    </row>
    <row r="560" spans="5:10" ht="10.5" thickBot="1">
      <c r="E560" s="220">
        <v>35</v>
      </c>
      <c r="F560" s="219">
        <v>96</v>
      </c>
      <c r="G560" s="219">
        <v>115</v>
      </c>
      <c r="H560" s="219">
        <v>87</v>
      </c>
      <c r="I560" s="219">
        <v>103</v>
      </c>
      <c r="J560" s="221"/>
    </row>
    <row r="561" spans="5:11" ht="10.5" thickBot="1">
      <c r="E561" s="220">
        <v>50</v>
      </c>
      <c r="F561" s="219">
        <v>115</v>
      </c>
      <c r="G561" s="219">
        <v>138</v>
      </c>
      <c r="H561" s="219">
        <v>104</v>
      </c>
      <c r="I561" s="219">
        <v>124</v>
      </c>
      <c r="J561" s="221"/>
    </row>
    <row r="562" spans="5:11" ht="10.5" thickBot="1">
      <c r="E562" s="220">
        <v>70</v>
      </c>
      <c r="F562" s="219">
        <v>145</v>
      </c>
      <c r="G562" s="219">
        <v>175</v>
      </c>
      <c r="H562" s="219">
        <v>131</v>
      </c>
      <c r="I562" s="219">
        <v>156</v>
      </c>
    </row>
    <row r="563" spans="5:11" ht="10.75" customHeight="1" thickBot="1">
      <c r="E563" s="220">
        <v>95</v>
      </c>
      <c r="F563" s="219">
        <v>175</v>
      </c>
      <c r="G563" s="219">
        <v>210</v>
      </c>
      <c r="H563" s="219">
        <v>157</v>
      </c>
      <c r="I563" s="219">
        <v>188</v>
      </c>
    </row>
    <row r="564" spans="5:11" ht="10.5" thickBot="1">
      <c r="E564" s="220">
        <v>120</v>
      </c>
      <c r="F564" s="219">
        <v>201</v>
      </c>
      <c r="G564" s="219">
        <v>242</v>
      </c>
      <c r="H564" s="219">
        <v>180</v>
      </c>
      <c r="I564" s="219">
        <v>216</v>
      </c>
    </row>
    <row r="565" spans="5:11" ht="10.5" thickBot="1">
      <c r="E565" s="220">
        <v>150</v>
      </c>
      <c r="F565" s="219">
        <v>230</v>
      </c>
      <c r="G565" s="219" t="s">
        <v>190</v>
      </c>
      <c r="H565" s="219">
        <v>206</v>
      </c>
      <c r="I565" s="219" t="s">
        <v>190</v>
      </c>
    </row>
    <row r="566" spans="5:11" ht="10.5" thickBot="1">
      <c r="E566" s="220">
        <v>185</v>
      </c>
      <c r="F566" s="219">
        <v>262</v>
      </c>
      <c r="G566" s="219" t="s">
        <v>190</v>
      </c>
      <c r="H566" s="219">
        <v>233</v>
      </c>
      <c r="I566" s="219" t="s">
        <v>190</v>
      </c>
    </row>
    <row r="567" spans="5:11" ht="10.5" thickBot="1">
      <c r="E567" s="220">
        <v>240</v>
      </c>
      <c r="F567" s="219">
        <v>307</v>
      </c>
      <c r="G567" s="219" t="s">
        <v>190</v>
      </c>
      <c r="H567" s="219">
        <v>273</v>
      </c>
      <c r="I567" s="219" t="s">
        <v>190</v>
      </c>
    </row>
    <row r="568" spans="5:11" ht="10.5" thickBot="1">
      <c r="E568" s="220">
        <v>300</v>
      </c>
      <c r="F568" s="219">
        <v>352</v>
      </c>
      <c r="G568" s="219" t="s">
        <v>190</v>
      </c>
      <c r="H568" s="219">
        <v>313</v>
      </c>
      <c r="I568" s="219" t="s">
        <v>190</v>
      </c>
    </row>
    <row r="571" spans="5:11">
      <c r="E571" s="228" t="s">
        <v>500</v>
      </c>
    </row>
    <row r="572" spans="5:11">
      <c r="E572" s="228" t="s">
        <v>501</v>
      </c>
    </row>
    <row r="573" spans="5:11">
      <c r="E573" s="227" t="s">
        <v>502</v>
      </c>
    </row>
    <row r="574" spans="5:11" ht="10.5" thickBot="1">
      <c r="E574" s="227"/>
    </row>
    <row r="575" spans="5:11" ht="20">
      <c r="E575" s="226" t="s">
        <v>335</v>
      </c>
      <c r="F575" s="389" t="s">
        <v>503</v>
      </c>
      <c r="G575" s="390"/>
      <c r="H575" s="390"/>
      <c r="I575" s="391"/>
    </row>
    <row r="576" spans="5:11" ht="10.5" customHeight="1" thickBot="1">
      <c r="E576" s="225" t="s">
        <v>337</v>
      </c>
      <c r="F576" s="401" t="s">
        <v>504</v>
      </c>
      <c r="G576" s="402"/>
      <c r="H576" s="402"/>
      <c r="I576" s="403"/>
      <c r="J576" s="280"/>
      <c r="K576" s="280"/>
    </row>
    <row r="577" spans="5:11" ht="10.5" customHeight="1" thickBot="1">
      <c r="E577" s="224" t="s">
        <v>338</v>
      </c>
      <c r="F577" s="220" t="s">
        <v>505</v>
      </c>
      <c r="G577" s="223" t="s">
        <v>506</v>
      </c>
      <c r="H577" s="223" t="s">
        <v>507</v>
      </c>
      <c r="I577" s="223" t="s">
        <v>508</v>
      </c>
      <c r="J577" s="280"/>
      <c r="K577" s="280"/>
    </row>
    <row r="578" spans="5:11" ht="10.5" customHeight="1" thickBot="1">
      <c r="E578" s="409" t="s">
        <v>342</v>
      </c>
      <c r="F578" s="410"/>
      <c r="G578" s="410"/>
      <c r="H578" s="410"/>
      <c r="I578" s="411"/>
      <c r="J578" s="280"/>
      <c r="K578" s="280"/>
    </row>
    <row r="579" spans="5:11" ht="10.5" customHeight="1" thickBot="1">
      <c r="E579" s="220" t="s">
        <v>343</v>
      </c>
      <c r="F579" s="219">
        <v>26</v>
      </c>
      <c r="G579" s="219">
        <v>32</v>
      </c>
      <c r="H579" s="219">
        <v>31</v>
      </c>
      <c r="I579" s="219">
        <v>37</v>
      </c>
      <c r="J579" s="280"/>
      <c r="K579" s="280"/>
    </row>
    <row r="580" spans="5:11" ht="10.5" customHeight="1" thickBot="1">
      <c r="E580" s="220" t="s">
        <v>348</v>
      </c>
      <c r="F580" s="219">
        <v>34</v>
      </c>
      <c r="G580" s="219">
        <v>42</v>
      </c>
      <c r="H580" s="219">
        <v>41</v>
      </c>
      <c r="I580" s="219">
        <v>48</v>
      </c>
      <c r="J580" s="280"/>
      <c r="K580" s="280"/>
    </row>
    <row r="581" spans="5:11" ht="10.5" customHeight="1" thickBot="1">
      <c r="E581" s="220">
        <v>4</v>
      </c>
      <c r="F581" s="219">
        <v>44</v>
      </c>
      <c r="G581" s="219">
        <v>54</v>
      </c>
      <c r="H581" s="219">
        <v>53</v>
      </c>
      <c r="I581" s="219">
        <v>63</v>
      </c>
      <c r="J581" s="280"/>
      <c r="K581" s="280"/>
    </row>
    <row r="582" spans="5:11" ht="10.5" thickBot="1">
      <c r="E582" s="220">
        <v>6</v>
      </c>
      <c r="F582" s="219">
        <v>56</v>
      </c>
      <c r="G582" s="219">
        <v>67</v>
      </c>
      <c r="H582" s="219">
        <v>66</v>
      </c>
      <c r="I582" s="222">
        <v>80</v>
      </c>
    </row>
    <row r="583" spans="5:11" ht="10.5" thickBot="1">
      <c r="E583" s="220">
        <v>10</v>
      </c>
      <c r="F583" s="219">
        <v>74</v>
      </c>
      <c r="G583" s="219">
        <v>90</v>
      </c>
      <c r="H583" s="219">
        <v>87</v>
      </c>
      <c r="I583" s="219">
        <v>104</v>
      </c>
    </row>
    <row r="584" spans="5:11" ht="10.5" thickBot="1">
      <c r="E584" s="220">
        <v>16</v>
      </c>
      <c r="F584" s="219">
        <v>96</v>
      </c>
      <c r="G584" s="219">
        <v>116</v>
      </c>
      <c r="H584" s="219">
        <v>113</v>
      </c>
      <c r="I584" s="219">
        <v>136</v>
      </c>
    </row>
    <row r="585" spans="5:11" ht="10.5" thickBot="1">
      <c r="E585" s="220">
        <v>25</v>
      </c>
      <c r="F585" s="219">
        <v>123</v>
      </c>
      <c r="G585" s="219">
        <v>148</v>
      </c>
      <c r="H585" s="219">
        <v>144</v>
      </c>
      <c r="I585" s="219">
        <v>173</v>
      </c>
    </row>
    <row r="586" spans="5:11" ht="10.5" thickBot="1">
      <c r="E586" s="220">
        <v>35</v>
      </c>
      <c r="F586" s="219">
        <v>147</v>
      </c>
      <c r="G586" s="219">
        <v>178</v>
      </c>
      <c r="H586" s="219">
        <v>174</v>
      </c>
      <c r="I586" s="219">
        <v>208</v>
      </c>
    </row>
    <row r="587" spans="5:11" ht="10.5" thickBot="1">
      <c r="E587" s="220">
        <v>50</v>
      </c>
      <c r="F587" s="219">
        <v>174</v>
      </c>
      <c r="G587" s="219">
        <v>211</v>
      </c>
      <c r="H587" s="219">
        <v>206</v>
      </c>
      <c r="I587" s="219">
        <v>247</v>
      </c>
    </row>
    <row r="588" spans="5:11" ht="10.5" thickBot="1">
      <c r="E588" s="220">
        <v>70</v>
      </c>
      <c r="F588" s="219">
        <v>216</v>
      </c>
      <c r="G588" s="219">
        <v>261</v>
      </c>
      <c r="H588" s="219">
        <v>254</v>
      </c>
      <c r="I588" s="219">
        <v>304</v>
      </c>
    </row>
    <row r="589" spans="5:11" ht="10.5" thickBot="1">
      <c r="E589" s="220">
        <v>95</v>
      </c>
      <c r="F589" s="219">
        <v>256</v>
      </c>
      <c r="G589" s="219">
        <v>308</v>
      </c>
      <c r="H589" s="219">
        <v>301</v>
      </c>
      <c r="I589" s="219">
        <v>360</v>
      </c>
    </row>
    <row r="590" spans="5:11" ht="10.5" thickBot="1">
      <c r="E590" s="220">
        <v>120</v>
      </c>
      <c r="F590" s="219">
        <v>290</v>
      </c>
      <c r="G590" s="219">
        <v>351</v>
      </c>
      <c r="H590" s="219">
        <v>343</v>
      </c>
      <c r="I590" s="219">
        <v>410</v>
      </c>
    </row>
    <row r="591" spans="5:11" ht="10.5" thickBot="1">
      <c r="E591" s="220">
        <v>150</v>
      </c>
      <c r="F591" s="219">
        <v>328</v>
      </c>
      <c r="G591" s="219">
        <v>397</v>
      </c>
      <c r="H591" s="219">
        <v>387</v>
      </c>
      <c r="I591" s="219">
        <v>463</v>
      </c>
    </row>
    <row r="592" spans="5:11" ht="12" customHeight="1" thickBot="1">
      <c r="E592" s="220">
        <v>185</v>
      </c>
      <c r="F592" s="219">
        <v>367</v>
      </c>
      <c r="G592" s="219">
        <v>445</v>
      </c>
      <c r="H592" s="219">
        <v>434</v>
      </c>
      <c r="I592" s="219">
        <v>518</v>
      </c>
    </row>
    <row r="593" spans="5:9" ht="10.5" thickBot="1">
      <c r="E593" s="220">
        <v>240</v>
      </c>
      <c r="F593" s="219">
        <v>424</v>
      </c>
      <c r="G593" s="219">
        <v>514</v>
      </c>
      <c r="H593" s="219">
        <v>501</v>
      </c>
      <c r="I593" s="219">
        <v>598</v>
      </c>
    </row>
    <row r="594" spans="5:9" ht="10.5" thickBot="1">
      <c r="E594" s="220">
        <v>300</v>
      </c>
      <c r="F594" s="219">
        <v>480</v>
      </c>
      <c r="G594" s="219">
        <v>581</v>
      </c>
      <c r="H594" s="219">
        <v>565</v>
      </c>
      <c r="I594" s="219">
        <v>677</v>
      </c>
    </row>
    <row r="595" spans="5:9" ht="10.5" thickBot="1">
      <c r="E595" s="398" t="s">
        <v>509</v>
      </c>
      <c r="F595" s="399"/>
      <c r="G595" s="399"/>
      <c r="H595" s="399"/>
      <c r="I595" s="400"/>
    </row>
    <row r="596" spans="5:9" ht="13" thickBot="1">
      <c r="E596" s="282">
        <v>10</v>
      </c>
      <c r="F596" s="281">
        <v>57</v>
      </c>
      <c r="G596" s="281">
        <v>68</v>
      </c>
      <c r="H596" s="283">
        <v>67</v>
      </c>
      <c r="I596" s="281">
        <v>80</v>
      </c>
    </row>
    <row r="597" spans="5:9" ht="13" thickBot="1">
      <c r="E597" s="281">
        <v>16</v>
      </c>
      <c r="F597" s="281">
        <v>74</v>
      </c>
      <c r="G597" s="281">
        <v>88</v>
      </c>
      <c r="H597" s="283">
        <v>87</v>
      </c>
      <c r="I597" s="281">
        <v>104</v>
      </c>
    </row>
    <row r="598" spans="5:9" ht="13" thickBot="1">
      <c r="E598" s="281">
        <v>25</v>
      </c>
      <c r="F598" s="281">
        <v>94</v>
      </c>
      <c r="G598" s="281">
        <v>114</v>
      </c>
      <c r="H598" s="283">
        <v>111</v>
      </c>
      <c r="I598" s="281">
        <v>133</v>
      </c>
    </row>
    <row r="599" spans="5:9" ht="13" thickBot="1">
      <c r="E599" s="282">
        <v>35</v>
      </c>
      <c r="F599" s="282">
        <v>114</v>
      </c>
      <c r="G599" s="282">
        <v>137</v>
      </c>
      <c r="H599" s="283">
        <v>134</v>
      </c>
      <c r="I599" s="281">
        <v>160</v>
      </c>
    </row>
    <row r="600" spans="5:9" ht="13" thickBot="1">
      <c r="E600" s="281">
        <v>50</v>
      </c>
      <c r="F600" s="281">
        <v>134</v>
      </c>
      <c r="G600" s="281">
        <v>161</v>
      </c>
      <c r="H600" s="283">
        <v>160</v>
      </c>
      <c r="I600" s="281">
        <v>188</v>
      </c>
    </row>
    <row r="601" spans="5:9" ht="13" thickBot="1">
      <c r="E601" s="281">
        <v>70</v>
      </c>
      <c r="F601" s="281">
        <v>167</v>
      </c>
      <c r="G601" s="281">
        <v>200</v>
      </c>
      <c r="H601" s="283">
        <v>197</v>
      </c>
      <c r="I601" s="281">
        <v>233</v>
      </c>
    </row>
    <row r="602" spans="5:9" ht="13" thickBot="1">
      <c r="E602" s="281">
        <v>95</v>
      </c>
      <c r="F602" s="281">
        <v>197</v>
      </c>
      <c r="G602" s="281">
        <v>237</v>
      </c>
      <c r="H602" s="283">
        <v>234</v>
      </c>
      <c r="I602" s="281">
        <v>275</v>
      </c>
    </row>
    <row r="603" spans="5:9" ht="13" thickBot="1">
      <c r="E603" s="281">
        <v>120</v>
      </c>
      <c r="F603" s="281">
        <v>224</v>
      </c>
      <c r="G603" s="281">
        <v>270</v>
      </c>
      <c r="H603" s="283">
        <v>266</v>
      </c>
      <c r="I603" s="281">
        <v>314</v>
      </c>
    </row>
    <row r="604" spans="5:9" ht="13" thickBot="1">
      <c r="E604" s="281">
        <v>150</v>
      </c>
      <c r="F604" s="281">
        <v>254</v>
      </c>
      <c r="G604" s="281">
        <v>304</v>
      </c>
      <c r="H604" s="283">
        <v>300</v>
      </c>
      <c r="I604" s="281">
        <v>359</v>
      </c>
    </row>
    <row r="605" spans="5:9" ht="13" thickBot="1">
      <c r="E605" s="281">
        <v>185</v>
      </c>
      <c r="F605" s="281">
        <v>285</v>
      </c>
      <c r="G605" s="281">
        <v>343</v>
      </c>
      <c r="H605" s="283">
        <v>337</v>
      </c>
      <c r="I605" s="281">
        <v>398</v>
      </c>
    </row>
    <row r="606" spans="5:9" ht="13" thickBot="1">
      <c r="E606" s="281">
        <v>240</v>
      </c>
      <c r="F606" s="281">
        <v>328</v>
      </c>
      <c r="G606" s="281">
        <v>396</v>
      </c>
      <c r="H606" s="283">
        <v>388</v>
      </c>
      <c r="I606" s="281">
        <v>458</v>
      </c>
    </row>
    <row r="607" spans="5:9" ht="13" thickBot="1">
      <c r="E607" s="281">
        <v>300</v>
      </c>
      <c r="F607" s="281">
        <v>371</v>
      </c>
      <c r="G607" s="281">
        <v>447</v>
      </c>
      <c r="H607" s="283">
        <v>400</v>
      </c>
      <c r="I607" s="281">
        <v>520</v>
      </c>
    </row>
    <row r="608" spans="5:9">
      <c r="E608" s="396" t="s">
        <v>510</v>
      </c>
      <c r="F608" s="396"/>
      <c r="G608" s="396"/>
      <c r="H608" s="396"/>
      <c r="I608" s="396"/>
    </row>
    <row r="609" spans="5:9">
      <c r="E609" s="396"/>
      <c r="F609" s="396"/>
      <c r="G609" s="396"/>
      <c r="H609" s="396"/>
      <c r="I609" s="396"/>
    </row>
    <row r="610" spans="5:9">
      <c r="E610" s="396"/>
      <c r="F610" s="396"/>
      <c r="G610" s="396"/>
      <c r="H610" s="396"/>
      <c r="I610" s="396"/>
    </row>
    <row r="611" spans="5:9">
      <c r="E611" s="396"/>
      <c r="F611" s="396"/>
      <c r="G611" s="396"/>
      <c r="H611" s="396"/>
      <c r="I611" s="396"/>
    </row>
    <row r="612" spans="5:9">
      <c r="E612" s="396"/>
      <c r="F612" s="396"/>
      <c r="G612" s="396"/>
      <c r="H612" s="396"/>
      <c r="I612" s="396"/>
    </row>
    <row r="613" spans="5:9">
      <c r="E613" s="280"/>
      <c r="F613" s="280"/>
      <c r="G613" s="280"/>
      <c r="H613" s="280"/>
      <c r="I613" s="280"/>
    </row>
  </sheetData>
  <mergeCells count="138">
    <mergeCell ref="E290:J290"/>
    <mergeCell ref="E306:J306"/>
    <mergeCell ref="F321:J324"/>
    <mergeCell ref="G325:J328"/>
    <mergeCell ref="E232:I232"/>
    <mergeCell ref="F278:J278"/>
    <mergeCell ref="E286:J286"/>
    <mergeCell ref="G282:G283"/>
    <mergeCell ref="H282:H283"/>
    <mergeCell ref="J282:J283"/>
    <mergeCell ref="E250:H250"/>
    <mergeCell ref="E267:H267"/>
    <mergeCell ref="G279:J281"/>
    <mergeCell ref="G226:H226"/>
    <mergeCell ref="G227:H227"/>
    <mergeCell ref="G229:H229"/>
    <mergeCell ref="G230:H230"/>
    <mergeCell ref="F242:H242"/>
    <mergeCell ref="F243:F244"/>
    <mergeCell ref="G243:H243"/>
    <mergeCell ref="E246:H246"/>
    <mergeCell ref="E266:H266"/>
    <mergeCell ref="F13:H14"/>
    <mergeCell ref="E16:H16"/>
    <mergeCell ref="E50:H50"/>
    <mergeCell ref="E51:H51"/>
    <mergeCell ref="F532:G532"/>
    <mergeCell ref="E468:L468"/>
    <mergeCell ref="F441:G442"/>
    <mergeCell ref="H441:L442"/>
    <mergeCell ref="E148:H148"/>
    <mergeCell ref="E149:H149"/>
    <mergeCell ref="F159:H160"/>
    <mergeCell ref="E162:H162"/>
    <mergeCell ref="E195:H195"/>
    <mergeCell ref="G224:H224"/>
    <mergeCell ref="G218:H218"/>
    <mergeCell ref="G210:H210"/>
    <mergeCell ref="E211:I211"/>
    <mergeCell ref="G214:H214"/>
    <mergeCell ref="G228:H228"/>
    <mergeCell ref="E231:I231"/>
    <mergeCell ref="F63:H64"/>
    <mergeCell ref="E34:H34"/>
    <mergeCell ref="K446:K447"/>
    <mergeCell ref="E66:H66"/>
    <mergeCell ref="E99:H99"/>
    <mergeCell ref="E100:H100"/>
    <mergeCell ref="G225:H225"/>
    <mergeCell ref="E115:H115"/>
    <mergeCell ref="G212:H212"/>
    <mergeCell ref="G213:H213"/>
    <mergeCell ref="E215:I215"/>
    <mergeCell ref="G216:H216"/>
    <mergeCell ref="G217:H217"/>
    <mergeCell ref="G219:H219"/>
    <mergeCell ref="G222:H222"/>
    <mergeCell ref="G223:H223"/>
    <mergeCell ref="F112:H113"/>
    <mergeCell ref="G220:H220"/>
    <mergeCell ref="G221:H221"/>
    <mergeCell ref="E196:H196"/>
    <mergeCell ref="F206:I206"/>
    <mergeCell ref="G207:I207"/>
    <mergeCell ref="G208:H209"/>
    <mergeCell ref="I208:I209"/>
    <mergeCell ref="E132:H132"/>
    <mergeCell ref="E179:H179"/>
    <mergeCell ref="F533:G533"/>
    <mergeCell ref="H531:I531"/>
    <mergeCell ref="H532:I532"/>
    <mergeCell ref="H533:I533"/>
    <mergeCell ref="K407:L407"/>
    <mergeCell ref="F405:F406"/>
    <mergeCell ref="G405:G406"/>
    <mergeCell ref="H405:H406"/>
    <mergeCell ref="I405:I406"/>
    <mergeCell ref="K445:L445"/>
    <mergeCell ref="K408:K409"/>
    <mergeCell ref="J444:L444"/>
    <mergeCell ref="G329:G330"/>
    <mergeCell ref="H329:H330"/>
    <mergeCell ref="J329:J330"/>
    <mergeCell ref="E307:J307"/>
    <mergeCell ref="E308:J308"/>
    <mergeCell ref="E309:J309"/>
    <mergeCell ref="M405:M409"/>
    <mergeCell ref="E333:J333"/>
    <mergeCell ref="E353:J353"/>
    <mergeCell ref="E337:J337"/>
    <mergeCell ref="E608:I612"/>
    <mergeCell ref="E504:I504"/>
    <mergeCell ref="E553:I553"/>
    <mergeCell ref="E83:H83"/>
    <mergeCell ref="F531:G531"/>
    <mergeCell ref="I446:I447"/>
    <mergeCell ref="J446:J447"/>
    <mergeCell ref="E469:L469"/>
    <mergeCell ref="E470:L470"/>
    <mergeCell ref="F403:G404"/>
    <mergeCell ref="H403:L404"/>
    <mergeCell ref="G408:G409"/>
    <mergeCell ref="H408:H409"/>
    <mergeCell ref="I408:I409"/>
    <mergeCell ref="J408:J409"/>
    <mergeCell ref="J405:L405"/>
    <mergeCell ref="J406:L406"/>
    <mergeCell ref="F443:F444"/>
    <mergeCell ref="G443:G444"/>
    <mergeCell ref="H443:H444"/>
    <mergeCell ref="J366:L366"/>
    <mergeCell ref="E595:I595"/>
    <mergeCell ref="E578:I578"/>
    <mergeCell ref="F576:I576"/>
    <mergeCell ref="M28:M37"/>
    <mergeCell ref="F575:I575"/>
    <mergeCell ref="E394:L394"/>
    <mergeCell ref="E393:L393"/>
    <mergeCell ref="E392:L392"/>
    <mergeCell ref="E355:J355"/>
    <mergeCell ref="E354:J354"/>
    <mergeCell ref="J367:L367"/>
    <mergeCell ref="K368:L368"/>
    <mergeCell ref="J369:J370"/>
    <mergeCell ref="K369:K370"/>
    <mergeCell ref="F364:G365"/>
    <mergeCell ref="H364:L365"/>
    <mergeCell ref="E536:I536"/>
    <mergeCell ref="J543:J544"/>
    <mergeCell ref="F446:F447"/>
    <mergeCell ref="G446:G447"/>
    <mergeCell ref="H446:H447"/>
    <mergeCell ref="F408:F409"/>
    <mergeCell ref="I443:I444"/>
    <mergeCell ref="J443:L443"/>
    <mergeCell ref="F482:G484"/>
    <mergeCell ref="H482:I484"/>
    <mergeCell ref="E487:I487"/>
  </mergeCells>
  <phoneticPr fontId="5" type="noConversion"/>
  <pageMargins left="0.75" right="0.75" top="1" bottom="1" header="0" footer="0"/>
  <pageSetup paperSize="9" scale="66" orientation="portrait" r:id="rId1"/>
  <headerFooter alignWithMargins="0"/>
  <rowBreaks count="6" manualBreakCount="6">
    <brk id="100" max="16383" man="1"/>
    <brk id="196" max="16383" man="1"/>
    <brk id="267" max="16383" man="1"/>
    <brk id="309" max="16383" man="1"/>
    <brk id="357" max="16383" man="1"/>
    <brk id="431" max="16383" man="1"/>
  </rowBreaks>
  <drawing r:id="rId2"/>
  <legacyDrawing r:id="rId3"/>
  <tableParts count="1"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EB50-F845-41ED-A0C4-7F5E82572A0C}">
  <dimension ref="A1:AF14"/>
  <sheetViews>
    <sheetView zoomScale="78" zoomScaleNormal="115" workbookViewId="0">
      <selection activeCell="L18" sqref="L18"/>
    </sheetView>
  </sheetViews>
  <sheetFormatPr defaultRowHeight="14.5"/>
  <cols>
    <col min="1" max="1" width="42.54296875" bestFit="1" customWidth="1"/>
    <col min="2" max="2" width="15.81640625" bestFit="1" customWidth="1"/>
    <col min="3" max="3" width="15.453125" bestFit="1" customWidth="1"/>
    <col min="4" max="4" width="18.54296875" bestFit="1" customWidth="1"/>
    <col min="5" max="5" width="27.54296875" bestFit="1" customWidth="1"/>
    <col min="6" max="6" width="27.54296875" customWidth="1"/>
    <col min="7" max="7" width="19.54296875" bestFit="1" customWidth="1"/>
    <col min="8" max="8" width="19.54296875" customWidth="1"/>
    <col min="9" max="9" width="20.453125" bestFit="1" customWidth="1"/>
    <col min="10" max="10" width="14.453125" bestFit="1" customWidth="1"/>
    <col min="11" max="11" width="14.54296875" bestFit="1" customWidth="1"/>
    <col min="12" max="12" width="15.1796875" bestFit="1" customWidth="1"/>
    <col min="13" max="13" width="18.81640625" bestFit="1" customWidth="1"/>
    <col min="15" max="15" width="9.453125" customWidth="1"/>
    <col min="16" max="16" width="16.453125" customWidth="1"/>
    <col min="17" max="17" width="18.81640625" customWidth="1"/>
    <col min="18" max="18" width="18.453125" customWidth="1"/>
    <col min="25" max="25" width="9.54296875" bestFit="1" customWidth="1"/>
    <col min="26" max="26" width="20" bestFit="1" customWidth="1"/>
    <col min="27" max="27" width="19.1796875" bestFit="1" customWidth="1"/>
    <col min="28" max="28" width="18.54296875" bestFit="1" customWidth="1"/>
    <col min="30" max="30" width="18.54296875" bestFit="1" customWidth="1"/>
    <col min="32" max="32" width="17.81640625" bestFit="1" customWidth="1"/>
  </cols>
  <sheetData>
    <row r="1" spans="1:32" ht="15" thickBot="1">
      <c r="A1" s="287" t="s">
        <v>28</v>
      </c>
      <c r="B1" s="417" t="s">
        <v>511</v>
      </c>
      <c r="C1" s="418"/>
      <c r="D1" s="418"/>
      <c r="E1" s="418"/>
      <c r="F1" s="418"/>
      <c r="G1" s="418"/>
      <c r="H1" s="419"/>
      <c r="I1" s="417" t="s">
        <v>29</v>
      </c>
      <c r="J1" s="418"/>
      <c r="K1" s="418"/>
      <c r="L1" s="419"/>
      <c r="M1" s="287" t="s">
        <v>512</v>
      </c>
      <c r="X1" s="2" t="s">
        <v>513</v>
      </c>
      <c r="Z1" t="s">
        <v>514</v>
      </c>
      <c r="AB1" t="s">
        <v>515</v>
      </c>
      <c r="AD1" t="s">
        <v>516</v>
      </c>
      <c r="AF1" t="s">
        <v>517</v>
      </c>
    </row>
    <row r="2" spans="1:32" ht="15" thickBot="1">
      <c r="A2" s="288" t="s">
        <v>31</v>
      </c>
      <c r="B2" s="66" t="s">
        <v>518</v>
      </c>
      <c r="C2" s="287" t="s">
        <v>519</v>
      </c>
      <c r="D2" s="287" t="s">
        <v>520</v>
      </c>
      <c r="E2" s="65" t="s">
        <v>521</v>
      </c>
      <c r="F2" s="65" t="s">
        <v>694</v>
      </c>
      <c r="G2" s="287" t="s">
        <v>522</v>
      </c>
      <c r="H2" s="287" t="s">
        <v>695</v>
      </c>
      <c r="I2" s="287" t="s">
        <v>32</v>
      </c>
      <c r="J2" s="287" t="s">
        <v>523</v>
      </c>
      <c r="K2" s="286" t="s">
        <v>524</v>
      </c>
      <c r="L2" s="286" t="s">
        <v>696</v>
      </c>
      <c r="M2" s="287" t="s">
        <v>525</v>
      </c>
      <c r="X2" s="2" t="s">
        <v>511</v>
      </c>
      <c r="Z2" t="s">
        <v>518</v>
      </c>
      <c r="AB2" t="s">
        <v>523</v>
      </c>
      <c r="AF2" t="s">
        <v>525</v>
      </c>
    </row>
    <row r="3" spans="1:32" ht="15" thickBot="1">
      <c r="A3" s="288" t="s">
        <v>34</v>
      </c>
      <c r="B3" s="67">
        <v>440</v>
      </c>
      <c r="C3" s="287">
        <v>545</v>
      </c>
      <c r="D3" s="287">
        <v>575</v>
      </c>
      <c r="E3" s="287">
        <v>585</v>
      </c>
      <c r="F3" s="287">
        <v>590</v>
      </c>
      <c r="G3" s="287">
        <v>600</v>
      </c>
      <c r="H3" s="287">
        <v>620</v>
      </c>
      <c r="I3" s="287">
        <v>590</v>
      </c>
      <c r="J3" s="287">
        <v>550</v>
      </c>
      <c r="K3" s="286">
        <v>570</v>
      </c>
      <c r="L3" s="286">
        <v>600</v>
      </c>
      <c r="M3" s="287" t="s">
        <v>526</v>
      </c>
      <c r="X3" s="2" t="s">
        <v>527</v>
      </c>
      <c r="Z3" s="65" t="s">
        <v>519</v>
      </c>
      <c r="AB3" s="65" t="s">
        <v>524</v>
      </c>
    </row>
    <row r="4" spans="1:32" ht="15" thickBot="1">
      <c r="A4" s="288" t="s">
        <v>36</v>
      </c>
      <c r="B4" s="67">
        <v>130</v>
      </c>
      <c r="C4" s="287">
        <v>144</v>
      </c>
      <c r="D4" s="287"/>
      <c r="E4" s="287">
        <v>144</v>
      </c>
      <c r="F4" s="287">
        <v>144</v>
      </c>
      <c r="G4" s="287">
        <v>144</v>
      </c>
      <c r="H4" s="287">
        <v>132</v>
      </c>
      <c r="I4" s="287">
        <v>144</v>
      </c>
      <c r="J4" s="287">
        <v>144</v>
      </c>
      <c r="K4" s="286">
        <v>144</v>
      </c>
      <c r="L4" s="286">
        <v>144</v>
      </c>
      <c r="M4" s="287">
        <v>132</v>
      </c>
      <c r="X4" s="2" t="s">
        <v>29</v>
      </c>
      <c r="Z4" t="s">
        <v>520</v>
      </c>
      <c r="AB4" t="s">
        <v>528</v>
      </c>
    </row>
    <row r="5" spans="1:32" ht="15" thickBot="1">
      <c r="A5" s="288" t="s">
        <v>37</v>
      </c>
      <c r="B5" s="67">
        <v>37.340000000000003</v>
      </c>
      <c r="C5" s="287">
        <v>42.11</v>
      </c>
      <c r="D5" s="287">
        <v>43.6</v>
      </c>
      <c r="E5" s="287">
        <v>44</v>
      </c>
      <c r="F5" s="287">
        <v>44.16</v>
      </c>
      <c r="G5" s="287">
        <v>43.25</v>
      </c>
      <c r="H5" s="287">
        <v>40.81</v>
      </c>
      <c r="I5" s="287">
        <v>43.2</v>
      </c>
      <c r="J5" s="287">
        <v>41.8</v>
      </c>
      <c r="K5" s="286">
        <v>42.4</v>
      </c>
      <c r="L5" s="286">
        <v>43.6</v>
      </c>
      <c r="M5" s="287">
        <v>28.02</v>
      </c>
      <c r="X5" s="2" t="s">
        <v>512</v>
      </c>
      <c r="Z5" t="s">
        <v>522</v>
      </c>
    </row>
    <row r="6" spans="1:32" ht="15" thickBot="1">
      <c r="A6" s="288" t="s">
        <v>38</v>
      </c>
      <c r="B6" s="67">
        <v>11.79</v>
      </c>
      <c r="C6" s="287">
        <v>12.96</v>
      </c>
      <c r="D6" s="287">
        <v>13.21</v>
      </c>
      <c r="E6" s="287">
        <v>13.32</v>
      </c>
      <c r="F6" s="287">
        <v>13.38</v>
      </c>
      <c r="G6" s="287">
        <v>13.89</v>
      </c>
      <c r="H6" s="287">
        <v>16.649999999999999</v>
      </c>
      <c r="I6" s="287">
        <v>13.66</v>
      </c>
      <c r="J6" s="287">
        <v>13.16</v>
      </c>
      <c r="K6" s="286">
        <v>13.45</v>
      </c>
      <c r="L6" s="286">
        <v>13.77</v>
      </c>
      <c r="M6" s="287">
        <v>12.95</v>
      </c>
    </row>
    <row r="7" spans="1:32" ht="15" thickBot="1">
      <c r="A7" s="288" t="s">
        <v>39</v>
      </c>
      <c r="B7" s="67">
        <v>44.85</v>
      </c>
      <c r="C7" s="287">
        <v>49.7</v>
      </c>
      <c r="D7" s="287">
        <v>51.97</v>
      </c>
      <c r="E7" s="287">
        <v>52.37</v>
      </c>
      <c r="F7" s="287">
        <v>52.55</v>
      </c>
      <c r="G7" s="287">
        <v>52.05</v>
      </c>
      <c r="H7" s="287">
        <v>48.89</v>
      </c>
      <c r="I7" s="287">
        <v>51.8</v>
      </c>
      <c r="J7" s="287">
        <v>50.1</v>
      </c>
      <c r="K7" s="286">
        <v>51</v>
      </c>
      <c r="L7" s="286">
        <v>52.2</v>
      </c>
      <c r="M7" s="287">
        <v>45.67</v>
      </c>
    </row>
    <row r="8" spans="1:32" ht="15" thickBot="1">
      <c r="A8" s="288" t="s">
        <v>40</v>
      </c>
      <c r="B8" s="67">
        <v>12.5</v>
      </c>
      <c r="C8" s="287">
        <v>13.84</v>
      </c>
      <c r="D8" s="287">
        <v>14.06</v>
      </c>
      <c r="E8" s="287">
        <v>14.18</v>
      </c>
      <c r="F8" s="287">
        <v>14.24</v>
      </c>
      <c r="G8" s="287">
        <v>14.66</v>
      </c>
      <c r="H8" s="287">
        <v>17.579999999999998</v>
      </c>
      <c r="I8" s="287">
        <v>14.42</v>
      </c>
      <c r="J8" s="287">
        <v>13.9</v>
      </c>
      <c r="K8" s="286">
        <v>14.18</v>
      </c>
      <c r="L8" s="286">
        <v>14.54</v>
      </c>
      <c r="M8" s="287">
        <v>13.6</v>
      </c>
    </row>
    <row r="9" spans="1:32" ht="15" thickBot="1">
      <c r="A9" s="288" t="s">
        <v>41</v>
      </c>
      <c r="B9" s="67">
        <v>-0.25</v>
      </c>
      <c r="C9" s="287">
        <v>-0.27500000000000002</v>
      </c>
      <c r="D9" s="287">
        <v>-0.25</v>
      </c>
      <c r="E9" s="287">
        <v>-0.25</v>
      </c>
      <c r="F9" s="287">
        <v>-0.25</v>
      </c>
      <c r="G9" s="287">
        <v>-0.25</v>
      </c>
      <c r="H9" s="287">
        <v>-0.25</v>
      </c>
      <c r="I9" s="287">
        <v>-0.25</v>
      </c>
      <c r="J9" s="287">
        <v>-0.28999999999999998</v>
      </c>
      <c r="K9" s="286">
        <v>-0.25</v>
      </c>
      <c r="L9" s="286">
        <v>-0.25</v>
      </c>
      <c r="M9" s="287">
        <v>-0.27</v>
      </c>
    </row>
    <row r="10" spans="1:32" ht="15" thickBot="1">
      <c r="A10" s="288" t="s">
        <v>42</v>
      </c>
      <c r="B10" s="67">
        <v>0.04</v>
      </c>
      <c r="C10" s="287">
        <v>4.4999999999999998E-2</v>
      </c>
      <c r="D10" s="287">
        <v>4.5999999999999999E-2</v>
      </c>
      <c r="E10" s="287">
        <v>4.5999999999999999E-2</v>
      </c>
      <c r="F10" s="287">
        <v>4.5999999999999999E-2</v>
      </c>
      <c r="G10" s="287">
        <v>4.5999999999999999E-2</v>
      </c>
      <c r="H10" s="287">
        <v>4.5999999999999999E-2</v>
      </c>
      <c r="I10" s="287">
        <v>4.5999999999999999E-2</v>
      </c>
      <c r="J10" s="287">
        <v>0.05</v>
      </c>
      <c r="K10" s="286">
        <v>4.5999999999999999E-2</v>
      </c>
      <c r="L10" s="286">
        <v>4.5999999999999999E-2</v>
      </c>
      <c r="M10" s="287">
        <v>0.04</v>
      </c>
    </row>
    <row r="11" spans="1:32" ht="15" thickBot="1">
      <c r="A11" s="288" t="s">
        <v>43</v>
      </c>
      <c r="B11" s="67">
        <v>-0.34</v>
      </c>
      <c r="C11" s="287">
        <v>-0.35</v>
      </c>
      <c r="D11" s="287">
        <v>-0.28999999999999998</v>
      </c>
      <c r="E11" s="287">
        <v>-0.28999999999999998</v>
      </c>
      <c r="F11" s="287">
        <v>-0.28999999999999998</v>
      </c>
      <c r="G11" s="287">
        <v>-0.28999999999999998</v>
      </c>
      <c r="H11" s="287">
        <v>-0.28999999999999998</v>
      </c>
      <c r="I11" s="287">
        <v>0.3</v>
      </c>
      <c r="J11" s="287">
        <v>-0.28999999999999998</v>
      </c>
      <c r="K11" s="286">
        <v>-0.3</v>
      </c>
      <c r="L11" s="286">
        <v>-0.3</v>
      </c>
      <c r="M11" s="287">
        <v>-0.34</v>
      </c>
    </row>
    <row r="12" spans="1:32" ht="15" thickBot="1">
      <c r="A12" s="288" t="s">
        <v>44</v>
      </c>
      <c r="B12" s="67">
        <v>-10</v>
      </c>
      <c r="C12" s="287">
        <v>-10</v>
      </c>
      <c r="D12" s="287">
        <v>-40</v>
      </c>
      <c r="E12" s="287">
        <v>-40</v>
      </c>
      <c r="F12" s="287">
        <v>-40</v>
      </c>
      <c r="G12" s="287">
        <v>-40</v>
      </c>
      <c r="H12" s="287">
        <v>-40</v>
      </c>
      <c r="I12" s="287">
        <v>-40</v>
      </c>
      <c r="J12" s="287">
        <v>-10</v>
      </c>
      <c r="K12" s="286">
        <v>-10</v>
      </c>
      <c r="L12" s="286">
        <v>-10</v>
      </c>
      <c r="M12" s="287">
        <v>-40</v>
      </c>
    </row>
    <row r="13" spans="1:32" ht="15" thickBot="1">
      <c r="A13" s="288" t="s">
        <v>45</v>
      </c>
      <c r="B13" s="67">
        <v>21.2</v>
      </c>
      <c r="C13" s="287">
        <v>21.1</v>
      </c>
      <c r="D13" s="287">
        <v>22.6</v>
      </c>
      <c r="E13" s="287">
        <v>22.7</v>
      </c>
      <c r="F13" s="287">
        <v>22.8</v>
      </c>
      <c r="G13" s="287">
        <v>23.5</v>
      </c>
      <c r="H13" s="287">
        <v>22.8</v>
      </c>
      <c r="I13" s="287">
        <v>23.02</v>
      </c>
      <c r="J13" s="287">
        <v>21.28</v>
      </c>
      <c r="K13" s="286">
        <v>22.06</v>
      </c>
      <c r="L13" s="286">
        <v>23.42</v>
      </c>
      <c r="M13" s="287">
        <v>21.5</v>
      </c>
    </row>
    <row r="14" spans="1:32" ht="15" thickBot="1">
      <c r="A14" s="288" t="s">
        <v>46</v>
      </c>
      <c r="B14" s="67">
        <v>84.8</v>
      </c>
      <c r="C14" s="287">
        <v>84.8</v>
      </c>
      <c r="D14" s="287">
        <v>89.4</v>
      </c>
      <c r="E14" s="287">
        <v>89.4</v>
      </c>
      <c r="F14" s="287">
        <v>89.4</v>
      </c>
      <c r="G14" s="287">
        <v>89.4</v>
      </c>
      <c r="H14" s="287">
        <v>87.4</v>
      </c>
      <c r="I14" s="287">
        <v>87.4</v>
      </c>
      <c r="J14" s="287">
        <v>87.2</v>
      </c>
      <c r="K14" s="286">
        <f>99-(24*0.4)</f>
        <v>89.4</v>
      </c>
      <c r="L14" s="286">
        <v>89.4</v>
      </c>
      <c r="M14" s="287">
        <v>86</v>
      </c>
    </row>
  </sheetData>
  <mergeCells count="2">
    <mergeCell ref="B1:H1"/>
    <mergeCell ref="I1:L1"/>
  </mergeCell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BF7BF-4DA2-4C1C-B9A6-288D48B89905}">
  <dimension ref="A1:EN53"/>
  <sheetViews>
    <sheetView zoomScale="55" zoomScaleNormal="55" workbookViewId="0">
      <selection activeCell="M2" sqref="M2"/>
    </sheetView>
  </sheetViews>
  <sheetFormatPr defaultRowHeight="14.5"/>
  <cols>
    <col min="1" max="1" width="19.54296875" bestFit="1" customWidth="1"/>
    <col min="2" max="2" width="25.81640625" customWidth="1"/>
    <col min="3" max="3" width="27.1796875" customWidth="1"/>
    <col min="4" max="4" width="12.1796875" bestFit="1" customWidth="1"/>
    <col min="5" max="7" width="12.1796875" customWidth="1"/>
    <col min="8" max="8" width="14.54296875" bestFit="1" customWidth="1"/>
    <col min="9" max="9" width="12.453125" bestFit="1" customWidth="1"/>
    <col min="10" max="10" width="12.453125" customWidth="1"/>
    <col min="11" max="11" width="9.453125" bestFit="1" customWidth="1"/>
    <col min="13" max="13" width="15.453125" bestFit="1" customWidth="1"/>
    <col min="14" max="19" width="15.1796875" customWidth="1"/>
    <col min="20" max="20" width="10" bestFit="1" customWidth="1"/>
    <col min="21" max="21" width="18.1796875" bestFit="1" customWidth="1"/>
    <col min="23" max="23" width="11" bestFit="1" customWidth="1"/>
    <col min="24" max="24" width="15" bestFit="1" customWidth="1"/>
    <col min="25" max="25" width="12.81640625" bestFit="1" customWidth="1"/>
    <col min="26" max="26" width="12.453125" bestFit="1" customWidth="1"/>
    <col min="27" max="27" width="11.81640625" bestFit="1" customWidth="1"/>
    <col min="28" max="28" width="11.453125" bestFit="1" customWidth="1"/>
    <col min="29" max="29" width="10" bestFit="1" customWidth="1"/>
    <col min="30" max="30" width="10.453125" bestFit="1" customWidth="1"/>
    <col min="31" max="31" width="12.1796875" bestFit="1" customWidth="1"/>
    <col min="32" max="32" width="14.1796875" bestFit="1" customWidth="1"/>
    <col min="33" max="33" width="13.54296875" bestFit="1" customWidth="1"/>
    <col min="34" max="34" width="14.54296875" bestFit="1" customWidth="1"/>
    <col min="35" max="35" width="10.54296875" bestFit="1" customWidth="1"/>
    <col min="36" max="38" width="10.54296875" customWidth="1"/>
    <col min="39" max="39" width="11.54296875" bestFit="1" customWidth="1"/>
    <col min="40" max="40" width="15.453125" bestFit="1" customWidth="1"/>
    <col min="41" max="41" width="13.453125" bestFit="1" customWidth="1"/>
    <col min="42" max="42" width="12.81640625" bestFit="1" customWidth="1"/>
    <col min="43" max="43" width="12.453125" bestFit="1" customWidth="1"/>
    <col min="44" max="44" width="12.1796875" bestFit="1" customWidth="1"/>
    <col min="45" max="45" width="10.54296875" bestFit="1" customWidth="1"/>
    <col min="46" max="46" width="11" bestFit="1" customWidth="1"/>
    <col min="47" max="47" width="12.54296875" bestFit="1" customWidth="1"/>
    <col min="48" max="48" width="14.54296875" bestFit="1" customWidth="1"/>
    <col min="49" max="49" width="14.1796875" bestFit="1" customWidth="1"/>
    <col min="50" max="50" width="11.453125" bestFit="1" customWidth="1"/>
    <col min="51" max="51" width="11" bestFit="1" customWidth="1"/>
    <col min="52" max="53" width="13.1796875" bestFit="1" customWidth="1"/>
    <col min="54" max="54" width="11.1796875" bestFit="1" customWidth="1"/>
    <col min="55" max="55" width="10.1796875" bestFit="1" customWidth="1"/>
    <col min="56" max="56" width="7.1796875" bestFit="1" customWidth="1"/>
    <col min="57" max="58" width="7.1796875" customWidth="1"/>
    <col min="59" max="59" width="6.54296875" bestFit="1" customWidth="1"/>
    <col min="60" max="60" width="10.453125" bestFit="1" customWidth="1"/>
    <col min="61" max="62" width="9.453125" bestFit="1" customWidth="1"/>
    <col min="63" max="63" width="9.54296875" bestFit="1" customWidth="1"/>
    <col min="64" max="64" width="6.54296875" bestFit="1" customWidth="1"/>
    <col min="65" max="66" width="6.54296875" customWidth="1"/>
    <col min="67" max="67" width="22.1796875" bestFit="1" customWidth="1"/>
    <col min="68" max="68" width="8.54296875" bestFit="1" customWidth="1"/>
    <col min="69" max="69" width="10.1796875" bestFit="1" customWidth="1"/>
    <col min="70" max="70" width="14.1796875" bestFit="1" customWidth="1"/>
    <col min="71" max="71" width="11.453125" bestFit="1" customWidth="1"/>
    <col min="72" max="72" width="11.453125" customWidth="1"/>
    <col min="73" max="73" width="16.1796875" bestFit="1" customWidth="1"/>
    <col min="74" max="74" width="15.81640625" bestFit="1" customWidth="1"/>
    <col min="75" max="75" width="16.1796875" bestFit="1" customWidth="1"/>
    <col min="76" max="76" width="16" bestFit="1" customWidth="1"/>
    <col min="77" max="77" width="13.453125" bestFit="1" customWidth="1"/>
    <col min="78" max="78" width="18.453125" bestFit="1" customWidth="1"/>
    <col min="79" max="79" width="18.453125" customWidth="1"/>
    <col min="80" max="80" width="12.1796875" bestFit="1" customWidth="1"/>
    <col min="81" max="81" width="12.54296875" bestFit="1" customWidth="1"/>
    <col min="82" max="82" width="14.453125" bestFit="1" customWidth="1"/>
    <col min="83" max="83" width="13.54296875" bestFit="1" customWidth="1"/>
    <col min="84" max="84" width="10.453125" bestFit="1" customWidth="1"/>
    <col min="85" max="85" width="10.453125" customWidth="1"/>
    <col min="86" max="86" width="15.453125" bestFit="1" customWidth="1"/>
    <col min="90" max="90" width="11.81640625" bestFit="1" customWidth="1"/>
    <col min="94" max="94" width="11.453125" bestFit="1" customWidth="1"/>
    <col min="95" max="95" width="15.54296875" customWidth="1"/>
    <col min="96" max="96" width="10.453125" customWidth="1"/>
    <col min="97" max="97" width="20.81640625" customWidth="1"/>
    <col min="98" max="98" width="10" bestFit="1" customWidth="1"/>
    <col min="99" max="99" width="9.81640625" bestFit="1" customWidth="1"/>
    <col min="100" max="100" width="9.81640625" customWidth="1"/>
    <col min="101" max="101" width="13.54296875" bestFit="1" customWidth="1"/>
    <col min="102" max="102" width="8.81640625" bestFit="1" customWidth="1"/>
    <col min="103" max="103" width="8.81640625" customWidth="1"/>
    <col min="104" max="104" width="11.1796875" bestFit="1" customWidth="1"/>
    <col min="105" max="105" width="15.54296875" bestFit="1" customWidth="1"/>
    <col min="106" max="106" width="13.453125" bestFit="1" customWidth="1"/>
    <col min="107" max="107" width="9.81640625" bestFit="1" customWidth="1"/>
    <col min="108" max="108" width="11" bestFit="1" customWidth="1"/>
    <col min="109" max="109" width="11" customWidth="1"/>
    <col min="110" max="110" width="15.81640625" customWidth="1"/>
    <col min="111" max="111" width="14" customWidth="1"/>
    <col min="112" max="112" width="21.453125" bestFit="1" customWidth="1"/>
    <col min="113" max="113" width="11.453125" customWidth="1"/>
    <col min="114" max="114" width="11" bestFit="1" customWidth="1"/>
    <col min="115" max="115" width="23.1796875" customWidth="1"/>
    <col min="116" max="116" width="18.453125" customWidth="1"/>
    <col min="117" max="117" width="21.1796875" customWidth="1"/>
    <col min="119" max="119" width="10.81640625" bestFit="1" customWidth="1"/>
    <col min="120" max="120" width="10.1796875" bestFit="1" customWidth="1"/>
    <col min="121" max="121" width="14.54296875" bestFit="1" customWidth="1"/>
    <col min="122" max="122" width="9.81640625" bestFit="1" customWidth="1"/>
    <col min="123" max="123" width="17.54296875" customWidth="1"/>
    <col min="124" max="124" width="12.1796875" bestFit="1" customWidth="1"/>
    <col min="125" max="125" width="18" bestFit="1" customWidth="1"/>
    <col min="126" max="126" width="16.54296875" bestFit="1" customWidth="1"/>
    <col min="127" max="127" width="14.81640625" customWidth="1"/>
    <col min="128" max="128" width="16.54296875" customWidth="1"/>
    <col min="129" max="129" width="14.81640625" customWidth="1"/>
    <col min="130" max="137" width="18.54296875" style="7" customWidth="1"/>
    <col min="138" max="141" width="15.1796875" style="7" customWidth="1"/>
    <col min="142" max="142" width="26.54296875" style="7" customWidth="1"/>
    <col min="143" max="143" width="25.453125" style="7" customWidth="1"/>
    <col min="144" max="144" width="15.1796875" style="7" customWidth="1"/>
    <col min="145" max="145" width="15.54296875" customWidth="1"/>
  </cols>
  <sheetData>
    <row r="1" spans="1:144" s="12" customFormat="1">
      <c r="A1" s="18" t="s">
        <v>529</v>
      </c>
      <c r="B1" s="18" t="s">
        <v>530</v>
      </c>
      <c r="C1" s="18" t="s">
        <v>531</v>
      </c>
      <c r="D1" s="18" t="s">
        <v>532</v>
      </c>
      <c r="E1" s="18" t="s">
        <v>533</v>
      </c>
      <c r="F1" s="18" t="s">
        <v>534</v>
      </c>
      <c r="G1" s="18" t="s">
        <v>535</v>
      </c>
      <c r="H1" s="18" t="s">
        <v>536</v>
      </c>
      <c r="I1" s="18" t="s">
        <v>537</v>
      </c>
      <c r="J1" s="18" t="s">
        <v>538</v>
      </c>
      <c r="K1" s="18" t="s">
        <v>539</v>
      </c>
      <c r="L1" s="18" t="s">
        <v>540</v>
      </c>
      <c r="M1" s="18" t="s">
        <v>541</v>
      </c>
      <c r="N1" s="18" t="s">
        <v>542</v>
      </c>
      <c r="O1" s="18" t="s">
        <v>543</v>
      </c>
      <c r="P1" s="18" t="s">
        <v>544</v>
      </c>
      <c r="Q1" s="18" t="s">
        <v>545</v>
      </c>
      <c r="R1" s="18" t="s">
        <v>546</v>
      </c>
      <c r="S1" s="18" t="s">
        <v>547</v>
      </c>
      <c r="T1" s="14" t="s">
        <v>548</v>
      </c>
      <c r="U1" s="14" t="s">
        <v>549</v>
      </c>
      <c r="V1" s="14" t="s">
        <v>550</v>
      </c>
      <c r="W1" s="14" t="s">
        <v>551</v>
      </c>
      <c r="X1" s="14" t="s">
        <v>552</v>
      </c>
      <c r="Y1" s="14" t="s">
        <v>553</v>
      </c>
      <c r="Z1" s="14" t="s">
        <v>554</v>
      </c>
      <c r="AA1" s="14" t="s">
        <v>555</v>
      </c>
      <c r="AB1" s="14" t="s">
        <v>556</v>
      </c>
      <c r="AC1" s="14" t="s">
        <v>557</v>
      </c>
      <c r="AD1" s="14" t="s">
        <v>558</v>
      </c>
      <c r="AE1" s="14" t="s">
        <v>559</v>
      </c>
      <c r="AF1" s="14" t="s">
        <v>560</v>
      </c>
      <c r="AG1" s="14" t="s">
        <v>561</v>
      </c>
      <c r="AH1" s="14" t="s">
        <v>562</v>
      </c>
      <c r="AI1" s="14" t="s">
        <v>563</v>
      </c>
      <c r="AJ1" s="14" t="s">
        <v>564</v>
      </c>
      <c r="AK1" s="14" t="s">
        <v>565</v>
      </c>
      <c r="AL1" s="14" t="s">
        <v>566</v>
      </c>
      <c r="AM1" s="14" t="s">
        <v>567</v>
      </c>
      <c r="AN1" s="14" t="s">
        <v>568</v>
      </c>
      <c r="AO1" s="14" t="s">
        <v>569</v>
      </c>
      <c r="AP1" s="14" t="s">
        <v>570</v>
      </c>
      <c r="AQ1" s="14" t="s">
        <v>571</v>
      </c>
      <c r="AR1" s="14" t="s">
        <v>572</v>
      </c>
      <c r="AS1" s="14" t="s">
        <v>573</v>
      </c>
      <c r="AT1" s="14" t="s">
        <v>574</v>
      </c>
      <c r="AU1" s="14" t="s">
        <v>575</v>
      </c>
      <c r="AV1" s="14" t="s">
        <v>576</v>
      </c>
      <c r="AW1" s="14" t="s">
        <v>577</v>
      </c>
      <c r="AX1" s="14" t="s">
        <v>578</v>
      </c>
      <c r="AY1" s="14" t="s">
        <v>579</v>
      </c>
      <c r="AZ1" s="15" t="s">
        <v>580</v>
      </c>
      <c r="BA1" s="15" t="s">
        <v>581</v>
      </c>
      <c r="BB1" s="15" t="s">
        <v>582</v>
      </c>
      <c r="BC1" s="15" t="s">
        <v>583</v>
      </c>
      <c r="BD1" s="15" t="s">
        <v>584</v>
      </c>
      <c r="BE1" s="15" t="s">
        <v>585</v>
      </c>
      <c r="BF1" s="15" t="s">
        <v>586</v>
      </c>
      <c r="BG1" s="15" t="s">
        <v>587</v>
      </c>
      <c r="BH1" s="15" t="s">
        <v>588</v>
      </c>
      <c r="BI1" s="15" t="s">
        <v>589</v>
      </c>
      <c r="BJ1" s="15" t="s">
        <v>590</v>
      </c>
      <c r="BK1" s="15" t="s">
        <v>591</v>
      </c>
      <c r="BL1" s="15" t="s">
        <v>592</v>
      </c>
      <c r="BM1" s="15" t="s">
        <v>593</v>
      </c>
      <c r="BN1" s="15" t="s">
        <v>594</v>
      </c>
      <c r="BO1" s="16" t="s">
        <v>595</v>
      </c>
      <c r="BP1" s="16" t="s">
        <v>596</v>
      </c>
      <c r="BQ1" s="15" t="s">
        <v>597</v>
      </c>
      <c r="BR1" s="15" t="s">
        <v>598</v>
      </c>
      <c r="BS1" s="15" t="s">
        <v>599</v>
      </c>
      <c r="BT1" s="15" t="s">
        <v>600</v>
      </c>
      <c r="BU1" s="20" t="s">
        <v>601</v>
      </c>
      <c r="BV1" s="20" t="s">
        <v>602</v>
      </c>
      <c r="BW1" s="20" t="s">
        <v>603</v>
      </c>
      <c r="BX1" s="20" t="s">
        <v>604</v>
      </c>
      <c r="BY1" s="20" t="s">
        <v>605</v>
      </c>
      <c r="BZ1" s="20" t="s">
        <v>606</v>
      </c>
      <c r="CA1" s="20" t="s">
        <v>607</v>
      </c>
      <c r="CB1" s="20" t="s">
        <v>608</v>
      </c>
      <c r="CC1" s="19" t="s">
        <v>609</v>
      </c>
      <c r="CD1" s="59" t="s">
        <v>610</v>
      </c>
      <c r="CE1" s="59" t="s">
        <v>611</v>
      </c>
      <c r="CF1" s="59" t="s">
        <v>612</v>
      </c>
      <c r="CG1" s="59" t="s">
        <v>613</v>
      </c>
      <c r="CH1" s="59" t="s">
        <v>614</v>
      </c>
      <c r="CI1" s="59" t="s">
        <v>615</v>
      </c>
      <c r="CJ1" s="59" t="s">
        <v>616</v>
      </c>
      <c r="CK1" s="59" t="s">
        <v>617</v>
      </c>
      <c r="CL1" s="60" t="s">
        <v>8</v>
      </c>
      <c r="CM1" s="60" t="s">
        <v>618</v>
      </c>
      <c r="CN1" s="60" t="s">
        <v>619</v>
      </c>
      <c r="CO1" s="60" t="s">
        <v>620</v>
      </c>
      <c r="CP1" s="60" t="s">
        <v>13</v>
      </c>
      <c r="CQ1" s="60" t="s">
        <v>14</v>
      </c>
      <c r="CR1" s="60" t="s">
        <v>12</v>
      </c>
      <c r="CS1" s="60" t="s">
        <v>15</v>
      </c>
    </row>
    <row r="2" spans="1:144" s="13" customFormat="1" ht="44.25" customHeight="1">
      <c r="A2" s="255">
        <f>'Dados (ALTERAR)'!C4</f>
        <v>46235</v>
      </c>
      <c r="B2" s="13" t="str">
        <f>'Dados (ALTERAR)'!C7</f>
        <v>STA – Sociedade Transformadora de Alumínios S.A.</v>
      </c>
      <c r="C2" s="13" t="str">
        <f>'Dados (ALTERAR)'!C8</f>
        <v>R. Terramonte 771, Gueifães, 4470-122 Maia</v>
      </c>
      <c r="D2" s="13">
        <f>'Dados (ALTERAR)'!G6</f>
        <v>0</v>
      </c>
      <c r="E2" s="13" t="str">
        <f>IF(I2&lt;=30,"MCP","UPAC")</f>
        <v>UPAC</v>
      </c>
      <c r="F2" s="13" t="str">
        <f>IF('Dados (ALTERAR)'!C22="Sim","UPAC com injeção na rede", "UPAC sem injeção na rede")</f>
        <v>UPAC sem injeção na rede</v>
      </c>
      <c r="G2" s="13">
        <f>'Dados (ALTERAR)'!C19</f>
        <v>0</v>
      </c>
      <c r="H2" s="29">
        <f>'Dados (ALTERAR)'!C24</f>
        <v>34</v>
      </c>
      <c r="I2" s="28">
        <f>'Dados (ALTERAR)'!C20</f>
        <v>50</v>
      </c>
      <c r="J2" s="28">
        <f>'Dados (ALTERAR)'!C21</f>
        <v>34</v>
      </c>
      <c r="K2" s="28">
        <f>'Dados (ALTERAR)'!C25</f>
        <v>34</v>
      </c>
      <c r="L2" s="28">
        <f>'Dados (ALTERAR)'!C23</f>
        <v>34</v>
      </c>
      <c r="M2" s="28" t="str">
        <f>'Dados (ALTERAR)'!C27</f>
        <v>Quadro de Entrada</v>
      </c>
      <c r="N2" s="28" t="str">
        <f>IF(M2="Quadro Geral de Baixa Tensão","QGBT","QP")</f>
        <v>QP</v>
      </c>
      <c r="O2" s="28">
        <f>'Dados (ALTERAR)'!C26</f>
        <v>0</v>
      </c>
      <c r="P2" s="28" t="str">
        <f>IF(I2&gt;250,"superior","inferior")</f>
        <v>inferior</v>
      </c>
      <c r="Q2" s="28" t="str">
        <f>IF(AND(I2&gt;250,'Dados (ALTERAR)'!C22="Sim"),"foi",IF(AND(I2&gt;250,'Dados (ALTERAR)'!C22="Não"),"mas sendo sem injeção na rede, não foi",IF(I2&lt;250,"não foi")))</f>
        <v>não foi</v>
      </c>
      <c r="R2" s="28" t="str">
        <f>IF('Dados (ALTERAR)'!C22="Sim","será","não será")</f>
        <v>não será</v>
      </c>
      <c r="S2" s="28" t="str">
        <f>IF('Dados (ALTERAR)'!C22="Sim","poderá","não poderá")</f>
        <v>não poderá</v>
      </c>
      <c r="T2" s="28">
        <f>'Dados (ALTERAR)'!C49</f>
        <v>8</v>
      </c>
      <c r="U2" s="28">
        <f>'Dados (ALTERAR)'!C48</f>
        <v>8.8000000000000007</v>
      </c>
      <c r="V2" s="28">
        <f>'Dados (ALTERAR)'!C50</f>
        <v>3</v>
      </c>
      <c r="W2" s="28">
        <f>'Dados (ALTERAR)'!C51</f>
        <v>1</v>
      </c>
      <c r="X2" s="28">
        <f>'Dados (ALTERAR)'!C52</f>
        <v>16</v>
      </c>
      <c r="Y2" s="28">
        <f>'Dados (ALTERAR)'!C53</f>
        <v>20</v>
      </c>
      <c r="Z2" s="28">
        <f>'Dados (ALTERAR)'!C54</f>
        <v>350</v>
      </c>
      <c r="AA2" s="28">
        <f>'Dados (ALTERAR)'!C55</f>
        <v>600</v>
      </c>
      <c r="AB2" s="28">
        <f>'Dados (ALTERAR)'!C56</f>
        <v>100</v>
      </c>
      <c r="AC2" s="28" t="str">
        <f>_xlfn.CONCAT('Dados (ALTERAR)'!C57)</f>
        <v>50</v>
      </c>
      <c r="AD2" s="28" t="str">
        <f>_xlfn.CONCAT('Dados (ALTERAR)'!C58)</f>
        <v>550</v>
      </c>
      <c r="AE2" s="28" t="str">
        <f>_xlfn.CONCAT('Dados (ALTERAR)'!C57, " - ",'Dados (ALTERAR)'!C58)</f>
        <v>50 - 550</v>
      </c>
      <c r="AF2" s="28">
        <f>'Dados (ALTERAR)'!C59</f>
        <v>36.4</v>
      </c>
      <c r="AG2" s="28">
        <f>'Dados (ALTERAR)'!C60</f>
        <v>40</v>
      </c>
      <c r="AH2" s="13" t="str">
        <f>'Dados (ALTERAR)'!C47</f>
        <v>SigenStor EC 8.0 SP</v>
      </c>
      <c r="AI2" s="13" t="str">
        <f>'Dados (ALTERAR)'!C46</f>
        <v>Huawei</v>
      </c>
      <c r="AJ2" s="28">
        <f>'Dados (ALTERAR)'!C67</f>
        <v>8</v>
      </c>
      <c r="AK2" s="28">
        <f>'Dados (ALTERAR)'!C66</f>
        <v>8.8000000000000007</v>
      </c>
      <c r="AL2" s="28">
        <f>'Dados (ALTERAR)'!C68</f>
        <v>3</v>
      </c>
      <c r="AM2" s="28">
        <f>'Dados (ALTERAR)'!C69</f>
        <v>1</v>
      </c>
      <c r="AN2" s="28">
        <f>'Dados (ALTERAR)'!C70</f>
        <v>16</v>
      </c>
      <c r="AO2" s="28">
        <f>'Dados (ALTERAR)'!C71</f>
        <v>20</v>
      </c>
      <c r="AP2" s="28">
        <f>'Dados (ALTERAR)'!C72</f>
        <v>350</v>
      </c>
      <c r="AQ2" s="28">
        <f>'Dados (ALTERAR)'!C73</f>
        <v>600</v>
      </c>
      <c r="AR2" s="28">
        <f>'Dados (ALTERAR)'!C74</f>
        <v>100</v>
      </c>
      <c r="AS2" s="28" t="str">
        <f>_xlfn.CONCAT('Dados (ALTERAR)'!C75)</f>
        <v>50</v>
      </c>
      <c r="AT2" s="28" t="str">
        <f>_xlfn.CONCAT('Dados (ALTERAR)'!C76)</f>
        <v>550</v>
      </c>
      <c r="AU2" s="28" t="str">
        <f>_xlfn.CONCAT('Dados (ALTERAR)'!C75, " - ",'Dados (ALTERAR)'!C76)</f>
        <v>50 - 550</v>
      </c>
      <c r="AV2" s="28">
        <f>'Dados (ALTERAR)'!C77</f>
        <v>36.4</v>
      </c>
      <c r="AW2" s="28">
        <f>'Dados (ALTERAR)'!C79</f>
        <v>98</v>
      </c>
      <c r="AX2" s="13" t="str">
        <f>'Dados (ALTERAR)'!C65</f>
        <v>SigenStor EC 8.0 SP</v>
      </c>
      <c r="AY2" s="13" t="str">
        <f>'Dados (ALTERAR)'!C64</f>
        <v>Huawei</v>
      </c>
      <c r="AZ2" s="13" t="str">
        <f>'Dados (ALTERAR)'!C31</f>
        <v>RSM144-9-565BNDG-585BNDG</v>
      </c>
      <c r="BA2" s="13" t="str">
        <f>'Dados (ALTERAR)'!C30</f>
        <v>Risen</v>
      </c>
      <c r="BB2" s="28">
        <f>'Dados (ALTERAR)'!C32</f>
        <v>585</v>
      </c>
      <c r="BC2" s="28">
        <f>'Dados (ALTERAR)'!C33</f>
        <v>144</v>
      </c>
      <c r="BD2" s="28">
        <f>'Dados (ALTERAR)'!C34</f>
        <v>44</v>
      </c>
      <c r="BE2" s="29">
        <f>'Dados (ALTERAR)'!C35</f>
        <v>13.32</v>
      </c>
      <c r="BF2" s="28">
        <f>'Dados (ALTERAR)'!C37</f>
        <v>14.18</v>
      </c>
      <c r="BG2" s="28">
        <f>'Dados (ALTERAR)'!C36</f>
        <v>52.37</v>
      </c>
      <c r="BH2" s="30">
        <f>'Dados (ALTERAR)'!C38</f>
        <v>-0.25</v>
      </c>
      <c r="BI2" s="30">
        <f>'Dados (ALTERAR)'!C39</f>
        <v>4.5999999999999999E-2</v>
      </c>
      <c r="BJ2" s="30">
        <f>'Dados (ALTERAR)'!C40</f>
        <v>-0.28999999999999998</v>
      </c>
      <c r="BK2" s="31">
        <f>'Dados (ALTERAR)'!C42</f>
        <v>22.7</v>
      </c>
      <c r="BL2" s="31">
        <f>'Dados (ALTERAR)'!C43</f>
        <v>89.4</v>
      </c>
      <c r="BM2" s="31">
        <v>70</v>
      </c>
      <c r="BN2" s="31">
        <f>'Dados (ALTERAR)'!C41</f>
        <v>-40</v>
      </c>
      <c r="BO2" s="13" t="str">
        <f>'Dados (ALTERAR)'!C2</f>
        <v>Ricardo Miguel Modesto Louro</v>
      </c>
      <c r="BP2" s="28">
        <f>'Dados (ALTERAR)'!C3</f>
        <v>31306</v>
      </c>
      <c r="BQ2" s="28">
        <f>'Dados (ALTERAR)'!G46</f>
        <v>2</v>
      </c>
      <c r="BR2" s="28">
        <f>BQ2/L2</f>
        <v>5.8823529411764705E-2</v>
      </c>
      <c r="BS2" s="28">
        <f>'Dados (ALTERAR)'!G47</f>
        <v>0</v>
      </c>
      <c r="BT2" s="29">
        <f>BS2*BR2*BX2/1000</f>
        <v>0</v>
      </c>
      <c r="BU2" s="29">
        <f>$BG$2*(1+((BM2-25)/100)*$BH$2)</f>
        <v>46.478374999999993</v>
      </c>
      <c r="BV2" s="29">
        <f>$BG$2*(1+((BN2-25)/100)*$BH$2)</f>
        <v>60.880125</v>
      </c>
      <c r="BW2" s="29">
        <f>$BD$2*(1+((BM2-25)/100)*$BH$2)</f>
        <v>39.049999999999997</v>
      </c>
      <c r="BX2" s="29">
        <f>$BB$2*(1+((BM2-25)/100)*$BJ$2)</f>
        <v>508.65749999999997</v>
      </c>
      <c r="BY2" s="13">
        <f>ROUNDDOWN(AA2/BV2,0)</f>
        <v>9</v>
      </c>
      <c r="BZ2" s="13">
        <f>ROUNDUP(AC2/BU2,0)</f>
        <v>2</v>
      </c>
      <c r="CA2" s="13">
        <f>ROUNDDOWN(U2*1000/BX2,0)</f>
        <v>17</v>
      </c>
      <c r="CB2" s="13">
        <f>BE2*W2/V2</f>
        <v>4.4400000000000004</v>
      </c>
      <c r="CC2" s="13">
        <f>BD2*BS2</f>
        <v>0</v>
      </c>
      <c r="CD2" s="13">
        <f>VLOOKUP(CD1,'Técnico responsável'!$A$2:$E$9,MATCH('Dados (ALTERAR)'!$C$2,'Técnico responsável'!$A$1:$E$1,0),FALSE)</f>
        <v>15814378</v>
      </c>
      <c r="CE2" s="13">
        <f>VLOOKUP(CE1,'Técnico responsável'!$A$2:$E$9,MATCH('Dados (ALTERAR)'!$C$2,'Técnico responsável'!$A$1:$E$1,0),FALSE)</f>
        <v>937865788</v>
      </c>
      <c r="CF2" s="13" t="str">
        <f>VLOOKUP(CF1,'Técnico responsável'!$A$2:$E$9,MATCH('Dados (ALTERAR)'!$C$2,'Técnico responsável'!$A$1:$E$1,0),FALSE)</f>
        <v>ricardo.louro@solcor.pt</v>
      </c>
      <c r="CG2" s="13">
        <f>VLOOKUP(CG1,'Técnico responsável'!$A$2:$E$9,MATCH('Dados (ALTERAR)'!$C$2,'Técnico responsável'!$A$1:$E$1,0),FALSE)</f>
        <v>238600912</v>
      </c>
      <c r="CH2" s="13">
        <f>VLOOKUP(CH1,'Técnico responsável'!$A$2:$E$9,MATCH('Dados (ALTERAR)'!$C$2,'Técnico responsável'!$A$1:$E$1,0),FALSE)</f>
        <v>88638</v>
      </c>
      <c r="CI2" s="13">
        <f>VLOOKUP(CI1,'Técnico responsável'!$A$2:$E$9,MATCH('Dados (ALTERAR)'!$C$2,'Técnico responsável'!$A$1:$E$1,0),FALSE)</f>
        <v>31306</v>
      </c>
      <c r="CJ2" s="13" t="str">
        <f>VLOOKUP(CJ1,'Técnico responsável'!$A$2:$E$9,MATCH('Dados (ALTERAR)'!$C$2,'Técnico responsável'!$A$1:$E$1,0),FALSE)</f>
        <v>Avenida Almirante Reis 54, 3º Andar</v>
      </c>
      <c r="CK2" s="13" t="str">
        <f>VLOOKUP(CK1,'Técnico responsável'!$A$2:$E$9,MATCH('Dados (ALTERAR)'!$C$2,'Técnico responsável'!$A$1:$E$1,0),FALSE)</f>
        <v>1150-019 Lisboa</v>
      </c>
      <c r="CL2" s="13" t="str">
        <f>'Dados (ALTERAR)'!C9</f>
        <v>41.20583976494613, -8.603993799425119</v>
      </c>
      <c r="CM2" s="13">
        <f>'Dados (ALTERAR)'!C10</f>
        <v>912101956</v>
      </c>
      <c r="CN2" s="13" t="str">
        <f>'Dados (ALTERAR)'!C11</f>
        <v>Branco@sofi.pt</v>
      </c>
      <c r="CO2" s="13">
        <f>'Dados (ALTERAR)'!C12</f>
        <v>0</v>
      </c>
      <c r="CP2" s="13">
        <f>'Dados (ALTERAR)'!C14</f>
        <v>0</v>
      </c>
      <c r="CQ2" s="13">
        <f>'Dados (ALTERAR)'!C15</f>
        <v>0</v>
      </c>
      <c r="CR2" s="13">
        <f>'Dados (ALTERAR)'!C13</f>
        <v>0</v>
      </c>
      <c r="CS2" s="13">
        <f>'Dados (ALTERAR)'!C16</f>
        <v>0</v>
      </c>
    </row>
    <row r="3" spans="1:144" ht="44.25" customHeight="1"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</row>
    <row r="4" spans="1:144" ht="44.25" customHeight="1">
      <c r="AC4" s="17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</row>
    <row r="5" spans="1:144" ht="44.25" customHeight="1"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</row>
    <row r="6" spans="1:144"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</row>
    <row r="7" spans="1:144"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</row>
    <row r="8" spans="1:144"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</row>
    <row r="9" spans="1:144"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</row>
    <row r="10" spans="1:144"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</row>
    <row r="11" spans="1:144"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</row>
    <row r="12" spans="1:144"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</row>
    <row r="13" spans="1:144"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</row>
    <row r="14" spans="1:144"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</row>
    <row r="15" spans="1:144"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</row>
    <row r="16" spans="1:144"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56601-19AB-4708-82D3-1C2DBFC077EC}">
  <dimension ref="A1:BG31"/>
  <sheetViews>
    <sheetView topLeftCell="AY24" zoomScale="80" zoomScaleNormal="85" workbookViewId="0">
      <selection activeCell="F22" sqref="F22"/>
    </sheetView>
  </sheetViews>
  <sheetFormatPr defaultRowHeight="14.5"/>
  <cols>
    <col min="1" max="1" width="36.54296875" style="8" bestFit="1" customWidth="1"/>
    <col min="2" max="2" width="19.1796875" style="8" bestFit="1" customWidth="1"/>
    <col min="3" max="3" width="18.453125" style="8" bestFit="1" customWidth="1"/>
    <col min="4" max="5" width="18.453125" style="8" customWidth="1"/>
    <col min="6" max="6" width="20" style="8" bestFit="1" customWidth="1"/>
    <col min="7" max="10" width="23" style="12" bestFit="1" customWidth="1"/>
    <col min="11" max="11" width="23" style="12" customWidth="1"/>
    <col min="12" max="13" width="23" style="12" bestFit="1" customWidth="1"/>
    <col min="14" max="14" width="23" style="12" customWidth="1"/>
    <col min="15" max="16" width="23" style="12" bestFit="1" customWidth="1"/>
    <col min="17" max="19" width="20.1796875" style="12" customWidth="1"/>
    <col min="20" max="20" width="21.1796875" style="12" customWidth="1"/>
    <col min="21" max="21" width="23.81640625" bestFit="1" customWidth="1"/>
    <col min="22" max="22" width="24.81640625" bestFit="1" customWidth="1"/>
    <col min="23" max="23" width="24.1796875" bestFit="1" customWidth="1"/>
    <col min="24" max="24" width="22.54296875" bestFit="1" customWidth="1"/>
    <col min="25" max="25" width="23" bestFit="1" customWidth="1"/>
    <col min="26" max="26" width="24.1796875" bestFit="1" customWidth="1"/>
    <col min="27" max="27" width="22.453125" bestFit="1" customWidth="1"/>
    <col min="28" max="32" width="23.81640625" bestFit="1" customWidth="1"/>
    <col min="33" max="33" width="24.1796875" bestFit="1" customWidth="1"/>
    <col min="34" max="34" width="18.81640625" bestFit="1" customWidth="1"/>
    <col min="35" max="35" width="18.90625" bestFit="1" customWidth="1"/>
    <col min="36" max="36" width="18.81640625" bestFit="1" customWidth="1"/>
    <col min="37" max="37" width="19.90625" bestFit="1" customWidth="1"/>
    <col min="38" max="39" width="20.08984375" bestFit="1" customWidth="1"/>
    <col min="40" max="42" width="14.453125" bestFit="1" customWidth="1"/>
    <col min="43" max="45" width="15.453125" bestFit="1" customWidth="1"/>
    <col min="46" max="46" width="18.6328125" bestFit="1" customWidth="1"/>
    <col min="47" max="47" width="18.81640625" bestFit="1" customWidth="1"/>
    <col min="48" max="48" width="18.6328125" bestFit="1" customWidth="1"/>
    <col min="49" max="49" width="19.81640625" bestFit="1" customWidth="1"/>
    <col min="50" max="51" width="20" bestFit="1" customWidth="1"/>
    <col min="52" max="57" width="22.54296875" bestFit="1" customWidth="1"/>
    <col min="58" max="59" width="23.81640625" bestFit="1" customWidth="1"/>
  </cols>
  <sheetData>
    <row r="1" spans="1:59">
      <c r="A1" s="258" t="s">
        <v>621</v>
      </c>
      <c r="B1" s="289" t="s">
        <v>643</v>
      </c>
      <c r="C1" s="289" t="s">
        <v>622</v>
      </c>
      <c r="D1" s="259" t="s">
        <v>644</v>
      </c>
      <c r="E1" s="260" t="s">
        <v>645</v>
      </c>
      <c r="F1" s="289" t="s">
        <v>647</v>
      </c>
      <c r="G1" s="289" t="s">
        <v>648</v>
      </c>
      <c r="H1" s="289" t="s">
        <v>649</v>
      </c>
      <c r="I1" s="289" t="s">
        <v>650</v>
      </c>
      <c r="J1" s="289" t="s">
        <v>651</v>
      </c>
      <c r="K1" s="289" t="s">
        <v>652</v>
      </c>
      <c r="L1" s="259" t="s">
        <v>653</v>
      </c>
      <c r="M1" s="259" t="s">
        <v>654</v>
      </c>
      <c r="N1" s="259" t="s">
        <v>646</v>
      </c>
      <c r="O1" s="259" t="s">
        <v>655</v>
      </c>
      <c r="P1" s="259" t="s">
        <v>623</v>
      </c>
      <c r="Q1" s="259" t="s">
        <v>624</v>
      </c>
      <c r="R1" s="260" t="s">
        <v>625</v>
      </c>
      <c r="S1" s="260" t="s">
        <v>626</v>
      </c>
      <c r="T1" s="260" t="s">
        <v>51</v>
      </c>
      <c r="U1" s="261" t="s">
        <v>656</v>
      </c>
      <c r="V1" s="260" t="s">
        <v>657</v>
      </c>
      <c r="W1" s="260" t="s">
        <v>627</v>
      </c>
      <c r="X1" s="260" t="s">
        <v>658</v>
      </c>
      <c r="Y1" s="260" t="s">
        <v>659</v>
      </c>
      <c r="Z1" s="260" t="s">
        <v>660</v>
      </c>
      <c r="AA1" s="260" t="s">
        <v>663</v>
      </c>
      <c r="AB1" s="260" t="s">
        <v>662</v>
      </c>
      <c r="AC1" s="260" t="s">
        <v>661</v>
      </c>
      <c r="AD1" s="260" t="s">
        <v>664</v>
      </c>
      <c r="AE1" s="260" t="s">
        <v>665</v>
      </c>
      <c r="AF1" s="260" t="s">
        <v>666</v>
      </c>
      <c r="AG1" s="260" t="s">
        <v>667</v>
      </c>
      <c r="AH1" s="260" t="s">
        <v>668</v>
      </c>
      <c r="AI1" s="260" t="s">
        <v>669</v>
      </c>
      <c r="AJ1" s="260" t="s">
        <v>670</v>
      </c>
      <c r="AK1" s="260" t="s">
        <v>671</v>
      </c>
      <c r="AL1" s="260" t="s">
        <v>672</v>
      </c>
      <c r="AM1" s="260" t="s">
        <v>673</v>
      </c>
      <c r="AN1" s="260" t="s">
        <v>674</v>
      </c>
      <c r="AO1" s="260" t="s">
        <v>677</v>
      </c>
      <c r="AP1" s="260" t="s">
        <v>676</v>
      </c>
      <c r="AQ1" s="260" t="s">
        <v>675</v>
      </c>
      <c r="AR1" s="260" t="s">
        <v>678</v>
      </c>
      <c r="AS1" s="260" t="s">
        <v>679</v>
      </c>
      <c r="AT1" s="260" t="s">
        <v>680</v>
      </c>
      <c r="AU1" s="260" t="s">
        <v>681</v>
      </c>
      <c r="AV1" s="260" t="s">
        <v>682</v>
      </c>
      <c r="AW1" s="260" t="s">
        <v>683</v>
      </c>
      <c r="AX1" s="260" t="s">
        <v>684</v>
      </c>
      <c r="AY1" s="260" t="s">
        <v>685</v>
      </c>
      <c r="AZ1" s="260" t="s">
        <v>691</v>
      </c>
      <c r="BA1" s="260" t="s">
        <v>693</v>
      </c>
      <c r="BB1" s="260" t="s">
        <v>692</v>
      </c>
      <c r="BC1" s="260" t="s">
        <v>686</v>
      </c>
      <c r="BD1" s="260" t="s">
        <v>687</v>
      </c>
      <c r="BE1" s="260" t="s">
        <v>688</v>
      </c>
      <c r="BF1" s="260" t="s">
        <v>689</v>
      </c>
      <c r="BG1" s="260" t="s">
        <v>690</v>
      </c>
    </row>
    <row r="2" spans="1:59" ht="24" customHeight="1">
      <c r="A2" s="257" t="s">
        <v>628</v>
      </c>
      <c r="B2" s="257">
        <v>5</v>
      </c>
      <c r="C2" s="257">
        <v>6</v>
      </c>
      <c r="D2" s="41">
        <v>11</v>
      </c>
      <c r="E2" s="41">
        <v>13.2</v>
      </c>
      <c r="F2" s="41">
        <v>3.3</v>
      </c>
      <c r="G2" s="41">
        <v>4.4000000000000004</v>
      </c>
      <c r="H2" s="41">
        <v>5.5</v>
      </c>
      <c r="I2" s="41">
        <v>6.6</v>
      </c>
      <c r="J2" s="41">
        <v>8.8000000000000007</v>
      </c>
      <c r="K2" s="41">
        <v>11</v>
      </c>
      <c r="L2" s="41">
        <v>13.2</v>
      </c>
      <c r="M2" s="41">
        <v>16.5</v>
      </c>
      <c r="N2" s="41">
        <v>18.7</v>
      </c>
      <c r="O2" s="41">
        <v>22</v>
      </c>
      <c r="P2" s="41">
        <v>27.5</v>
      </c>
      <c r="Q2" s="41">
        <v>33</v>
      </c>
      <c r="R2" s="41">
        <v>40</v>
      </c>
      <c r="S2" s="41">
        <v>44</v>
      </c>
      <c r="T2" s="41">
        <v>55</v>
      </c>
      <c r="U2" s="41">
        <v>110</v>
      </c>
      <c r="V2" s="290">
        <v>125</v>
      </c>
      <c r="W2" s="290">
        <v>165</v>
      </c>
      <c r="X2" s="290">
        <v>5.5</v>
      </c>
      <c r="Y2" s="290">
        <v>6.6</v>
      </c>
      <c r="Z2" s="290">
        <v>8.8000000000000007</v>
      </c>
      <c r="AA2" s="290">
        <v>11</v>
      </c>
      <c r="AB2" s="290">
        <v>13.2</v>
      </c>
      <c r="AC2" s="290">
        <v>16.5</v>
      </c>
      <c r="AD2" s="290">
        <v>18.7</v>
      </c>
      <c r="AE2" s="290">
        <v>22</v>
      </c>
      <c r="AF2" s="290">
        <v>27.5</v>
      </c>
      <c r="AG2" s="290">
        <v>33</v>
      </c>
      <c r="AH2" s="290">
        <v>55</v>
      </c>
      <c r="AI2" s="290">
        <v>66</v>
      </c>
      <c r="AJ2" s="290">
        <v>88</v>
      </c>
      <c r="AK2" s="290">
        <v>110</v>
      </c>
      <c r="AL2" s="290">
        <v>121</v>
      </c>
      <c r="AM2" s="290">
        <v>137.5</v>
      </c>
      <c r="AN2" s="290">
        <v>55</v>
      </c>
      <c r="AO2" s="290">
        <v>66</v>
      </c>
      <c r="AP2" s="290">
        <v>88</v>
      </c>
      <c r="AQ2" s="290">
        <v>110</v>
      </c>
      <c r="AR2" s="290">
        <v>121</v>
      </c>
      <c r="AS2" s="290">
        <v>137.5</v>
      </c>
      <c r="AT2" s="290">
        <v>55</v>
      </c>
      <c r="AU2" s="290">
        <v>66</v>
      </c>
      <c r="AV2" s="290">
        <v>88</v>
      </c>
      <c r="AW2" s="290">
        <v>110</v>
      </c>
      <c r="AX2" s="290">
        <v>121</v>
      </c>
      <c r="AY2" s="290">
        <v>137.5</v>
      </c>
      <c r="AZ2" s="290">
        <v>3.3</v>
      </c>
      <c r="BA2" s="290">
        <v>3.68</v>
      </c>
      <c r="BB2" s="290">
        <v>4.4000000000000004</v>
      </c>
      <c r="BC2" s="290">
        <v>5.5</v>
      </c>
      <c r="BD2" s="290">
        <v>6.6</v>
      </c>
      <c r="BE2" s="290">
        <v>8.8000000000000007</v>
      </c>
      <c r="BF2" s="290">
        <v>11</v>
      </c>
      <c r="BG2" s="290">
        <v>12</v>
      </c>
    </row>
    <row r="3" spans="1:59" ht="24" customHeight="1">
      <c r="A3" s="51" t="s">
        <v>55</v>
      </c>
      <c r="B3" s="51">
        <v>5</v>
      </c>
      <c r="C3" s="51">
        <v>6</v>
      </c>
      <c r="D3" s="43">
        <v>10</v>
      </c>
      <c r="E3" s="43">
        <v>12</v>
      </c>
      <c r="F3" s="43">
        <v>3</v>
      </c>
      <c r="G3" s="43">
        <v>4</v>
      </c>
      <c r="H3" s="43">
        <v>5</v>
      </c>
      <c r="I3" s="43">
        <v>6</v>
      </c>
      <c r="J3" s="43">
        <v>8</v>
      </c>
      <c r="K3" s="43">
        <v>10</v>
      </c>
      <c r="L3" s="43">
        <v>12</v>
      </c>
      <c r="M3" s="43">
        <v>15</v>
      </c>
      <c r="N3" s="43">
        <v>17</v>
      </c>
      <c r="O3" s="43">
        <v>20</v>
      </c>
      <c r="P3" s="43">
        <v>25</v>
      </c>
      <c r="Q3" s="43">
        <v>30</v>
      </c>
      <c r="R3" s="43">
        <v>36</v>
      </c>
      <c r="S3" s="43">
        <v>40</v>
      </c>
      <c r="T3" s="43">
        <v>50</v>
      </c>
      <c r="U3" s="43">
        <v>100</v>
      </c>
      <c r="V3" s="12">
        <v>115</v>
      </c>
      <c r="W3" s="290">
        <v>150</v>
      </c>
      <c r="X3" s="290">
        <v>5</v>
      </c>
      <c r="Y3" s="290">
        <v>6</v>
      </c>
      <c r="Z3" s="290">
        <v>8</v>
      </c>
      <c r="AA3" s="290">
        <v>10</v>
      </c>
      <c r="AB3" s="290">
        <v>12</v>
      </c>
      <c r="AC3" s="290">
        <v>15</v>
      </c>
      <c r="AD3" s="290">
        <v>17</v>
      </c>
      <c r="AE3" s="290">
        <v>20</v>
      </c>
      <c r="AF3" s="290">
        <v>25</v>
      </c>
      <c r="AG3" s="290">
        <v>30</v>
      </c>
      <c r="AH3" s="290">
        <v>50</v>
      </c>
      <c r="AI3" s="290">
        <v>60</v>
      </c>
      <c r="AJ3" s="290">
        <v>80</v>
      </c>
      <c r="AK3" s="290">
        <v>100</v>
      </c>
      <c r="AL3" s="290">
        <v>110</v>
      </c>
      <c r="AM3" s="290">
        <v>125</v>
      </c>
      <c r="AN3" s="290">
        <v>50</v>
      </c>
      <c r="AO3" s="290">
        <v>60</v>
      </c>
      <c r="AP3" s="290">
        <v>80</v>
      </c>
      <c r="AQ3" s="290">
        <v>100</v>
      </c>
      <c r="AR3" s="290">
        <v>110</v>
      </c>
      <c r="AS3" s="290">
        <v>125</v>
      </c>
      <c r="AT3" s="290">
        <v>50</v>
      </c>
      <c r="AU3" s="290">
        <v>60</v>
      </c>
      <c r="AV3" s="290">
        <v>80</v>
      </c>
      <c r="AW3" s="290">
        <v>100</v>
      </c>
      <c r="AX3" s="290">
        <v>110</v>
      </c>
      <c r="AY3" s="290">
        <v>125</v>
      </c>
      <c r="AZ3" s="290">
        <v>3</v>
      </c>
      <c r="BA3" s="290">
        <v>3.68</v>
      </c>
      <c r="BB3" s="290">
        <v>4</v>
      </c>
      <c r="BC3" s="290">
        <v>5</v>
      </c>
      <c r="BD3" s="290">
        <v>6</v>
      </c>
      <c r="BE3" s="290">
        <v>8</v>
      </c>
      <c r="BF3" s="290">
        <v>10</v>
      </c>
      <c r="BG3" s="290">
        <v>12</v>
      </c>
    </row>
    <row r="4" spans="1:59" ht="24" customHeight="1">
      <c r="A4" s="257" t="s">
        <v>57</v>
      </c>
      <c r="B4" s="257">
        <v>2</v>
      </c>
      <c r="C4" s="257">
        <v>2</v>
      </c>
      <c r="D4" s="41">
        <v>2</v>
      </c>
      <c r="E4" s="41">
        <v>2</v>
      </c>
      <c r="F4" s="41">
        <v>2</v>
      </c>
      <c r="G4" s="41">
        <v>2</v>
      </c>
      <c r="H4" s="41">
        <v>2</v>
      </c>
      <c r="I4" s="41">
        <v>2</v>
      </c>
      <c r="J4" s="41">
        <v>2</v>
      </c>
      <c r="K4" s="41">
        <v>2</v>
      </c>
      <c r="L4" s="41">
        <v>2</v>
      </c>
      <c r="M4" s="41">
        <v>2</v>
      </c>
      <c r="N4" s="41">
        <v>2</v>
      </c>
      <c r="O4" s="41">
        <v>2</v>
      </c>
      <c r="P4" s="41">
        <v>2</v>
      </c>
      <c r="Q4" s="41">
        <v>4</v>
      </c>
      <c r="R4" s="41">
        <v>4</v>
      </c>
      <c r="S4" s="41">
        <v>4</v>
      </c>
      <c r="T4" s="41">
        <v>4</v>
      </c>
      <c r="U4" s="41">
        <v>10</v>
      </c>
      <c r="V4" s="41">
        <v>10</v>
      </c>
      <c r="W4" s="290">
        <v>7</v>
      </c>
      <c r="X4" s="290">
        <v>2</v>
      </c>
      <c r="Y4" s="290">
        <v>2</v>
      </c>
      <c r="Z4" s="290">
        <v>2</v>
      </c>
      <c r="AA4" s="290">
        <v>3</v>
      </c>
      <c r="AB4" s="290">
        <v>3</v>
      </c>
      <c r="AC4" s="290">
        <v>3</v>
      </c>
      <c r="AD4" s="290">
        <v>4</v>
      </c>
      <c r="AE4" s="290">
        <v>4</v>
      </c>
      <c r="AF4" s="290">
        <v>4</v>
      </c>
      <c r="AG4" s="290">
        <v>4</v>
      </c>
      <c r="AH4" s="290">
        <v>4</v>
      </c>
      <c r="AI4" s="290">
        <v>5</v>
      </c>
      <c r="AJ4" s="290">
        <v>6</v>
      </c>
      <c r="AK4" s="290">
        <v>8</v>
      </c>
      <c r="AL4" s="290">
        <v>8</v>
      </c>
      <c r="AM4" s="290">
        <v>8</v>
      </c>
      <c r="AN4" s="290">
        <v>4</v>
      </c>
      <c r="AO4" s="290">
        <v>5</v>
      </c>
      <c r="AP4" s="290">
        <v>6</v>
      </c>
      <c r="AQ4" s="290">
        <v>8</v>
      </c>
      <c r="AR4" s="290">
        <v>8</v>
      </c>
      <c r="AS4" s="290">
        <v>8</v>
      </c>
      <c r="AT4" s="290">
        <v>4</v>
      </c>
      <c r="AU4" s="290">
        <v>5</v>
      </c>
      <c r="AV4" s="290">
        <v>6</v>
      </c>
      <c r="AW4" s="290">
        <v>8</v>
      </c>
      <c r="AX4" s="290">
        <v>8</v>
      </c>
      <c r="AY4" s="290">
        <v>8</v>
      </c>
      <c r="AZ4" s="290">
        <v>2</v>
      </c>
      <c r="BA4" s="290">
        <v>2</v>
      </c>
      <c r="BB4" s="290">
        <v>2</v>
      </c>
      <c r="BC4" s="290">
        <v>2</v>
      </c>
      <c r="BD4" s="290">
        <v>2</v>
      </c>
      <c r="BE4" s="290">
        <v>3</v>
      </c>
      <c r="BF4" s="290">
        <v>4</v>
      </c>
      <c r="BG4" s="290">
        <v>4</v>
      </c>
    </row>
    <row r="5" spans="1:59" ht="24" customHeight="1">
      <c r="A5" s="51" t="s">
        <v>58</v>
      </c>
      <c r="B5" s="51">
        <v>1</v>
      </c>
      <c r="C5" s="51">
        <v>2</v>
      </c>
      <c r="D5" s="43">
        <v>1</v>
      </c>
      <c r="E5" s="43">
        <v>1</v>
      </c>
      <c r="F5" s="43">
        <v>1</v>
      </c>
      <c r="G5" s="43">
        <v>1</v>
      </c>
      <c r="H5" s="43">
        <v>1</v>
      </c>
      <c r="I5" s="43">
        <v>1</v>
      </c>
      <c r="J5" s="43">
        <v>1</v>
      </c>
      <c r="K5" s="43">
        <v>1</v>
      </c>
      <c r="L5" s="43">
        <v>2</v>
      </c>
      <c r="M5" s="43">
        <v>2</v>
      </c>
      <c r="N5" s="43">
        <v>2</v>
      </c>
      <c r="O5" s="43">
        <v>2</v>
      </c>
      <c r="P5" s="43">
        <v>2</v>
      </c>
      <c r="Q5" s="43">
        <v>2</v>
      </c>
      <c r="R5" s="43">
        <v>2</v>
      </c>
      <c r="S5" s="43">
        <v>2</v>
      </c>
      <c r="T5" s="43">
        <v>2</v>
      </c>
      <c r="U5" s="43">
        <v>2</v>
      </c>
      <c r="V5" s="43">
        <v>2</v>
      </c>
      <c r="W5" s="290">
        <v>3</v>
      </c>
      <c r="X5" s="290">
        <v>1</v>
      </c>
      <c r="Y5" s="290">
        <v>1</v>
      </c>
      <c r="Z5" s="290">
        <v>1</v>
      </c>
      <c r="AA5" s="290">
        <v>1</v>
      </c>
      <c r="AB5" s="290">
        <v>1</v>
      </c>
      <c r="AC5" s="290">
        <v>1</v>
      </c>
      <c r="AD5" s="290">
        <v>1</v>
      </c>
      <c r="AE5" s="290">
        <v>1</v>
      </c>
      <c r="AF5" s="290">
        <v>1</v>
      </c>
      <c r="AG5" s="290">
        <v>1</v>
      </c>
      <c r="AH5" s="290">
        <v>2</v>
      </c>
      <c r="AI5" s="290">
        <v>2</v>
      </c>
      <c r="AJ5" s="290">
        <v>2</v>
      </c>
      <c r="AK5" s="290">
        <v>2</v>
      </c>
      <c r="AL5" s="290">
        <v>2</v>
      </c>
      <c r="AM5" s="290">
        <v>2</v>
      </c>
      <c r="AN5" s="290">
        <v>2</v>
      </c>
      <c r="AO5" s="290">
        <v>2</v>
      </c>
      <c r="AP5" s="290">
        <v>2</v>
      </c>
      <c r="AQ5" s="290">
        <v>2</v>
      </c>
      <c r="AR5" s="290">
        <v>2</v>
      </c>
      <c r="AS5" s="290">
        <v>2</v>
      </c>
      <c r="AT5" s="290">
        <v>2</v>
      </c>
      <c r="AU5" s="290">
        <v>2</v>
      </c>
      <c r="AV5" s="290">
        <v>2</v>
      </c>
      <c r="AW5" s="290">
        <v>2</v>
      </c>
      <c r="AX5" s="290">
        <v>2</v>
      </c>
      <c r="AY5" s="290">
        <v>2</v>
      </c>
      <c r="AZ5" s="290">
        <v>1</v>
      </c>
      <c r="BA5" s="290">
        <v>1</v>
      </c>
      <c r="BB5" s="290">
        <v>1</v>
      </c>
      <c r="BC5" s="290">
        <v>1</v>
      </c>
      <c r="BD5" s="290">
        <v>1</v>
      </c>
      <c r="BE5" s="290">
        <v>1</v>
      </c>
      <c r="BF5" s="290">
        <v>1</v>
      </c>
      <c r="BG5" s="290">
        <v>1</v>
      </c>
    </row>
    <row r="6" spans="1:59" ht="24" customHeight="1">
      <c r="A6" s="257" t="s">
        <v>59</v>
      </c>
      <c r="B6" s="257">
        <v>12.5</v>
      </c>
      <c r="C6" s="257">
        <v>12.5</v>
      </c>
      <c r="D6" s="41">
        <v>16</v>
      </c>
      <c r="E6" s="41">
        <v>16</v>
      </c>
      <c r="F6" s="41">
        <v>11</v>
      </c>
      <c r="G6" s="41">
        <v>11</v>
      </c>
      <c r="H6" s="41">
        <v>11</v>
      </c>
      <c r="I6" s="41">
        <v>11</v>
      </c>
      <c r="J6" s="41">
        <v>11</v>
      </c>
      <c r="K6" s="41">
        <v>11</v>
      </c>
      <c r="L6" s="41">
        <v>30</v>
      </c>
      <c r="M6" s="41">
        <v>30</v>
      </c>
      <c r="N6" s="41">
        <v>30</v>
      </c>
      <c r="O6" s="41">
        <v>30</v>
      </c>
      <c r="P6" s="41">
        <v>30</v>
      </c>
      <c r="Q6" s="41">
        <v>26</v>
      </c>
      <c r="R6" s="41">
        <v>26</v>
      </c>
      <c r="S6" s="41">
        <v>26</v>
      </c>
      <c r="T6" s="41">
        <v>30</v>
      </c>
      <c r="U6" s="41">
        <v>20</v>
      </c>
      <c r="V6" s="41">
        <v>20</v>
      </c>
      <c r="W6" s="290">
        <v>23</v>
      </c>
      <c r="X6" s="290">
        <v>16</v>
      </c>
      <c r="Y6" s="290">
        <v>16</v>
      </c>
      <c r="Z6" s="290">
        <v>16</v>
      </c>
      <c r="AA6" s="290">
        <v>16</v>
      </c>
      <c r="AB6" s="290">
        <v>16</v>
      </c>
      <c r="AC6" s="290">
        <v>16</v>
      </c>
      <c r="AD6" s="290">
        <v>16</v>
      </c>
      <c r="AE6" s="290">
        <v>16</v>
      </c>
      <c r="AF6" s="290">
        <v>16</v>
      </c>
      <c r="AG6" s="290">
        <v>16</v>
      </c>
      <c r="AH6" s="290">
        <v>40</v>
      </c>
      <c r="AI6" s="290">
        <v>40</v>
      </c>
      <c r="AJ6" s="290">
        <v>40</v>
      </c>
      <c r="AK6" s="290">
        <v>40</v>
      </c>
      <c r="AL6" s="290">
        <v>40</v>
      </c>
      <c r="AM6" s="290">
        <v>40</v>
      </c>
      <c r="AN6" s="290">
        <v>40</v>
      </c>
      <c r="AO6" s="290">
        <v>40</v>
      </c>
      <c r="AP6" s="290">
        <v>40</v>
      </c>
      <c r="AQ6" s="290">
        <v>40</v>
      </c>
      <c r="AR6" s="290">
        <v>40</v>
      </c>
      <c r="AS6" s="290">
        <v>40</v>
      </c>
      <c r="AT6" s="290">
        <v>40</v>
      </c>
      <c r="AU6" s="290">
        <v>40</v>
      </c>
      <c r="AV6" s="290">
        <v>40</v>
      </c>
      <c r="AW6" s="290">
        <v>40</v>
      </c>
      <c r="AX6" s="290">
        <v>40</v>
      </c>
      <c r="AY6" s="290">
        <v>40</v>
      </c>
      <c r="AZ6" s="290">
        <v>16</v>
      </c>
      <c r="BA6" s="290">
        <v>16</v>
      </c>
      <c r="BB6" s="290">
        <v>16</v>
      </c>
      <c r="BC6" s="290">
        <v>16</v>
      </c>
      <c r="BD6" s="290">
        <v>16</v>
      </c>
      <c r="BE6" s="290">
        <v>16</v>
      </c>
      <c r="BF6" s="290">
        <v>16</v>
      </c>
      <c r="BG6" s="290">
        <v>16</v>
      </c>
    </row>
    <row r="7" spans="1:59" ht="24" customHeight="1">
      <c r="A7" s="51" t="s">
        <v>60</v>
      </c>
      <c r="B7" s="51">
        <v>18</v>
      </c>
      <c r="C7" s="51">
        <v>18</v>
      </c>
      <c r="D7" s="43">
        <v>22</v>
      </c>
      <c r="E7" s="43">
        <v>22</v>
      </c>
      <c r="F7" s="43">
        <v>15</v>
      </c>
      <c r="G7" s="43">
        <v>15</v>
      </c>
      <c r="H7" s="43">
        <v>15</v>
      </c>
      <c r="I7" s="43">
        <v>15</v>
      </c>
      <c r="J7" s="43">
        <v>15</v>
      </c>
      <c r="K7" s="43">
        <v>15</v>
      </c>
      <c r="L7" s="43">
        <v>40</v>
      </c>
      <c r="M7" s="43">
        <v>40</v>
      </c>
      <c r="N7" s="43">
        <v>40</v>
      </c>
      <c r="O7" s="43">
        <v>40</v>
      </c>
      <c r="P7" s="43">
        <v>40</v>
      </c>
      <c r="Q7" s="43">
        <v>40</v>
      </c>
      <c r="R7" s="43">
        <v>40</v>
      </c>
      <c r="S7" s="43">
        <v>40</v>
      </c>
      <c r="T7" s="43">
        <v>40</v>
      </c>
      <c r="U7" s="43">
        <v>40</v>
      </c>
      <c r="V7" s="43">
        <v>40</v>
      </c>
      <c r="W7" s="290">
        <v>66</v>
      </c>
      <c r="X7" s="290">
        <v>20</v>
      </c>
      <c r="Y7" s="290">
        <v>20</v>
      </c>
      <c r="Z7" s="290">
        <v>20</v>
      </c>
      <c r="AA7" s="290">
        <v>20</v>
      </c>
      <c r="AB7" s="290">
        <v>20</v>
      </c>
      <c r="AC7" s="290">
        <v>20</v>
      </c>
      <c r="AD7" s="290">
        <v>20</v>
      </c>
      <c r="AE7" s="290">
        <v>20</v>
      </c>
      <c r="AF7" s="290">
        <v>20</v>
      </c>
      <c r="AG7" s="290">
        <v>20</v>
      </c>
      <c r="AH7" s="290">
        <v>60</v>
      </c>
      <c r="AI7" s="290">
        <v>60</v>
      </c>
      <c r="AJ7" s="290">
        <v>60</v>
      </c>
      <c r="AK7" s="290">
        <v>60</v>
      </c>
      <c r="AL7" s="290">
        <v>60</v>
      </c>
      <c r="AM7" s="290">
        <v>60</v>
      </c>
      <c r="AN7" s="290">
        <v>60</v>
      </c>
      <c r="AO7" s="290">
        <v>60</v>
      </c>
      <c r="AP7" s="290">
        <v>60</v>
      </c>
      <c r="AQ7" s="290">
        <v>60</v>
      </c>
      <c r="AR7" s="290">
        <v>60</v>
      </c>
      <c r="AS7" s="290">
        <v>60</v>
      </c>
      <c r="AT7" s="290">
        <v>60</v>
      </c>
      <c r="AU7" s="290">
        <v>60</v>
      </c>
      <c r="AV7" s="290">
        <v>60</v>
      </c>
      <c r="AW7" s="290">
        <v>60</v>
      </c>
      <c r="AX7" s="290">
        <v>60</v>
      </c>
      <c r="AY7" s="290">
        <v>60</v>
      </c>
      <c r="AZ7" s="290">
        <v>20</v>
      </c>
      <c r="BA7" s="290">
        <v>20</v>
      </c>
      <c r="BB7" s="290">
        <v>20</v>
      </c>
      <c r="BC7" s="290">
        <v>20</v>
      </c>
      <c r="BD7" s="290">
        <v>20</v>
      </c>
      <c r="BE7" s="290">
        <v>20</v>
      </c>
      <c r="BF7" s="290">
        <v>20</v>
      </c>
      <c r="BG7" s="290">
        <v>20</v>
      </c>
    </row>
    <row r="8" spans="1:59" ht="24" customHeight="1">
      <c r="A8" s="257" t="s">
        <v>61</v>
      </c>
      <c r="B8" s="257">
        <v>360</v>
      </c>
      <c r="C8" s="257">
        <v>360</v>
      </c>
      <c r="D8" s="41">
        <v>600</v>
      </c>
      <c r="E8" s="41">
        <v>600</v>
      </c>
      <c r="F8" s="41">
        <v>600</v>
      </c>
      <c r="G8" s="41">
        <v>600</v>
      </c>
      <c r="H8" s="41">
        <v>600</v>
      </c>
      <c r="I8" s="41">
        <v>600</v>
      </c>
      <c r="J8" s="41">
        <v>600</v>
      </c>
      <c r="K8" s="41">
        <v>600</v>
      </c>
      <c r="L8" s="41">
        <v>600</v>
      </c>
      <c r="M8" s="41">
        <v>600</v>
      </c>
      <c r="N8" s="41">
        <v>600</v>
      </c>
      <c r="O8" s="41">
        <v>600</v>
      </c>
      <c r="P8" s="41">
        <v>600</v>
      </c>
      <c r="Q8" s="41">
        <v>600</v>
      </c>
      <c r="R8" s="41">
        <v>600</v>
      </c>
      <c r="S8" s="41">
        <v>600</v>
      </c>
      <c r="T8" s="41">
        <v>600</v>
      </c>
      <c r="U8" s="41">
        <v>600</v>
      </c>
      <c r="V8" s="41">
        <v>600</v>
      </c>
      <c r="W8" s="290">
        <v>600</v>
      </c>
      <c r="X8" s="290">
        <v>600</v>
      </c>
      <c r="Y8" s="290">
        <v>600</v>
      </c>
      <c r="Z8" s="290">
        <v>600</v>
      </c>
      <c r="AA8" s="290">
        <v>600</v>
      </c>
      <c r="AB8" s="290">
        <v>600</v>
      </c>
      <c r="AC8" s="290">
        <v>600</v>
      </c>
      <c r="AD8" s="290">
        <v>600</v>
      </c>
      <c r="AE8" s="290">
        <v>600</v>
      </c>
      <c r="AF8" s="290">
        <v>600</v>
      </c>
      <c r="AG8" s="290">
        <v>600</v>
      </c>
      <c r="AH8" s="290">
        <v>600</v>
      </c>
      <c r="AI8" s="290">
        <v>600</v>
      </c>
      <c r="AJ8" s="290">
        <v>600</v>
      </c>
      <c r="AK8" s="290">
        <v>600</v>
      </c>
      <c r="AL8" s="290">
        <v>600</v>
      </c>
      <c r="AM8" s="290">
        <v>600</v>
      </c>
      <c r="AN8" s="290">
        <v>600</v>
      </c>
      <c r="AO8" s="290">
        <v>600</v>
      </c>
      <c r="AP8" s="290">
        <v>600</v>
      </c>
      <c r="AQ8" s="290">
        <v>600</v>
      </c>
      <c r="AR8" s="290">
        <v>600</v>
      </c>
      <c r="AS8" s="290">
        <v>600</v>
      </c>
      <c r="AT8" s="290">
        <v>600</v>
      </c>
      <c r="AU8" s="290">
        <v>600</v>
      </c>
      <c r="AV8" s="290">
        <v>600</v>
      </c>
      <c r="AW8" s="290">
        <v>600</v>
      </c>
      <c r="AX8" s="290">
        <v>600</v>
      </c>
      <c r="AY8" s="290">
        <v>600</v>
      </c>
      <c r="AZ8" s="290">
        <v>350</v>
      </c>
      <c r="BA8" s="290">
        <v>350</v>
      </c>
      <c r="BB8" s="290">
        <v>350</v>
      </c>
      <c r="BC8" s="290">
        <v>350</v>
      </c>
      <c r="BD8" s="290">
        <v>350</v>
      </c>
      <c r="BE8" s="290">
        <v>350</v>
      </c>
      <c r="BF8" s="290">
        <v>350</v>
      </c>
      <c r="BG8" s="290">
        <v>350</v>
      </c>
    </row>
    <row r="9" spans="1:59" ht="24" customHeight="1">
      <c r="A9" s="51" t="s">
        <v>62</v>
      </c>
      <c r="B9" s="51">
        <v>600</v>
      </c>
      <c r="C9" s="51">
        <v>600</v>
      </c>
      <c r="D9" s="43">
        <v>1100</v>
      </c>
      <c r="E9" s="43">
        <v>1100</v>
      </c>
      <c r="F9" s="43">
        <v>1100</v>
      </c>
      <c r="G9" s="43">
        <v>1100</v>
      </c>
      <c r="H9" s="43">
        <v>1100</v>
      </c>
      <c r="I9" s="43">
        <v>1100</v>
      </c>
      <c r="J9" s="43">
        <v>1100</v>
      </c>
      <c r="K9" s="43">
        <v>1100</v>
      </c>
      <c r="L9" s="43">
        <v>1100</v>
      </c>
      <c r="M9" s="43">
        <v>1100</v>
      </c>
      <c r="N9" s="43">
        <v>1100</v>
      </c>
      <c r="O9" s="43">
        <v>1100</v>
      </c>
      <c r="P9" s="43">
        <v>1100</v>
      </c>
      <c r="Q9" s="43">
        <v>1100</v>
      </c>
      <c r="R9" s="43">
        <v>1100</v>
      </c>
      <c r="S9" s="43">
        <v>1100</v>
      </c>
      <c r="T9" s="43">
        <v>1100</v>
      </c>
      <c r="U9" s="43">
        <v>1100</v>
      </c>
      <c r="V9" s="43">
        <v>1100</v>
      </c>
      <c r="W9" s="290">
        <v>1100</v>
      </c>
      <c r="X9" s="290">
        <v>1100</v>
      </c>
      <c r="Y9" s="290">
        <v>1100</v>
      </c>
      <c r="Z9" s="290">
        <v>1100</v>
      </c>
      <c r="AA9" s="290">
        <v>1100</v>
      </c>
      <c r="AB9" s="290">
        <v>1100</v>
      </c>
      <c r="AC9" s="290">
        <v>1100</v>
      </c>
      <c r="AD9" s="290">
        <v>1100</v>
      </c>
      <c r="AE9" s="290">
        <v>1100</v>
      </c>
      <c r="AF9" s="290">
        <v>1100</v>
      </c>
      <c r="AG9" s="290">
        <v>1100</v>
      </c>
      <c r="AH9" s="290">
        <v>1100</v>
      </c>
      <c r="AI9" s="290">
        <v>1100</v>
      </c>
      <c r="AJ9" s="290">
        <v>1100</v>
      </c>
      <c r="AK9" s="290">
        <v>1100</v>
      </c>
      <c r="AL9" s="290">
        <v>1100</v>
      </c>
      <c r="AM9" s="290">
        <v>1100</v>
      </c>
      <c r="AN9" s="290">
        <v>1100</v>
      </c>
      <c r="AO9" s="290">
        <v>1100</v>
      </c>
      <c r="AP9" s="290">
        <v>1100</v>
      </c>
      <c r="AQ9" s="290">
        <v>1100</v>
      </c>
      <c r="AR9" s="290">
        <v>1100</v>
      </c>
      <c r="AS9" s="290">
        <v>1100</v>
      </c>
      <c r="AT9" s="290">
        <v>1100</v>
      </c>
      <c r="AU9" s="290">
        <v>1100</v>
      </c>
      <c r="AV9" s="290">
        <v>1100</v>
      </c>
      <c r="AW9" s="290">
        <v>1100</v>
      </c>
      <c r="AX9" s="290">
        <v>1100</v>
      </c>
      <c r="AY9" s="290">
        <v>1100</v>
      </c>
      <c r="AZ9" s="290">
        <v>600</v>
      </c>
      <c r="BA9" s="290">
        <v>600</v>
      </c>
      <c r="BB9" s="290">
        <v>600</v>
      </c>
      <c r="BC9" s="290">
        <v>600</v>
      </c>
      <c r="BD9" s="290">
        <v>600</v>
      </c>
      <c r="BE9" s="290">
        <v>600</v>
      </c>
      <c r="BF9" s="290">
        <v>600</v>
      </c>
      <c r="BG9" s="290">
        <v>600</v>
      </c>
    </row>
    <row r="10" spans="1:59" ht="24" customHeight="1">
      <c r="A10" s="257" t="s">
        <v>63</v>
      </c>
      <c r="B10" s="257">
        <v>100</v>
      </c>
      <c r="C10" s="257">
        <v>100</v>
      </c>
      <c r="D10" s="41">
        <v>160</v>
      </c>
      <c r="E10" s="41">
        <v>160</v>
      </c>
      <c r="F10" s="41">
        <v>200</v>
      </c>
      <c r="G10" s="41">
        <v>200</v>
      </c>
      <c r="H10" s="41">
        <v>200</v>
      </c>
      <c r="I10" s="41">
        <v>200</v>
      </c>
      <c r="J10" s="41">
        <v>200</v>
      </c>
      <c r="K10" s="41">
        <v>200</v>
      </c>
      <c r="L10" s="41">
        <v>200</v>
      </c>
      <c r="M10" s="41">
        <v>200</v>
      </c>
      <c r="N10" s="41">
        <v>200</v>
      </c>
      <c r="O10" s="41">
        <v>200</v>
      </c>
      <c r="P10" s="41">
        <v>200</v>
      </c>
      <c r="Q10" s="41">
        <v>200</v>
      </c>
      <c r="R10" s="41">
        <v>200</v>
      </c>
      <c r="S10" s="41">
        <v>200</v>
      </c>
      <c r="T10" s="41">
        <v>200</v>
      </c>
      <c r="U10" s="41">
        <v>200</v>
      </c>
      <c r="V10" s="41">
        <v>200</v>
      </c>
      <c r="W10" s="290">
        <v>200</v>
      </c>
      <c r="X10" s="290">
        <v>180</v>
      </c>
      <c r="Y10" s="290">
        <v>180</v>
      </c>
      <c r="Z10" s="290">
        <v>180</v>
      </c>
      <c r="AA10" s="290">
        <v>180</v>
      </c>
      <c r="AB10" s="290">
        <v>180</v>
      </c>
      <c r="AC10" s="290">
        <v>180</v>
      </c>
      <c r="AD10" s="290">
        <v>180</v>
      </c>
      <c r="AE10" s="290">
        <v>180</v>
      </c>
      <c r="AF10" s="290">
        <v>180</v>
      </c>
      <c r="AG10" s="290">
        <v>180</v>
      </c>
      <c r="AH10" s="290">
        <v>180</v>
      </c>
      <c r="AI10" s="290">
        <v>180</v>
      </c>
      <c r="AJ10" s="290">
        <v>180</v>
      </c>
      <c r="AK10" s="290">
        <v>180</v>
      </c>
      <c r="AL10" s="290">
        <v>180</v>
      </c>
      <c r="AM10" s="290">
        <v>180</v>
      </c>
      <c r="AN10" s="290">
        <v>180</v>
      </c>
      <c r="AO10" s="290">
        <v>180</v>
      </c>
      <c r="AP10" s="290">
        <v>180</v>
      </c>
      <c r="AQ10" s="290">
        <v>180</v>
      </c>
      <c r="AR10" s="290">
        <v>180</v>
      </c>
      <c r="AS10" s="290">
        <v>180</v>
      </c>
      <c r="AT10" s="290">
        <v>180</v>
      </c>
      <c r="AU10" s="290">
        <v>180</v>
      </c>
      <c r="AV10" s="290">
        <v>180</v>
      </c>
      <c r="AW10" s="290">
        <v>180</v>
      </c>
      <c r="AX10" s="290">
        <v>180</v>
      </c>
      <c r="AY10" s="290">
        <v>180</v>
      </c>
      <c r="AZ10" s="290">
        <v>100</v>
      </c>
      <c r="BA10" s="290">
        <v>100</v>
      </c>
      <c r="BB10" s="290">
        <v>100</v>
      </c>
      <c r="BC10" s="290">
        <v>100</v>
      </c>
      <c r="BD10" s="290">
        <v>100</v>
      </c>
      <c r="BE10" s="290">
        <v>100</v>
      </c>
      <c r="BF10" s="290">
        <v>100</v>
      </c>
      <c r="BG10" s="290">
        <v>100</v>
      </c>
    </row>
    <row r="11" spans="1:59" ht="24" customHeight="1">
      <c r="A11" s="51" t="s">
        <v>64</v>
      </c>
      <c r="B11" s="51">
        <v>90</v>
      </c>
      <c r="C11" s="51">
        <v>90</v>
      </c>
      <c r="D11" s="43">
        <v>160</v>
      </c>
      <c r="E11" s="43">
        <v>160</v>
      </c>
      <c r="F11" s="43">
        <v>140</v>
      </c>
      <c r="G11" s="43">
        <v>140</v>
      </c>
      <c r="H11" s="43">
        <v>140</v>
      </c>
      <c r="I11" s="43">
        <v>140</v>
      </c>
      <c r="J11" s="43">
        <v>140</v>
      </c>
      <c r="K11" s="43">
        <v>140</v>
      </c>
      <c r="L11" s="43">
        <v>200</v>
      </c>
      <c r="M11" s="43">
        <v>200</v>
      </c>
      <c r="N11" s="43">
        <v>200</v>
      </c>
      <c r="O11" s="43">
        <v>200</v>
      </c>
      <c r="P11" s="43">
        <v>200</v>
      </c>
      <c r="Q11" s="43">
        <v>200</v>
      </c>
      <c r="R11" s="43">
        <v>200</v>
      </c>
      <c r="S11" s="43">
        <v>200</v>
      </c>
      <c r="T11" s="43">
        <v>200</v>
      </c>
      <c r="U11" s="43">
        <v>200</v>
      </c>
      <c r="V11" s="43">
        <v>200</v>
      </c>
      <c r="W11" s="290">
        <v>200</v>
      </c>
      <c r="X11" s="290">
        <v>160</v>
      </c>
      <c r="Y11" s="290">
        <v>160</v>
      </c>
      <c r="Z11" s="290">
        <v>160</v>
      </c>
      <c r="AA11" s="290">
        <v>160</v>
      </c>
      <c r="AB11" s="290">
        <v>160</v>
      </c>
      <c r="AC11" s="290">
        <v>160</v>
      </c>
      <c r="AD11" s="290">
        <v>160</v>
      </c>
      <c r="AE11" s="290">
        <v>160</v>
      </c>
      <c r="AF11" s="290">
        <v>160</v>
      </c>
      <c r="AG11" s="290">
        <v>160</v>
      </c>
      <c r="AH11" s="290">
        <v>160</v>
      </c>
      <c r="AI11" s="290">
        <v>160</v>
      </c>
      <c r="AJ11" s="290">
        <v>160</v>
      </c>
      <c r="AK11" s="290">
        <v>160</v>
      </c>
      <c r="AL11" s="290">
        <v>160</v>
      </c>
      <c r="AM11" s="290">
        <v>160</v>
      </c>
      <c r="AN11" s="290">
        <v>160</v>
      </c>
      <c r="AO11" s="290">
        <v>160</v>
      </c>
      <c r="AP11" s="290">
        <v>160</v>
      </c>
      <c r="AQ11" s="290">
        <v>160</v>
      </c>
      <c r="AR11" s="290">
        <v>160</v>
      </c>
      <c r="AS11" s="290">
        <v>160</v>
      </c>
      <c r="AT11" s="290">
        <v>160</v>
      </c>
      <c r="AU11" s="290">
        <v>160</v>
      </c>
      <c r="AV11" s="290">
        <v>160</v>
      </c>
      <c r="AW11" s="290">
        <v>160</v>
      </c>
      <c r="AX11" s="290">
        <v>160</v>
      </c>
      <c r="AY11" s="290">
        <v>160</v>
      </c>
      <c r="AZ11" s="290">
        <v>50</v>
      </c>
      <c r="BA11" s="290">
        <v>50</v>
      </c>
      <c r="BB11" s="290">
        <v>50</v>
      </c>
      <c r="BC11" s="290">
        <v>50</v>
      </c>
      <c r="BD11" s="290">
        <v>50</v>
      </c>
      <c r="BE11" s="290">
        <v>50</v>
      </c>
      <c r="BF11" s="290">
        <v>50</v>
      </c>
      <c r="BG11" s="290">
        <v>50</v>
      </c>
    </row>
    <row r="12" spans="1:59" ht="24" customHeight="1">
      <c r="A12" s="257" t="s">
        <v>65</v>
      </c>
      <c r="B12" s="257">
        <v>560</v>
      </c>
      <c r="C12" s="257">
        <v>560</v>
      </c>
      <c r="D12" s="41">
        <v>1000</v>
      </c>
      <c r="E12" s="41">
        <v>1000</v>
      </c>
      <c r="F12" s="41">
        <v>980</v>
      </c>
      <c r="G12" s="41">
        <v>980</v>
      </c>
      <c r="H12" s="41">
        <v>980</v>
      </c>
      <c r="I12" s="41">
        <v>980</v>
      </c>
      <c r="J12" s="41">
        <v>980</v>
      </c>
      <c r="K12" s="41">
        <v>980</v>
      </c>
      <c r="L12" s="41">
        <v>1000</v>
      </c>
      <c r="M12" s="41">
        <v>1000</v>
      </c>
      <c r="N12" s="41">
        <v>1000</v>
      </c>
      <c r="O12" s="41">
        <v>1000</v>
      </c>
      <c r="P12" s="41">
        <v>1000</v>
      </c>
      <c r="Q12" s="41">
        <v>1000</v>
      </c>
      <c r="R12" s="41">
        <v>1000</v>
      </c>
      <c r="S12" s="41">
        <v>1000</v>
      </c>
      <c r="T12" s="41">
        <v>1000</v>
      </c>
      <c r="U12" s="41">
        <v>1000</v>
      </c>
      <c r="V12" s="41">
        <v>1000</v>
      </c>
      <c r="W12" s="290">
        <v>1000</v>
      </c>
      <c r="X12" s="290">
        <v>1000</v>
      </c>
      <c r="Y12" s="290">
        <v>1000</v>
      </c>
      <c r="Z12" s="290">
        <v>1000</v>
      </c>
      <c r="AA12" s="290">
        <v>1000</v>
      </c>
      <c r="AB12" s="290">
        <v>1000</v>
      </c>
      <c r="AC12" s="290">
        <v>1000</v>
      </c>
      <c r="AD12" s="290">
        <v>1000</v>
      </c>
      <c r="AE12" s="290">
        <v>1000</v>
      </c>
      <c r="AF12" s="290">
        <v>1000</v>
      </c>
      <c r="AG12" s="290">
        <v>1000</v>
      </c>
      <c r="AH12" s="290">
        <v>1000</v>
      </c>
      <c r="AI12" s="290">
        <v>1000</v>
      </c>
      <c r="AJ12" s="290">
        <v>1000</v>
      </c>
      <c r="AK12" s="290">
        <v>1000</v>
      </c>
      <c r="AL12" s="290">
        <v>1000</v>
      </c>
      <c r="AM12" s="290">
        <v>1000</v>
      </c>
      <c r="AN12" s="290">
        <v>1000</v>
      </c>
      <c r="AO12" s="290">
        <v>1000</v>
      </c>
      <c r="AP12" s="290">
        <v>1000</v>
      </c>
      <c r="AQ12" s="290">
        <v>1000</v>
      </c>
      <c r="AR12" s="290">
        <v>1000</v>
      </c>
      <c r="AS12" s="290">
        <v>1000</v>
      </c>
      <c r="AT12" s="290">
        <v>1000</v>
      </c>
      <c r="AU12" s="290">
        <v>1000</v>
      </c>
      <c r="AV12" s="290">
        <v>1000</v>
      </c>
      <c r="AW12" s="290">
        <v>1000</v>
      </c>
      <c r="AX12" s="290">
        <v>1000</v>
      </c>
      <c r="AY12" s="290">
        <v>1000</v>
      </c>
      <c r="AZ12" s="290">
        <v>550</v>
      </c>
      <c r="BA12" s="290">
        <v>550</v>
      </c>
      <c r="BB12" s="290">
        <v>550</v>
      </c>
      <c r="BC12" s="290">
        <v>550</v>
      </c>
      <c r="BD12" s="290">
        <v>550</v>
      </c>
      <c r="BE12" s="290">
        <v>550</v>
      </c>
      <c r="BF12" s="290">
        <v>550</v>
      </c>
      <c r="BG12" s="290">
        <v>550</v>
      </c>
    </row>
    <row r="13" spans="1:59" ht="24" customHeight="1">
      <c r="A13" s="51" t="s">
        <v>66</v>
      </c>
      <c r="B13" s="51">
        <v>21.6</v>
      </c>
      <c r="C13" s="51">
        <v>21.6</v>
      </c>
      <c r="D13" s="43">
        <v>18.2</v>
      </c>
      <c r="E13" s="43">
        <v>18.2</v>
      </c>
      <c r="F13" s="43">
        <v>5.0999999999999996</v>
      </c>
      <c r="G13" s="43">
        <v>6.8</v>
      </c>
      <c r="H13" s="43">
        <v>8.5</v>
      </c>
      <c r="I13" s="43">
        <v>10.1</v>
      </c>
      <c r="J13" s="43">
        <v>13.5</v>
      </c>
      <c r="K13" s="43">
        <v>16.899999999999999</v>
      </c>
      <c r="L13" s="43">
        <v>17.3</v>
      </c>
      <c r="M13" s="43">
        <v>21.7</v>
      </c>
      <c r="N13" s="43">
        <v>24.5</v>
      </c>
      <c r="O13" s="43">
        <v>28.9</v>
      </c>
      <c r="P13" s="43">
        <v>36.1</v>
      </c>
      <c r="Q13" s="43">
        <v>43.3</v>
      </c>
      <c r="R13" s="43">
        <v>52</v>
      </c>
      <c r="S13" s="43">
        <v>57.8</v>
      </c>
      <c r="T13" s="43">
        <v>72.2</v>
      </c>
      <c r="U13" s="43">
        <v>144.4</v>
      </c>
      <c r="V13" s="12">
        <v>166</v>
      </c>
      <c r="W13" s="290">
        <v>227.9</v>
      </c>
      <c r="X13" s="290">
        <v>7.6</v>
      </c>
      <c r="Y13" s="290">
        <v>9.1</v>
      </c>
      <c r="Z13" s="290">
        <v>12.2</v>
      </c>
      <c r="AA13" s="290">
        <v>15.2</v>
      </c>
      <c r="AB13" s="290">
        <v>18.2</v>
      </c>
      <c r="AC13" s="290">
        <v>22.8</v>
      </c>
      <c r="AD13" s="290">
        <v>25.8</v>
      </c>
      <c r="AE13" s="290">
        <v>30.4</v>
      </c>
      <c r="AF13" s="290">
        <v>38</v>
      </c>
      <c r="AG13" s="290">
        <v>45.4</v>
      </c>
      <c r="AH13" s="290">
        <v>72.5</v>
      </c>
      <c r="AI13" s="290">
        <v>87</v>
      </c>
      <c r="AJ13" s="290">
        <v>115.9</v>
      </c>
      <c r="AK13" s="290">
        <v>144.9</v>
      </c>
      <c r="AL13" s="290">
        <v>159.4</v>
      </c>
      <c r="AM13" s="290">
        <v>181.2</v>
      </c>
      <c r="AN13" s="290">
        <v>72.5</v>
      </c>
      <c r="AO13" s="290">
        <v>87</v>
      </c>
      <c r="AP13" s="290">
        <v>115.9</v>
      </c>
      <c r="AQ13" s="290">
        <v>144.9</v>
      </c>
      <c r="AR13" s="290">
        <v>159.4</v>
      </c>
      <c r="AS13" s="290">
        <v>181.2</v>
      </c>
      <c r="AT13" s="290">
        <v>72.5</v>
      </c>
      <c r="AU13" s="290">
        <v>87</v>
      </c>
      <c r="AV13" s="290">
        <v>115.9</v>
      </c>
      <c r="AW13" s="290">
        <v>144.9</v>
      </c>
      <c r="AX13" s="290">
        <v>159.4</v>
      </c>
      <c r="AY13" s="290">
        <v>181.2</v>
      </c>
      <c r="AZ13" s="290">
        <v>13.6</v>
      </c>
      <c r="BA13" s="290">
        <v>16</v>
      </c>
      <c r="BB13" s="290">
        <v>18.2</v>
      </c>
      <c r="BC13" s="290">
        <v>22.7</v>
      </c>
      <c r="BD13" s="290">
        <v>27.3</v>
      </c>
      <c r="BE13" s="290">
        <v>36.4</v>
      </c>
      <c r="BF13" s="290">
        <v>45.5</v>
      </c>
      <c r="BG13" s="290">
        <v>54.6</v>
      </c>
    </row>
    <row r="14" spans="1:59" ht="24" customHeight="1">
      <c r="A14" s="257" t="s">
        <v>67</v>
      </c>
      <c r="B14" s="257">
        <v>25</v>
      </c>
      <c r="C14" s="257">
        <v>27</v>
      </c>
      <c r="D14" s="41">
        <v>16.7</v>
      </c>
      <c r="E14" s="41">
        <v>20.2</v>
      </c>
      <c r="F14" s="41">
        <v>5.0999999999999996</v>
      </c>
      <c r="G14" s="41">
        <v>6.8</v>
      </c>
      <c r="H14" s="41">
        <v>8.5</v>
      </c>
      <c r="I14" s="41">
        <v>10.1</v>
      </c>
      <c r="J14" s="41">
        <v>13.5</v>
      </c>
      <c r="K14" s="41">
        <v>16.899999999999999</v>
      </c>
      <c r="L14" s="41">
        <v>19.100000000000001</v>
      </c>
      <c r="M14" s="41">
        <v>23.9</v>
      </c>
      <c r="N14" s="41">
        <v>27.1</v>
      </c>
      <c r="O14" s="41">
        <v>31.9</v>
      </c>
      <c r="P14" s="41">
        <v>39.9</v>
      </c>
      <c r="Q14" s="41">
        <v>47.9</v>
      </c>
      <c r="R14" s="41">
        <v>58</v>
      </c>
      <c r="S14" s="41">
        <v>63.8</v>
      </c>
      <c r="T14" s="41">
        <v>79.8</v>
      </c>
      <c r="U14" s="50">
        <v>160.4</v>
      </c>
      <c r="V14" s="290">
        <v>182.3</v>
      </c>
      <c r="W14" s="290">
        <v>253.2</v>
      </c>
      <c r="X14" s="290">
        <v>8.4</v>
      </c>
      <c r="Y14" s="290">
        <v>10</v>
      </c>
      <c r="Z14" s="290">
        <v>13.4</v>
      </c>
      <c r="AA14" s="290">
        <v>16.7</v>
      </c>
      <c r="AB14" s="290">
        <v>20.100000000000001</v>
      </c>
      <c r="AC14" s="290">
        <v>25.1</v>
      </c>
      <c r="AD14" s="290">
        <v>28.4</v>
      </c>
      <c r="AE14" s="290">
        <v>33.4</v>
      </c>
      <c r="AF14" s="290">
        <v>41.8</v>
      </c>
      <c r="AG14" s="290">
        <v>50</v>
      </c>
      <c r="AH14" s="290">
        <v>83.6</v>
      </c>
      <c r="AI14" s="290">
        <v>100.3</v>
      </c>
      <c r="AJ14" s="290">
        <v>133.69999999999999</v>
      </c>
      <c r="AK14" s="290">
        <v>167.1</v>
      </c>
      <c r="AL14" s="290">
        <v>183.8</v>
      </c>
      <c r="AM14" s="290">
        <v>208.9</v>
      </c>
      <c r="AN14" s="290">
        <v>83.6</v>
      </c>
      <c r="AO14" s="290">
        <v>100.3</v>
      </c>
      <c r="AP14" s="290">
        <v>133.69999999999999</v>
      </c>
      <c r="AQ14" s="290">
        <v>167.1</v>
      </c>
      <c r="AR14" s="290">
        <v>183.8</v>
      </c>
      <c r="AS14" s="290">
        <v>208.9</v>
      </c>
      <c r="AT14" s="290">
        <v>83.6</v>
      </c>
      <c r="AU14" s="290">
        <v>100.3</v>
      </c>
      <c r="AV14" s="290">
        <v>133.69999999999999</v>
      </c>
      <c r="AW14" s="290">
        <v>167.1</v>
      </c>
      <c r="AX14" s="290">
        <v>183.8</v>
      </c>
      <c r="AY14" s="290">
        <v>208.9</v>
      </c>
      <c r="AZ14" s="290">
        <v>15</v>
      </c>
      <c r="BA14" s="290">
        <v>16</v>
      </c>
      <c r="BB14" s="290">
        <v>20</v>
      </c>
      <c r="BC14" s="290">
        <v>25</v>
      </c>
      <c r="BD14" s="290">
        <v>30</v>
      </c>
      <c r="BE14" s="290">
        <v>40</v>
      </c>
      <c r="BF14" s="290">
        <v>50</v>
      </c>
      <c r="BG14" s="290">
        <v>54.6</v>
      </c>
    </row>
    <row r="15" spans="1:59" ht="24" customHeight="1">
      <c r="A15" s="51"/>
      <c r="B15" s="51"/>
      <c r="C15" s="51"/>
      <c r="D15" s="51"/>
      <c r="E15" s="51"/>
      <c r="F15" s="51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</row>
    <row r="16" spans="1:59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</sheetData>
  <phoneticPr fontId="5" type="noConversion"/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1208-3B3C-4206-B685-A31AFE6A9367}">
  <dimension ref="A1:D9"/>
  <sheetViews>
    <sheetView workbookViewId="0">
      <selection activeCell="B3" sqref="B3"/>
    </sheetView>
  </sheetViews>
  <sheetFormatPr defaultRowHeight="14.5"/>
  <cols>
    <col min="1" max="1" width="35" customWidth="1"/>
    <col min="2" max="2" width="37.81640625" bestFit="1" customWidth="1"/>
    <col min="3" max="3" width="30.453125" bestFit="1" customWidth="1"/>
    <col min="4" max="5" width="33.453125" customWidth="1"/>
    <col min="6" max="6" width="31.453125" bestFit="1" customWidth="1"/>
  </cols>
  <sheetData>
    <row r="1" spans="1:4">
      <c r="A1" s="45" t="s">
        <v>629</v>
      </c>
      <c r="B1" s="39" t="s">
        <v>1</v>
      </c>
      <c r="C1" s="39" t="s">
        <v>630</v>
      </c>
      <c r="D1" s="39" t="s">
        <v>631</v>
      </c>
    </row>
    <row r="2" spans="1:4">
      <c r="A2" s="40" t="s">
        <v>610</v>
      </c>
      <c r="B2" s="41">
        <v>15814378</v>
      </c>
      <c r="C2" s="41">
        <v>15461976</v>
      </c>
      <c r="D2" s="41">
        <v>11092504</v>
      </c>
    </row>
    <row r="3" spans="1:4">
      <c r="A3" s="42" t="s">
        <v>611</v>
      </c>
      <c r="B3" s="43">
        <v>937865788</v>
      </c>
      <c r="C3" s="43">
        <v>930587841</v>
      </c>
      <c r="D3" s="43">
        <v>962579466</v>
      </c>
    </row>
    <row r="4" spans="1:4">
      <c r="A4" s="40" t="s">
        <v>612</v>
      </c>
      <c r="B4" s="291" t="s">
        <v>632</v>
      </c>
      <c r="C4" s="55" t="s">
        <v>633</v>
      </c>
      <c r="D4" s="55" t="s">
        <v>634</v>
      </c>
    </row>
    <row r="5" spans="1:4">
      <c r="A5" s="42" t="s">
        <v>613</v>
      </c>
      <c r="B5" s="12">
        <v>238600912</v>
      </c>
      <c r="C5" s="43">
        <v>253745306</v>
      </c>
      <c r="D5" s="43">
        <v>214692159</v>
      </c>
    </row>
    <row r="6" spans="1:4">
      <c r="A6" s="40" t="s">
        <v>614</v>
      </c>
      <c r="B6" s="41">
        <v>88638</v>
      </c>
      <c r="C6" s="41">
        <v>86231</v>
      </c>
      <c r="D6" s="41">
        <v>39000</v>
      </c>
    </row>
    <row r="7" spans="1:4">
      <c r="A7" s="42" t="s">
        <v>615</v>
      </c>
      <c r="B7" s="43">
        <v>31306</v>
      </c>
      <c r="C7" s="43">
        <v>30250</v>
      </c>
      <c r="D7" s="43"/>
    </row>
    <row r="8" spans="1:4">
      <c r="A8" s="40" t="s">
        <v>616</v>
      </c>
      <c r="B8" s="41" t="s">
        <v>635</v>
      </c>
      <c r="C8" s="41" t="s">
        <v>635</v>
      </c>
      <c r="D8" s="43" t="s">
        <v>636</v>
      </c>
    </row>
    <row r="9" spans="1:4">
      <c r="A9" s="42" t="s">
        <v>617</v>
      </c>
      <c r="B9" s="43" t="s">
        <v>637</v>
      </c>
      <c r="C9" s="43" t="s">
        <v>637</v>
      </c>
      <c r="D9" s="41" t="s">
        <v>638</v>
      </c>
    </row>
  </sheetData>
  <hyperlinks>
    <hyperlink ref="D4" r:id="rId1" xr:uid="{DBCB4B56-A011-4313-B946-663A2020137D}"/>
    <hyperlink ref="B4" r:id="rId2" xr:uid="{8074F4B8-9AC0-4402-A810-57B7DA14352C}"/>
    <hyperlink ref="C4" r:id="rId3" xr:uid="{1EE3B6AD-44DE-4904-A3A8-FB988209A7D6}"/>
  </hyperlinks>
  <pageMargins left="0.7" right="0.7" top="0.75" bottom="0.75" header="0.3" footer="0.3"/>
  <pageSetup paperSize="9" orientation="portrait" horizontalDpi="4294967293" verticalDpi="0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6848839F11784EA2DDE3C55F6F1270" ma:contentTypeVersion="14" ma:contentTypeDescription="Criar um novo documento." ma:contentTypeScope="" ma:versionID="c26296ac5f1c190b508e3f5c125680ce">
  <xsd:schema xmlns:xsd="http://www.w3.org/2001/XMLSchema" xmlns:xs="http://www.w3.org/2001/XMLSchema" xmlns:p="http://schemas.microsoft.com/office/2006/metadata/properties" xmlns:ns2="0354b2e1-dec8-4158-81cf-12c727f4270b" xmlns:ns3="39ccff8b-74d7-41d4-a405-d5d2427d30db" targetNamespace="http://schemas.microsoft.com/office/2006/metadata/properties" ma:root="true" ma:fieldsID="2b6126f3a84a3d7f73a297d59dc9bf99" ns2:_="" ns3:_="">
    <xsd:import namespace="0354b2e1-dec8-4158-81cf-12c727f4270b"/>
    <xsd:import namespace="39ccff8b-74d7-41d4-a405-d5d2427d30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MigrationSourceID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54b2e1-dec8-4158-81cf-12c727f427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28febc87-ee34-4dfe-b641-4d6254a310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cff8b-74d7-41d4-a405-d5d2427d30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ad7168-a1f0-4aaa-bff9-7da837d338b0}" ma:internalName="TaxCatchAll" ma:showField="CatchAllData" ma:web="39ccff8b-74d7-41d4-a405-d5d2427d30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grationSourceID" ma:index="19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ccff8b-74d7-41d4-a405-d5d2427d30db" xsi:nil="true"/>
    <lcf76f155ced4ddcb4097134ff3c332f xmlns="0354b2e1-dec8-4158-81cf-12c727f4270b">
      <Terms xmlns="http://schemas.microsoft.com/office/infopath/2007/PartnerControls"/>
    </lcf76f155ced4ddcb4097134ff3c332f>
    <MigrationSourceID xmlns="39ccff8b-74d7-41d4-a405-d5d2427d30db">1OxHO9K72SNDP_M0PlaGw3pkYK6zwmIz-</MigrationSourceID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963CEA-FB48-4B73-B631-A2131ACDE1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54b2e1-dec8-4158-81cf-12c727f4270b"/>
    <ds:schemaRef ds:uri="39ccff8b-74d7-41d4-a405-d5d2427d3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A888C6-6DC6-46E6-9CEE-F2D17576D79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908819C-467B-4F60-8518-96EDB5C086BB}">
  <ds:schemaRefs>
    <ds:schemaRef ds:uri="http://schemas.microsoft.com/office/2006/metadata/properties"/>
    <ds:schemaRef ds:uri="http://schemas.microsoft.com/office/infopath/2007/PartnerControls"/>
    <ds:schemaRef ds:uri="39ccff8b-74d7-41d4-a405-d5d2427d30db"/>
    <ds:schemaRef ds:uri="0354b2e1-dec8-4158-81cf-12c727f4270b"/>
  </ds:schemaRefs>
</ds:datastoreItem>
</file>

<file path=customXml/itemProps4.xml><?xml version="1.0" encoding="utf-8"?>
<ds:datastoreItem xmlns:ds="http://schemas.openxmlformats.org/officeDocument/2006/customXml" ds:itemID="{12BF37A2-9096-419D-A046-E240ADB177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Dados (ALTERAR)</vt:lpstr>
      <vt:lpstr>Cálculos Elétricos</vt:lpstr>
      <vt:lpstr>F.C</vt:lpstr>
      <vt:lpstr>Tabelas de apoio</vt:lpstr>
      <vt:lpstr>CABOS</vt:lpstr>
      <vt:lpstr>Paineís (Não Alterar)</vt:lpstr>
      <vt:lpstr>DADOS WORD DOC (NAO ALTERAR)</vt:lpstr>
      <vt:lpstr>INVERSORES (NÃO ALTERAR)</vt:lpstr>
      <vt:lpstr>Técnico responsável</vt:lpstr>
      <vt:lpstr>TAB52C1</vt:lpstr>
      <vt:lpstr>TAB52C11</vt:lpstr>
      <vt:lpstr>TAB52C12</vt:lpstr>
      <vt:lpstr>TAB52C13</vt:lpstr>
      <vt:lpstr>TAB52C14</vt:lpstr>
      <vt:lpstr>TAB52C2</vt:lpstr>
      <vt:lpstr>TAB52C3</vt:lpstr>
      <vt:lpstr>TAB52C30</vt:lpstr>
      <vt:lpstr>TAB52C4</vt:lpstr>
      <vt:lpstr>TAB52C5</vt:lpstr>
      <vt:lpstr>TAB52C6</vt:lpstr>
      <vt:lpstr>TAB52C7</vt:lpstr>
      <vt:lpstr>TAB52C8</vt:lpstr>
      <vt:lpstr>TAB52C9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</dc:creator>
  <cp:keywords/>
  <dc:description/>
  <cp:lastModifiedBy>Bárbara Ferreira - Solcor</cp:lastModifiedBy>
  <cp:revision/>
  <dcterms:created xsi:type="dcterms:W3CDTF">2015-06-05T18:17:20Z</dcterms:created>
  <dcterms:modified xsi:type="dcterms:W3CDTF">2026-10-13T14:37:53Z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0x010100CA6848839F11784EA2DDE3C55F6F1270</vt:lpwstr>
  </property>
  <property fmtid="{D5CDD505-2E9C-101B-9397-08002B2CF9AE}" pid="3" name="Order">
    <vt:r8>11400</vt:r8>
  </property>
  <property fmtid="{D5CDD505-2E9C-101B-9397-08002B2CF9AE}" pid="4" name="MediaServiceImageTags">
    <vt:lpwstr/>
  </property>
</Properties>
</file>